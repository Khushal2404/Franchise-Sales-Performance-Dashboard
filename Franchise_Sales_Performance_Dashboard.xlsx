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F700BCE-E1D3-4684-830D-92BA9108372D}" xr6:coauthVersionLast="47" xr6:coauthVersionMax="47" xr10:uidLastSave="{00000000-0000-0000-0000-000000000000}"/>
  <bookViews>
    <workbookView xWindow="0" yWindow="0" windowWidth="15360" windowHeight="8940" firstSheet="4" activeTab="4" xr2:uid="{0D728C2D-A178-45E9-9EE5-8EFEB3FA6D59}"/>
  </bookViews>
  <sheets>
    <sheet name="Sheet2" sheetId="2" state="hidden" r:id="rId1"/>
    <sheet name="Sheet3" sheetId="3" state="hidden" r:id="rId2"/>
    <sheet name="Sheet13" sheetId="14" state="hidden" r:id="rId3"/>
    <sheet name="Sheet14" sheetId="15" state="hidden" r:id="rId4"/>
    <sheet name="Dashboard" sheetId="24" r:id="rId5"/>
    <sheet name="Cleaned_CRM_Data" sheetId="1" r:id="rId6"/>
    <sheet name="KPI_Databse" sheetId="22" r:id="rId7"/>
    <sheet name="Sales Cycle Analysis" sheetId="20" r:id="rId8"/>
    <sheet name="Sheet4" sheetId="23" state="hidden" r:id="rId9"/>
    <sheet name="Month Wise analysis" sheetId="19" r:id="rId10"/>
    <sheet name="Monthly closed deals" sheetId="25" r:id="rId11"/>
    <sheet name="Total Pipeline Value" sheetId="16" r:id="rId12"/>
    <sheet name="Franchise performance" sheetId="18" r:id="rId13"/>
    <sheet name="Zone Wise Analysis" sheetId="17" r:id="rId14"/>
    <sheet name="Sheet5" sheetId="7" state="hidden" r:id="rId15"/>
    <sheet name="Status_Mapping" sheetId="5" r:id="rId16"/>
  </sheets>
  <definedNames>
    <definedName name="_xlnm._FilterDatabase" localSheetId="5" hidden="1">Cleaned_CRM_Data!$A$1:$R$1780</definedName>
    <definedName name="_xlnm._FilterDatabase" localSheetId="3" hidden="1">Sheet14!$A$1:$B$18</definedName>
  </definedNames>
  <calcPr calcId="191028"/>
  <pivotCaches>
    <pivotCache cacheId="78" r:id="rId17"/>
    <pivotCache cacheId="79" r:id="rId18"/>
    <pivotCache cacheId="8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12" i="24"/>
  <c r="B7" i="22"/>
  <c r="B6" i="22"/>
  <c r="E12" i="24" s="1"/>
  <c r="B4" i="22"/>
  <c r="I6" i="24" s="1"/>
  <c r="B5" i="22"/>
  <c r="A12" i="24" s="1"/>
  <c r="B2" i="22"/>
  <c r="B1" i="22"/>
  <c r="A6" i="24" s="1"/>
  <c r="G25" i="19"/>
  <c r="G23" i="19"/>
  <c r="G22" i="19"/>
  <c r="G21" i="19"/>
  <c r="G20" i="19"/>
  <c r="G19" i="19"/>
  <c r="G18" i="19"/>
  <c r="G17" i="19"/>
  <c r="D14" i="18"/>
  <c r="D16" i="18"/>
  <c r="D15" i="18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2" i="1"/>
  <c r="D1775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4" i="1"/>
  <c r="D823" i="1"/>
  <c r="D822" i="1"/>
  <c r="D821" i="1"/>
  <c r="D820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3" i="1"/>
  <c r="D752" i="1"/>
  <c r="D751" i="1"/>
  <c r="D750" i="1"/>
  <c r="D749" i="1"/>
  <c r="D748" i="1"/>
  <c r="D746" i="1"/>
  <c r="D744" i="1"/>
  <c r="D743" i="1"/>
  <c r="D742" i="1"/>
  <c r="D741" i="1"/>
  <c r="D740" i="1"/>
  <c r="D739" i="1"/>
  <c r="D736" i="1"/>
  <c r="D735" i="1"/>
  <c r="D734" i="1"/>
  <c r="D733" i="1"/>
  <c r="D732" i="1"/>
  <c r="D731" i="1"/>
  <c r="D726" i="1"/>
  <c r="D725" i="1"/>
  <c r="D724" i="1"/>
  <c r="D723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2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2" i="1"/>
  <c r="D651" i="1"/>
  <c r="D647" i="1"/>
  <c r="D646" i="1"/>
  <c r="D645" i="1"/>
  <c r="D644" i="1"/>
  <c r="D643" i="1"/>
  <c r="D642" i="1"/>
  <c r="D641" i="1"/>
  <c r="D640" i="1"/>
  <c r="D639" i="1"/>
  <c r="D638" i="1"/>
  <c r="D637" i="1"/>
  <c r="D633" i="1"/>
  <c r="D629" i="1"/>
  <c r="D628" i="1"/>
  <c r="D627" i="1"/>
  <c r="D622" i="1"/>
  <c r="D621" i="1"/>
  <c r="D620" i="1"/>
  <c r="D619" i="1"/>
  <c r="D618" i="1"/>
  <c r="D616" i="1"/>
  <c r="D615" i="1"/>
  <c r="D611" i="1"/>
  <c r="D610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84" i="1"/>
  <c r="D583" i="1"/>
  <c r="D582" i="1"/>
  <c r="D581" i="1"/>
  <c r="D580" i="1"/>
  <c r="D579" i="1"/>
  <c r="D578" i="1"/>
  <c r="D577" i="1"/>
  <c r="D573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6" i="1"/>
  <c r="D555" i="1"/>
  <c r="D554" i="1"/>
  <c r="D553" i="1"/>
  <c r="D551" i="1"/>
  <c r="D550" i="1"/>
  <c r="D549" i="1"/>
  <c r="D548" i="1"/>
  <c r="D547" i="1"/>
  <c r="D546" i="1"/>
  <c r="D543" i="1"/>
  <c r="D542" i="1"/>
  <c r="D541" i="1"/>
  <c r="D540" i="1"/>
  <c r="D539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0" i="1"/>
  <c r="D489" i="1"/>
  <c r="D488" i="1"/>
  <c r="D487" i="1"/>
  <c r="D486" i="1"/>
  <c r="D485" i="1"/>
  <c r="D478" i="1"/>
  <c r="D475" i="1"/>
  <c r="D474" i="1"/>
  <c r="D473" i="1"/>
  <c r="D472" i="1"/>
  <c r="D471" i="1"/>
  <c r="D470" i="1"/>
  <c r="D466" i="1"/>
  <c r="D465" i="1"/>
  <c r="D464" i="1"/>
  <c r="D463" i="1"/>
  <c r="D462" i="1"/>
  <c r="D461" i="1"/>
  <c r="D460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E14" i="17"/>
  <c r="E17" i="17"/>
  <c r="E16" i="17"/>
  <c r="E15" i="17"/>
  <c r="D16" i="17"/>
  <c r="D17" i="17"/>
  <c r="D15" i="17"/>
  <c r="D14" i="17"/>
  <c r="R134" i="1"/>
  <c r="Q1786" i="1"/>
  <c r="Q1785" i="1"/>
  <c r="R1784" i="1"/>
  <c r="E10" i="5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2" i="1"/>
  <c r="A1002" i="1"/>
  <c r="O1002" i="1"/>
  <c r="K1002" i="1"/>
  <c r="L1002" i="1" s="1"/>
  <c r="N1002" i="1"/>
  <c r="P1002" i="1"/>
  <c r="Q100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2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P4" i="1"/>
  <c r="P5" i="1"/>
  <c r="P6" i="1"/>
  <c r="P7" i="1"/>
  <c r="P8" i="1"/>
  <c r="P2" i="1"/>
  <c r="N2" i="1"/>
  <c r="O1774" i="1"/>
  <c r="O1775" i="1"/>
  <c r="O177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6" i="1"/>
  <c r="O1778" i="1"/>
  <c r="O1779" i="1"/>
  <c r="O2" i="1"/>
  <c r="N1777" i="1"/>
  <c r="N493" i="1"/>
  <c r="N1776" i="1"/>
  <c r="N1774" i="1"/>
  <c r="N1775" i="1"/>
  <c r="N1778" i="1"/>
  <c r="N1779" i="1"/>
  <c r="N1780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B3" i="22" l="1"/>
  <c r="E6" i="24" s="1"/>
  <c r="O19" i="1"/>
  <c r="L1489" i="1"/>
  <c r="L1774" i="1"/>
  <c r="L1775" i="1"/>
  <c r="L1776" i="1"/>
  <c r="L1777" i="1"/>
  <c r="L1778" i="1"/>
  <c r="L1779" i="1"/>
  <c r="K1506" i="1" l="1"/>
  <c r="L1506" i="1" s="1"/>
  <c r="K1507" i="1"/>
  <c r="L1507" i="1" s="1"/>
  <c r="K1508" i="1"/>
  <c r="L1508" i="1" s="1"/>
  <c r="K1509" i="1"/>
  <c r="L1509" i="1" s="1"/>
  <c r="K1510" i="1"/>
  <c r="L1510" i="1" s="1"/>
  <c r="K1511" i="1"/>
  <c r="L1511" i="1" s="1"/>
  <c r="K1512" i="1"/>
  <c r="L1512" i="1" s="1"/>
  <c r="K1513" i="1"/>
  <c r="L1513" i="1" s="1"/>
  <c r="K1514" i="1"/>
  <c r="L1514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L22" i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L84" i="1"/>
  <c r="K85" i="1"/>
  <c r="L85" i="1" s="1"/>
  <c r="K86" i="1"/>
  <c r="L86" i="1" s="1"/>
  <c r="K87" i="1"/>
  <c r="L87" i="1" s="1"/>
  <c r="K88" i="1"/>
  <c r="L88" i="1" s="1"/>
  <c r="K89" i="1"/>
  <c r="L89" i="1" s="1"/>
  <c r="L90" i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L123" i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L150" i="1"/>
  <c r="L151" i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L224" i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L336" i="1"/>
  <c r="K337" i="1"/>
  <c r="L337" i="1" s="1"/>
  <c r="K338" i="1"/>
  <c r="L338" i="1" s="1"/>
  <c r="K339" i="1"/>
  <c r="L339" i="1" s="1"/>
  <c r="L340" i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L389" i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L426" i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L631" i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L648" i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L848" i="1"/>
  <c r="L849" i="1"/>
  <c r="K850" i="1"/>
  <c r="L850" i="1" s="1"/>
  <c r="K851" i="1"/>
  <c r="L851" i="1" s="1"/>
  <c r="L852" i="1"/>
  <c r="L853" i="1"/>
  <c r="L854" i="1"/>
  <c r="L855" i="1"/>
  <c r="L856" i="1"/>
  <c r="K857" i="1"/>
  <c r="L857" i="1" s="1"/>
  <c r="K858" i="1"/>
  <c r="L858" i="1" s="1"/>
  <c r="L859" i="1"/>
  <c r="K860" i="1"/>
  <c r="L860" i="1" s="1"/>
  <c r="L861" i="1"/>
  <c r="K862" i="1"/>
  <c r="L862" i="1" s="1"/>
  <c r="K863" i="1"/>
  <c r="L863" i="1" s="1"/>
  <c r="K864" i="1"/>
  <c r="L864" i="1" s="1"/>
  <c r="L865" i="1"/>
  <c r="L866" i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1486" i="1"/>
  <c r="L1486" i="1" s="1"/>
  <c r="K1487" i="1"/>
  <c r="L1487" i="1" s="1"/>
  <c r="K1488" i="1"/>
  <c r="L1488" i="1" s="1"/>
  <c r="K1490" i="1"/>
  <c r="L1490" i="1" s="1"/>
  <c r="K1491" i="1"/>
  <c r="L1491" i="1" s="1"/>
  <c r="K1492" i="1"/>
  <c r="L1492" i="1" s="1"/>
  <c r="K1493" i="1"/>
  <c r="L1493" i="1" s="1"/>
  <c r="K1494" i="1"/>
  <c r="L1494" i="1" s="1"/>
  <c r="K1495" i="1"/>
  <c r="L1495" i="1" s="1"/>
  <c r="K1496" i="1"/>
  <c r="L1496" i="1" s="1"/>
  <c r="K1497" i="1"/>
  <c r="L1497" i="1" s="1"/>
  <c r="K1498" i="1"/>
  <c r="L1498" i="1" s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L1532" i="1" s="1"/>
  <c r="K1533" i="1"/>
  <c r="L1533" i="1" s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L1581" i="1" s="1"/>
  <c r="K1582" i="1"/>
  <c r="L1582" i="1" s="1"/>
  <c r="K1583" i="1"/>
  <c r="L1583" i="1" s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L1591" i="1" s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L1618" i="1" s="1"/>
  <c r="K1619" i="1"/>
  <c r="L1619" i="1" s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L1652" i="1" s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L1659" i="1" s="1"/>
  <c r="K1660" i="1"/>
  <c r="L1660" i="1" s="1"/>
  <c r="K1661" i="1"/>
  <c r="L1661" i="1" s="1"/>
  <c r="K1662" i="1"/>
  <c r="L1662" i="1" s="1"/>
  <c r="K1663" i="1"/>
  <c r="L1663" i="1" s="1"/>
  <c r="K1664" i="1"/>
  <c r="L1664" i="1" s="1"/>
  <c r="K1665" i="1"/>
  <c r="L1665" i="1" s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L1676" i="1" s="1"/>
  <c r="K1677" i="1"/>
  <c r="L1677" i="1" s="1"/>
  <c r="K1678" i="1"/>
  <c r="L1678" i="1" s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L1695" i="1" s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L1706" i="1" s="1"/>
  <c r="K1707" i="1"/>
  <c r="L1707" i="1" s="1"/>
  <c r="K1708" i="1"/>
  <c r="L1708" i="1" s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L1715" i="1" s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L1723" i="1" s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8" i="1"/>
  <c r="L1738" i="1" s="1"/>
  <c r="K1739" i="1"/>
  <c r="L1739" i="1" s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L1748" i="1" s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L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2" i="1"/>
  <c r="C3" i="7" s="1"/>
  <c r="E12" i="7" l="1"/>
  <c r="E9" i="7"/>
  <c r="E6" i="7"/>
  <c r="C6" i="7"/>
  <c r="E3" i="7" s="1"/>
</calcChain>
</file>

<file path=xl/sharedStrings.xml><?xml version="1.0" encoding="utf-8"?>
<sst xmlns="http://schemas.openxmlformats.org/spreadsheetml/2006/main" count="9077" uniqueCount="2499">
  <si>
    <t>Row Labels</t>
  </si>
  <si>
    <t xml:space="preserve"> 50000 investement</t>
  </si>
  <si>
    <t xml:space="preserve"> Details Share  once again</t>
  </si>
  <si>
    <t xml:space="preserve"> Month End</t>
  </si>
  <si>
    <t xml:space="preserve"> Rejected</t>
  </si>
  <si>
    <t xml:space="preserve"> RejectedR6</t>
  </si>
  <si>
    <t xml:space="preserve"> vadodra Hr no / 3 NR</t>
  </si>
  <si>
    <t xml:space="preserve"> Will Come </t>
  </si>
  <si>
    <t xml:space="preserve"> Will decide and Call </t>
  </si>
  <si>
    <t xml:space="preserve"> Will Take Decious / Rejected</t>
  </si>
  <si>
    <t xml:space="preserve"> will take time</t>
  </si>
  <si>
    <t xml:space="preserve">/ fever once he ias ok </t>
  </si>
  <si>
    <t>/ Pospond</t>
  </si>
  <si>
    <t xml:space="preserve">/ Will update in 2 days </t>
  </si>
  <si>
    <t>/` Want up to 50000 Plan / Rejected</t>
  </si>
  <si>
    <t>1 month Rejected</t>
  </si>
  <si>
    <t>1 nr</t>
  </si>
  <si>
    <t>2nd time request bust not response</t>
  </si>
  <si>
    <t>4 NR</t>
  </si>
  <si>
    <t>4 NR rejected</t>
  </si>
  <si>
    <t>5 NR/ Rejected</t>
  </si>
  <si>
    <t>5 R Rejected</t>
  </si>
  <si>
    <t>6 NR Rejected</t>
  </si>
  <si>
    <t>88k plan</t>
  </si>
  <si>
    <t>8R Rejected</t>
  </si>
  <si>
    <t>90000 / 1 nr/ Rejcted</t>
  </si>
  <si>
    <t>Accident</t>
  </si>
  <si>
    <t xml:space="preserve">After 15 feb </t>
  </si>
  <si>
    <t xml:space="preserve">After Diwali </t>
  </si>
  <si>
    <t xml:space="preserve">allready speakin Whats aap </t>
  </si>
  <si>
    <t xml:space="preserve">Already taken </t>
  </si>
  <si>
    <t xml:space="preserve">AraangingMoney </t>
  </si>
  <si>
    <t xml:space="preserve">Around 5 </t>
  </si>
  <si>
    <t xml:space="preserve">Arranging money </t>
  </si>
  <si>
    <t>B2b</t>
  </si>
  <si>
    <t>bhuro brother/ r2</t>
  </si>
  <si>
    <t xml:space="preserve">Booking point </t>
  </si>
  <si>
    <t>budget 130000</t>
  </si>
  <si>
    <t xml:space="preserve">Call on Monday </t>
  </si>
  <si>
    <t xml:space="preserve">Come To MP </t>
  </si>
  <si>
    <t>Deal</t>
  </si>
  <si>
    <t>Deal Close</t>
  </si>
  <si>
    <t>Deal Done</t>
  </si>
  <si>
    <t xml:space="preserve">Deal Done </t>
  </si>
  <si>
    <t xml:space="preserve">Delivery Boy </t>
  </si>
  <si>
    <t xml:space="preserve">Detail Sent </t>
  </si>
  <si>
    <t xml:space="preserve">detaila Sent </t>
  </si>
  <si>
    <t>Details Sent</t>
  </si>
  <si>
    <t xml:space="preserve">Details Sent </t>
  </si>
  <si>
    <t>Details Sent / 6nr</t>
  </si>
  <si>
    <t>Details Sent / Details Sent</t>
  </si>
  <si>
    <t>Details Sent / Next Week / Patner not Avail</t>
  </si>
  <si>
    <t>Details sent /4nr / Rejected</t>
  </si>
  <si>
    <t xml:space="preserve">Details Sent/ met Accident </t>
  </si>
  <si>
    <t xml:space="preserve">Details Snet </t>
  </si>
  <si>
    <t xml:space="preserve">Details Srent </t>
  </si>
  <si>
    <t xml:space="preserve">District </t>
  </si>
  <si>
    <t>DS / 1 NR</t>
  </si>
  <si>
    <t>Eveneing</t>
  </si>
  <si>
    <t>Father Got  Expire</t>
  </si>
  <si>
    <t xml:space="preserve">Fianacial issue </t>
  </si>
  <si>
    <t>filpkart and Shadfax</t>
  </si>
  <si>
    <t>Finacial Problem</t>
  </si>
  <si>
    <t xml:space="preserve">financial issue </t>
  </si>
  <si>
    <t xml:space="preserve">Fol,low Up </t>
  </si>
  <si>
    <t xml:space="preserve">Folllow Up </t>
  </si>
  <si>
    <t xml:space="preserve">Follow </t>
  </si>
  <si>
    <t xml:space="preserve">Follow Uo </t>
  </si>
  <si>
    <t>Follow Up</t>
  </si>
  <si>
    <t xml:space="preserve">Follow up </t>
  </si>
  <si>
    <t>Follow Up  / Rejected</t>
  </si>
  <si>
    <t>Follow up / R4</t>
  </si>
  <si>
    <t>Follow up / Rejected</t>
  </si>
  <si>
    <t>Follow Up / will Take time</t>
  </si>
  <si>
    <t xml:space="preserve">FOLLOW UP / willl Take time </t>
  </si>
  <si>
    <t>Follow up /4 R</t>
  </si>
  <si>
    <t>follow up … 1070000.. R8 out of Servies</t>
  </si>
  <si>
    <t xml:space="preserve">Follow Up After 6 </t>
  </si>
  <si>
    <t xml:space="preserve">Follow up Call </t>
  </si>
  <si>
    <t>Follow Up Cusriour franchius</t>
  </si>
  <si>
    <t>Follow up jundhard</t>
  </si>
  <si>
    <t>Follow Up/ 6 NR Rejected</t>
  </si>
  <si>
    <t>Follow up/ CB</t>
  </si>
  <si>
    <t xml:space="preserve">Follow Yup </t>
  </si>
  <si>
    <t>Followup</t>
  </si>
  <si>
    <t xml:space="preserve">Followup </t>
  </si>
  <si>
    <t xml:space="preserve">Gandhi dham </t>
  </si>
  <si>
    <t xml:space="preserve">Hosptilize / will Take Time </t>
  </si>
  <si>
    <t xml:space="preserve">HuB </t>
  </si>
  <si>
    <t xml:space="preserve">hub Far awar </t>
  </si>
  <si>
    <t>Hub Far Away</t>
  </si>
  <si>
    <t xml:space="preserve">Hub Model/ will take Time  </t>
  </si>
  <si>
    <t xml:space="preserve">Hub not available </t>
  </si>
  <si>
    <t xml:space="preserve">Hub not avalable </t>
  </si>
  <si>
    <t>In Dubai / Rejected</t>
  </si>
  <si>
    <t>Intereasted</t>
  </si>
  <si>
    <t>interested</t>
  </si>
  <si>
    <t>intersted</t>
  </si>
  <si>
    <t xml:space="preserve">investment low </t>
  </si>
  <si>
    <t>It will take 2 Months/ Rejected</t>
  </si>
  <si>
    <t xml:space="preserve">Medical Issues rejected </t>
  </si>
  <si>
    <t>next month</t>
  </si>
  <si>
    <t>next month / Will Call Once recived the office</t>
  </si>
  <si>
    <t>no Does not Exit</t>
  </si>
  <si>
    <t xml:space="preserve">No Hub </t>
  </si>
  <si>
    <t>no Interested</t>
  </si>
  <si>
    <t>No oout servies</t>
  </si>
  <si>
    <t xml:space="preserve">No plan till now </t>
  </si>
  <si>
    <t xml:space="preserve">No Request </t>
  </si>
  <si>
    <t>No Response</t>
  </si>
  <si>
    <t xml:space="preserve">No Response </t>
  </si>
  <si>
    <t xml:space="preserve">Not Given Requests </t>
  </si>
  <si>
    <t xml:space="preserve">Not having Funds </t>
  </si>
  <si>
    <t xml:space="preserve">not Inetersetd </t>
  </si>
  <si>
    <t>Not interejected</t>
  </si>
  <si>
    <t>not interested</t>
  </si>
  <si>
    <t xml:space="preserve">Not interested </t>
  </si>
  <si>
    <t>Not Interested .. After Diwali</t>
  </si>
  <si>
    <t>Not Interested low Budget</t>
  </si>
  <si>
    <t xml:space="preserve">Not Interested/ Details Sent Again </t>
  </si>
  <si>
    <t>NOT Interesyted</t>
  </si>
  <si>
    <t>Not intereted R8</t>
  </si>
  <si>
    <t>not Interetsed</t>
  </si>
  <si>
    <t xml:space="preserve">not intersde </t>
  </si>
  <si>
    <t>not Interseted</t>
  </si>
  <si>
    <t>Not Intersted</t>
  </si>
  <si>
    <t xml:space="preserve">Not Intersted </t>
  </si>
  <si>
    <t>not Intersyerd</t>
  </si>
  <si>
    <t>Not intrested</t>
  </si>
  <si>
    <t>Not Oinyterested</t>
  </si>
  <si>
    <t>Not Rejected</t>
  </si>
  <si>
    <t>nr / Details Sent / 2 NR/ rejected</t>
  </si>
  <si>
    <t>NR 6 Rejected</t>
  </si>
  <si>
    <t>NR5 / Rejected</t>
  </si>
  <si>
    <t xml:space="preserve">Plan next Monthh </t>
  </si>
  <si>
    <t>pospond</t>
  </si>
  <si>
    <t>R</t>
  </si>
  <si>
    <t xml:space="preserve">R 1 </t>
  </si>
  <si>
    <t>r 6 Rejevcted</t>
  </si>
  <si>
    <t>R1</t>
  </si>
  <si>
    <t>R3</t>
  </si>
  <si>
    <t>R4</t>
  </si>
  <si>
    <t>R5</t>
  </si>
  <si>
    <t>R5 Rejected</t>
  </si>
  <si>
    <t>R6 Rejected</t>
  </si>
  <si>
    <t>R7 Rejected</t>
  </si>
  <si>
    <t>R8 rejected</t>
  </si>
  <si>
    <t>Rejeccted</t>
  </si>
  <si>
    <t>Rejeceted</t>
  </si>
  <si>
    <t>Rejected</t>
  </si>
  <si>
    <t xml:space="preserve">Rejected </t>
  </si>
  <si>
    <t>Rejected / R7</t>
  </si>
  <si>
    <t>Rejected 1</t>
  </si>
  <si>
    <t>Rejected 5Nr</t>
  </si>
  <si>
    <t>rejected 6 R</t>
  </si>
  <si>
    <t>Rejected B 2  b</t>
  </si>
  <si>
    <t>Rejected NR</t>
  </si>
  <si>
    <t>Rejected R 7</t>
  </si>
  <si>
    <t>rejected R6</t>
  </si>
  <si>
    <t>Rejected r6/ take time</t>
  </si>
  <si>
    <t>Rejected R7 Will Cum</t>
  </si>
  <si>
    <t>Rejected Surat</t>
  </si>
  <si>
    <t>Rejected will take tym</t>
  </si>
  <si>
    <t>Rejected, Details Sent</t>
  </si>
  <si>
    <t xml:space="preserve">Rejected, Hub Far Away </t>
  </si>
  <si>
    <t xml:space="preserve">Rejected, No money </t>
  </si>
  <si>
    <t>rejected/ Call mondoy</t>
  </si>
  <si>
    <t xml:space="preserve">Rejected/ Company Fraud </t>
  </si>
  <si>
    <t>Rejected/ E KaRT Employee ware working</t>
  </si>
  <si>
    <t>Rejected/ Will Do later</t>
  </si>
  <si>
    <t>Rejected4r</t>
  </si>
  <si>
    <t xml:space="preserve">Rejeted </t>
  </si>
  <si>
    <t>Ringing</t>
  </si>
  <si>
    <t xml:space="preserve">Ringing Details Sent / 15 days </t>
  </si>
  <si>
    <t>Ringing Rejected</t>
  </si>
  <si>
    <t xml:space="preserve">Ritesh no given/ will Talk And revert </t>
  </si>
  <si>
    <t xml:space="preserve">Saiyed No Given </t>
  </si>
  <si>
    <t xml:space="preserve">Shifted in different line </t>
  </si>
  <si>
    <t xml:space="preserve">tabaku kethi </t>
  </si>
  <si>
    <t>Taken from E com</t>
  </si>
  <si>
    <t>Video Call 11 to 12</t>
  </si>
  <si>
    <t xml:space="preserve">Want Hub </t>
  </si>
  <si>
    <t>Will Call Back in 1 hr/ 5 nr</t>
  </si>
  <si>
    <t xml:space="preserve">Will call later </t>
  </si>
  <si>
    <t xml:space="preserve">will check </t>
  </si>
  <si>
    <t xml:space="preserve">Will check and Call </t>
  </si>
  <si>
    <t xml:space="preserve">Will Check and Call having meesho </t>
  </si>
  <si>
    <t xml:space="preserve">Will Check and Call wen Neede </t>
  </si>
  <si>
    <t xml:space="preserve">Will check will DB </t>
  </si>
  <si>
    <t xml:space="preserve">Will Come Any Time </t>
  </si>
  <si>
    <t xml:space="preserve">Will Come in 10 days </t>
  </si>
  <si>
    <t xml:space="preserve">Will come nect week </t>
  </si>
  <si>
    <t xml:space="preserve">Will Come on 29 </t>
  </si>
  <si>
    <t xml:space="preserve">Will cUm </t>
  </si>
  <si>
    <t>will Cum , Hence Rejected</t>
  </si>
  <si>
    <t>will Cum. Rejected</t>
  </si>
  <si>
    <t xml:space="preserve">Will Speak To Brither </t>
  </si>
  <si>
    <t>Will Speak To bro</t>
  </si>
  <si>
    <t xml:space="preserve">will Speak to pakharam </t>
  </si>
  <si>
    <t>will take 1 month</t>
  </si>
  <si>
    <t xml:space="preserve">Will Take 3 months </t>
  </si>
  <si>
    <t xml:space="preserve">Will Take 6 months </t>
  </si>
  <si>
    <t xml:space="preserve">Will take in march </t>
  </si>
  <si>
    <t>Will Take time</t>
  </si>
  <si>
    <t xml:space="preserve">will take time </t>
  </si>
  <si>
    <t>Will Take Time , Rejected</t>
  </si>
  <si>
    <t>will Take time / Rejected</t>
  </si>
  <si>
    <t xml:space="preserve">will Take Tym </t>
  </si>
  <si>
    <t>woll take time Rejected</t>
  </si>
  <si>
    <t xml:space="preserve">YashPal no Given / Will Take time </t>
  </si>
  <si>
    <t>(blank)</t>
  </si>
  <si>
    <t>Grand Total</t>
  </si>
  <si>
    <t xml:space="preserve">Deal </t>
  </si>
  <si>
    <t>Assam</t>
  </si>
  <si>
    <t>East</t>
  </si>
  <si>
    <t>Bihar</t>
  </si>
  <si>
    <t xml:space="preserve">Bihar </t>
  </si>
  <si>
    <t>Chattisgarh</t>
  </si>
  <si>
    <t>Central</t>
  </si>
  <si>
    <t xml:space="preserve">Delhi </t>
  </si>
  <si>
    <t>North</t>
  </si>
  <si>
    <t>Goa</t>
  </si>
  <si>
    <t>West</t>
  </si>
  <si>
    <t>Gujarat</t>
  </si>
  <si>
    <t xml:space="preserve">Gujarat </t>
  </si>
  <si>
    <t>Haryana</t>
  </si>
  <si>
    <t xml:space="preserve">haryana </t>
  </si>
  <si>
    <t>jharkhand</t>
  </si>
  <si>
    <t>Madhya Pradesh</t>
  </si>
  <si>
    <t>Maharashtra</t>
  </si>
  <si>
    <t>Manipur</t>
  </si>
  <si>
    <t>Meghalaya</t>
  </si>
  <si>
    <t>Odisha</t>
  </si>
  <si>
    <t>Punjab</t>
  </si>
  <si>
    <t xml:space="preserve">Punjab </t>
  </si>
  <si>
    <t>Rajasthan</t>
  </si>
  <si>
    <t>Uttar Pradesh</t>
  </si>
  <si>
    <t xml:space="preserve">Uttar Pradesh </t>
  </si>
  <si>
    <t>Uttrakhand</t>
  </si>
  <si>
    <t>West Bengal</t>
  </si>
  <si>
    <t>Delhi</t>
  </si>
  <si>
    <t>Franchise Sales Performance Dashboard</t>
  </si>
  <si>
    <t>Lead Conversion • Revenue • Sales Performance Analytics</t>
  </si>
  <si>
    <t>📞Total Leads</t>
  </si>
  <si>
    <t>Conversion Rate %</t>
  </si>
  <si>
    <t xml:space="preserve">Revenue Generated </t>
  </si>
  <si>
    <t>Pipeline Value</t>
  </si>
  <si>
    <t>Lost Opportunity</t>
  </si>
  <si>
    <t>Avg Days To Closure</t>
  </si>
  <si>
    <t>Lead ID</t>
  </si>
  <si>
    <t xml:space="preserve">Date </t>
  </si>
  <si>
    <t>Campaign</t>
  </si>
  <si>
    <t>Clean_Campaign</t>
  </si>
  <si>
    <t>Name</t>
  </si>
  <si>
    <t>city</t>
  </si>
  <si>
    <t>State</t>
  </si>
  <si>
    <t>Remark</t>
  </si>
  <si>
    <t>Franchise Package Amount</t>
  </si>
  <si>
    <t xml:space="preserve">investment Amount </t>
  </si>
  <si>
    <t>Clean_Remark</t>
  </si>
  <si>
    <t>Standard Status</t>
  </si>
  <si>
    <t>Closing Date</t>
  </si>
  <si>
    <t>Days To Closure</t>
  </si>
  <si>
    <t>Pacakge Category</t>
  </si>
  <si>
    <t>Lead Month</t>
  </si>
  <si>
    <t>Lead Quarter</t>
  </si>
  <si>
    <t>Zone</t>
  </si>
  <si>
    <t>FB</t>
  </si>
  <si>
    <t>Rathod Kuldipsinh</t>
  </si>
  <si>
    <t>Kodinar</t>
  </si>
  <si>
    <t>Kiran Lashkari</t>
  </si>
  <si>
    <t xml:space="preserve"> Bhavnagar</t>
  </si>
  <si>
    <t>Abhay Naik</t>
  </si>
  <si>
    <t>Bardoli</t>
  </si>
  <si>
    <t>Kunalpatel</t>
  </si>
  <si>
    <t>Ahmedabad</t>
  </si>
  <si>
    <t>Kartik Kesarwani</t>
  </si>
  <si>
    <t>Allahabad</t>
  </si>
  <si>
    <t>Golu_Dwivedi</t>
  </si>
  <si>
    <t>Gonda</t>
  </si>
  <si>
    <t>સહજાનંદી સિંહ ધુ્વિક પટેલ</t>
  </si>
  <si>
    <t>Padra</t>
  </si>
  <si>
    <t>Het Thacker</t>
  </si>
  <si>
    <t>Bhuj</t>
  </si>
  <si>
    <t>Chintan Patel</t>
  </si>
  <si>
    <t>Rohit</t>
  </si>
  <si>
    <t>Baroda</t>
  </si>
  <si>
    <t>Balvantsinh Zala</t>
  </si>
  <si>
    <t>Somnath</t>
  </si>
  <si>
    <t>Rohit Yadav</t>
  </si>
  <si>
    <t>Kota</t>
  </si>
  <si>
    <t>Adnan Shaikh</t>
  </si>
  <si>
    <t>Bharuch</t>
  </si>
  <si>
    <t>Chavda Kamlesh</t>
  </si>
  <si>
    <t>Limdi</t>
  </si>
  <si>
    <t>Khushal Soni</t>
  </si>
  <si>
    <t>Jamnagar</t>
  </si>
  <si>
    <t>Sufiyan Kathiwala</t>
  </si>
  <si>
    <t>Visnagar</t>
  </si>
  <si>
    <t>Kunal Dafda</t>
  </si>
  <si>
    <t>Rajkot</t>
  </si>
  <si>
    <t>Jignesh Parekh</t>
  </si>
  <si>
    <t>borsad</t>
  </si>
  <si>
    <t>Mushtaq kapadia</t>
  </si>
  <si>
    <t>Surat</t>
  </si>
  <si>
    <t>Ravi Bhetariya</t>
  </si>
  <si>
    <t>Patel Meet</t>
  </si>
  <si>
    <t>Bavla</t>
  </si>
  <si>
    <t>deal</t>
  </si>
  <si>
    <t>Jagrut Jadeja</t>
  </si>
  <si>
    <t>Bantwa</t>
  </si>
  <si>
    <t>Gulamabbas Meghani</t>
  </si>
  <si>
    <t>𝕯ɪʟɪᴘ Ⱥᴄʜᴀʀʏᴀ</t>
  </si>
  <si>
    <t>Tharad</t>
  </si>
  <si>
    <t>mayur_ahir_3543</t>
  </si>
  <si>
    <t>Patel Jay</t>
  </si>
  <si>
    <t>Khambhat</t>
  </si>
  <si>
    <t>Keval Makwana</t>
  </si>
  <si>
    <t>Mehul</t>
  </si>
  <si>
    <t>Mota chiloda</t>
  </si>
  <si>
    <t>Shànú Pàrmàr</t>
  </si>
  <si>
    <t>Mehsana</t>
  </si>
  <si>
    <t>ak_dhapa_2287</t>
  </si>
  <si>
    <t>Rakesh Yogi</t>
  </si>
  <si>
    <t>Patan</t>
  </si>
  <si>
    <t>Vijay Patel</t>
  </si>
  <si>
    <t>Nadiad</t>
  </si>
  <si>
    <t>$oyeb</t>
  </si>
  <si>
    <t>Halol</t>
  </si>
  <si>
    <t>Neel Gohel</t>
  </si>
  <si>
    <t>Kamal Sinha</t>
  </si>
  <si>
    <t>dhamtari</t>
  </si>
  <si>
    <t>Zala Divyrajsinh Bharad</t>
  </si>
  <si>
    <t>Surendranagar</t>
  </si>
  <si>
    <t>THE_SATISH___7___||</t>
  </si>
  <si>
    <t>Bhargav Mulchandani</t>
  </si>
  <si>
    <t>Gandhidham</t>
  </si>
  <si>
    <t>HARSH</t>
  </si>
  <si>
    <t>𝐹𝑎𝑟ℎ𝑎𝑑 𝑉ℎ𝑜𝑟𝑎</t>
  </si>
  <si>
    <t>Nancy</t>
  </si>
  <si>
    <t>Panipat</t>
  </si>
  <si>
    <t>Ankit</t>
  </si>
  <si>
    <t>Mitul mevada</t>
  </si>
  <si>
    <t>𝕯𝖊𝖛𝖊𝖓𝖉𝖗𝖆 𝕾𝖎𝖓𝖌𝖍 𝕾𝖊𝖓𝖉𝖍𝖆𝖛</t>
  </si>
  <si>
    <t>Dewas</t>
  </si>
  <si>
    <t>Hitesh Parmar</t>
  </si>
  <si>
    <t>Kheralu</t>
  </si>
  <si>
    <t>karmrajsinh vadher</t>
  </si>
  <si>
    <t>Vivek Diyora</t>
  </si>
  <si>
    <t>Rajendrasinh Parmar</t>
  </si>
  <si>
    <t>Gandhinagar</t>
  </si>
  <si>
    <t>Gunjan // gp...</t>
  </si>
  <si>
    <t>𝐏 𝐀 𝐑 𝐓 𝐇</t>
  </si>
  <si>
    <t>D.m. Ahir</t>
  </si>
  <si>
    <t>Khambhalia</t>
  </si>
  <si>
    <t xml:space="preserve">Sandip Solanki </t>
  </si>
  <si>
    <t>Borsad</t>
  </si>
  <si>
    <t>Ammar Vahora</t>
  </si>
  <si>
    <t>Anand</t>
  </si>
  <si>
    <t>Kartik Patel</t>
  </si>
  <si>
    <t>🆂🅳🅷 🅽🅸🆁🆄🅳🅷🆂🅸🅽🅷 🅳</t>
  </si>
  <si>
    <t>Mundra</t>
  </si>
  <si>
    <t>Talala</t>
  </si>
  <si>
    <t>Asfak Parasara</t>
  </si>
  <si>
    <t>Wankaner</t>
  </si>
  <si>
    <t>Vaibhav Pandey</t>
  </si>
  <si>
    <t>Karwi</t>
  </si>
  <si>
    <t>AVDEEP</t>
  </si>
  <si>
    <t>Saumil Mistry</t>
  </si>
  <si>
    <t>M. P. Joshi Bhudev</t>
  </si>
  <si>
    <t>રણા વિશ્વજીતસિંહ સુરપાલસિંહ</t>
  </si>
  <si>
    <t>Motisarsan</t>
  </si>
  <si>
    <t>PATHAN</t>
  </si>
  <si>
    <t>Narendrasinh Parmar</t>
  </si>
  <si>
    <t>Banaskantha</t>
  </si>
  <si>
    <t>Dev Gandhi</t>
  </si>
  <si>
    <t>Safdar Shaikh</t>
  </si>
  <si>
    <t>MANGROL</t>
  </si>
  <si>
    <t>himanshu Amin</t>
  </si>
  <si>
    <t>16/06/2025</t>
  </si>
  <si>
    <t>Kaushik Ahir</t>
  </si>
  <si>
    <t>Daman</t>
  </si>
  <si>
    <t>𝙏𝙃𝙀 𝗩𝗔𝗚𝗛𝗘𝗟𝗔 𝗞𝗜𝗦𝗛𝗔𝗡 𝗢𝗙𝗙𝗜𝗖𝗜𝗔𝗟</t>
  </si>
  <si>
    <t>Nilesh ramavat</t>
  </si>
  <si>
    <t>damnagar</t>
  </si>
  <si>
    <t>Yunus</t>
  </si>
  <si>
    <t>Okha</t>
  </si>
  <si>
    <t>SMIT_____ox</t>
  </si>
  <si>
    <t>Unai</t>
  </si>
  <si>
    <t>Viju sankhat</t>
  </si>
  <si>
    <t>Mahuva</t>
  </si>
  <si>
    <t>Jadeja Harshdipsinhji</t>
  </si>
  <si>
    <t>17/06/2025</t>
  </si>
  <si>
    <t>FeNeel Patel &amp; Co.</t>
  </si>
  <si>
    <t>Manish Kantibhai Patel</t>
  </si>
  <si>
    <t>Akash Kapatel</t>
  </si>
  <si>
    <t>Dhaval</t>
  </si>
  <si>
    <t>Valsad</t>
  </si>
  <si>
    <t>คʀຮhคd 𝐅ɑ𝐫ᵤⲕǐ</t>
  </si>
  <si>
    <t>18/06/2025</t>
  </si>
  <si>
    <t>Omkar Dudharejiya</t>
  </si>
  <si>
    <t>Karan Khatri</t>
  </si>
  <si>
    <t>Nikhil</t>
  </si>
  <si>
    <t>Salim bhai</t>
  </si>
  <si>
    <t>Rapar</t>
  </si>
  <si>
    <t>yagnik</t>
  </si>
  <si>
    <t>Raj</t>
  </si>
  <si>
    <t>Palghar</t>
  </si>
  <si>
    <t>chaudhary nik</t>
  </si>
  <si>
    <t>Kaushik</t>
  </si>
  <si>
    <t>Parth Patel</t>
  </si>
  <si>
    <t>RAJPUROHIT LOONSINGH</t>
  </si>
  <si>
    <t>Vadodara</t>
  </si>
  <si>
    <t>Porbandar</t>
  </si>
  <si>
    <t>Vikram Rabari</t>
  </si>
  <si>
    <t>Vinchhiya</t>
  </si>
  <si>
    <t>Mr. Collection</t>
  </si>
  <si>
    <t>ibrahim_shekha</t>
  </si>
  <si>
    <t>surat</t>
  </si>
  <si>
    <t>13/06/2025</t>
  </si>
  <si>
    <t>Sandhya Prajapati</t>
  </si>
  <si>
    <t>Montu Rathod</t>
  </si>
  <si>
    <t>Jetpur</t>
  </si>
  <si>
    <t>14/06/2025</t>
  </si>
  <si>
    <t>Raeesh Shaikh</t>
  </si>
  <si>
    <t>Jaydeep Devda</t>
  </si>
  <si>
    <t>Fatepura</t>
  </si>
  <si>
    <t>Sohil Barchha</t>
  </si>
  <si>
    <t>Mihir P Machhi</t>
  </si>
  <si>
    <t>Rajpipla</t>
  </si>
  <si>
    <t>Timir Shah</t>
  </si>
  <si>
    <t>Ahir Umesh Barad</t>
  </si>
  <si>
    <t>નટખટ મારો કાનો</t>
  </si>
  <si>
    <t>bhagirath Singh Rathore</t>
  </si>
  <si>
    <t>sankhara</t>
  </si>
  <si>
    <t>Mihir</t>
  </si>
  <si>
    <t>Amit Patel</t>
  </si>
  <si>
    <t>Narsinghpur</t>
  </si>
  <si>
    <t>Noor alam</t>
  </si>
  <si>
    <t>Bahraich</t>
  </si>
  <si>
    <t>Uttar pradesh</t>
  </si>
  <si>
    <t>Harsh</t>
  </si>
  <si>
    <t>Prayagaraj</t>
  </si>
  <si>
    <t>Rajesh Rabari</t>
  </si>
  <si>
    <t>Boghara parth</t>
  </si>
  <si>
    <t>Aakash Caterers</t>
  </si>
  <si>
    <t>𝐕𝐚𝐠𝐡𝐞𝐥𝐚 𝐘𝐚𝐬𝐡𝐫𝐚𝐣𝐬𝐢𝐧𝐡</t>
  </si>
  <si>
    <t>Sanand</t>
  </si>
  <si>
    <t>Vishal Rajgor</t>
  </si>
  <si>
    <t>દિવ્યરાજસિંહ વાઘેલા</t>
  </si>
  <si>
    <t>𝐌𝐚𝐧𝐢𝐬𝐡 𝐜𝐡𝐚𝐮𝐡𝐚𝐧</t>
  </si>
  <si>
    <t>Noida</t>
  </si>
  <si>
    <t>Mahesh Sahu</t>
  </si>
  <si>
    <t>Mau Ranipur</t>
  </si>
  <si>
    <t>M Arsh</t>
  </si>
  <si>
    <t>Manoj Malik</t>
  </si>
  <si>
    <t>Ghaziabad</t>
  </si>
  <si>
    <t>𝚁𝚘𝚗𝚒𝚝 𝙲𝚑𝚊𝚗𝚍el</t>
  </si>
  <si>
    <t>Meerut</t>
  </si>
  <si>
    <t>Rangesh Kumar</t>
  </si>
  <si>
    <t>Khagaria</t>
  </si>
  <si>
    <t>Meet Patadiya</t>
  </si>
  <si>
    <t>chauhan jayant</t>
  </si>
  <si>
    <t>Akash Aggarwal</t>
  </si>
  <si>
    <t>Arshad Khan</t>
  </si>
  <si>
    <t>Baikunthpur</t>
  </si>
  <si>
    <t>Samad</t>
  </si>
  <si>
    <t>Kanpur</t>
  </si>
  <si>
    <t>Avakesh Vaghela</t>
  </si>
  <si>
    <t>19/06/2025</t>
  </si>
  <si>
    <t>Ranjitsinh Thakor</t>
  </si>
  <si>
    <t>Vadnagar</t>
  </si>
  <si>
    <t>Pravinsinh</t>
  </si>
  <si>
    <t>Chadasna</t>
  </si>
  <si>
    <t>Rajesh</t>
  </si>
  <si>
    <t>Dev Jariwala</t>
  </si>
  <si>
    <t>20/06/2025</t>
  </si>
  <si>
    <t>Nikunj Patel</t>
  </si>
  <si>
    <t>VALSAD</t>
  </si>
  <si>
    <t>ↁ卄尺ㄩƔ P A T E L</t>
  </si>
  <si>
    <t>23/06/2025</t>
  </si>
  <si>
    <t>MD AMIR HAMZA</t>
  </si>
  <si>
    <t>monu kumar</t>
  </si>
  <si>
    <t>Bettiah</t>
  </si>
  <si>
    <t>RAHUL_PINJANI_24</t>
  </si>
  <si>
    <t>☬꧂ ɢǟʊʀǟʋ քʀǟʝǟքǟȶɨ ☬꧂</t>
  </si>
  <si>
    <t>Vivek_vadodariya2601</t>
  </si>
  <si>
    <t>Dharmesh Zakheliya</t>
  </si>
  <si>
    <t>Sun Shaine Imran Lihar</t>
  </si>
  <si>
    <t>Modasa</t>
  </si>
  <si>
    <t>jayesh gauswami</t>
  </si>
  <si>
    <t>Adipur</t>
  </si>
  <si>
    <t>Danidhariya Vipul</t>
  </si>
  <si>
    <t>ʀ ᴀ ʜ ᴜ ʟ ࿇ м ᴀ ᴋ ᴠ ᴀ ɴ ᴀ</t>
  </si>
  <si>
    <t>Jinesh Joshi</t>
  </si>
  <si>
    <t>Prajapati Yogesh</t>
  </si>
  <si>
    <t>Ankleshwar</t>
  </si>
  <si>
    <t>Modan Bhaijan Modan</t>
  </si>
  <si>
    <t>Dhruv 1137</t>
  </si>
  <si>
    <t>Gopal Sadhu</t>
  </si>
  <si>
    <t>SURAT</t>
  </si>
  <si>
    <t>Jhalod</t>
  </si>
  <si>
    <t>Mahir Andheri</t>
  </si>
  <si>
    <t>…….</t>
  </si>
  <si>
    <t>SANDIPSINH RAJPUT</t>
  </si>
  <si>
    <t>Vav</t>
  </si>
  <si>
    <t>JATIN GUJARIYA</t>
  </si>
  <si>
    <t>Mahuva Bandar</t>
  </si>
  <si>
    <t>P N Jadeja</t>
  </si>
  <si>
    <t>Riyaz Pathan</t>
  </si>
  <si>
    <t>Veraval</t>
  </si>
  <si>
    <t>SOLANKI MITESH</t>
  </si>
  <si>
    <t>Dhangdhra</t>
  </si>
  <si>
    <t>Shishupal Bishnoi</t>
  </si>
  <si>
    <t>Jigar Ramanbhai Patel</t>
  </si>
  <si>
    <t>Sahebaz Shaikh</t>
  </si>
  <si>
    <t>Khalid Mandha</t>
  </si>
  <si>
    <t>BhaRat ChauDhary</t>
  </si>
  <si>
    <t>Dhanera</t>
  </si>
  <si>
    <t>Hiren</t>
  </si>
  <si>
    <t>Rakesh Parmar</t>
  </si>
  <si>
    <t xml:space="preserve">jatin </t>
  </si>
  <si>
    <t xml:space="preserve">Mahuva </t>
  </si>
  <si>
    <t>26/06/2025</t>
  </si>
  <si>
    <t>Udaysinh</t>
  </si>
  <si>
    <t>Vikram Rajput</t>
  </si>
  <si>
    <t>Rajsee Pandey</t>
  </si>
  <si>
    <t>Lucknow</t>
  </si>
  <si>
    <t>Anowar Hossain</t>
  </si>
  <si>
    <t xml:space="preserve"> Cooch behar</t>
  </si>
  <si>
    <t>Alok</t>
  </si>
  <si>
    <t>27/06/2025</t>
  </si>
  <si>
    <t>ꜱᴏʜɪʟ ʙɪʟᴀᴋʜɪʏᴀ</t>
  </si>
  <si>
    <t>Palitana</t>
  </si>
  <si>
    <t>Amit Rana</t>
  </si>
  <si>
    <t>Vaibhav Joshi</t>
  </si>
  <si>
    <t>Narendrasinh Zala</t>
  </si>
  <si>
    <t>Thakkar Mahesh Anubhai</t>
  </si>
  <si>
    <t>Galathiya Parth</t>
  </si>
  <si>
    <t>Savarkundla</t>
  </si>
  <si>
    <t>Kritika singh</t>
  </si>
  <si>
    <t>Beohari</t>
  </si>
  <si>
    <t>28/06/2025</t>
  </si>
  <si>
    <t>Samad Agwan.</t>
  </si>
  <si>
    <t>veraval</t>
  </si>
  <si>
    <t>𝐀𝐕𝐄𝐒𝐇 𝐕𝐀𝐃𝐀𝐃𝐀𝐑𝐈𝐘𝐀</t>
  </si>
  <si>
    <t>Raju Kumar Sah</t>
  </si>
  <si>
    <t>Godda</t>
  </si>
  <si>
    <t>Tanmay adhikari</t>
  </si>
  <si>
    <t>GOPAL</t>
  </si>
  <si>
    <t>29/06/2025</t>
  </si>
  <si>
    <t>Mayur</t>
  </si>
  <si>
    <t>Gita.k</t>
  </si>
  <si>
    <t>Lakhamipur</t>
  </si>
  <si>
    <t>Ravi Prajapati</t>
  </si>
  <si>
    <t>Raviraj Bhagat</t>
  </si>
  <si>
    <t>Thangadh</t>
  </si>
  <si>
    <t>30/06/2025</t>
  </si>
  <si>
    <t>NA</t>
  </si>
  <si>
    <t>Adesar</t>
  </si>
  <si>
    <t>RAJA</t>
  </si>
  <si>
    <t>Jethava Bhavdip</t>
  </si>
  <si>
    <t>Jayraj Sinh Vaghela</t>
  </si>
  <si>
    <t>hirenbhai upadhyay</t>
  </si>
  <si>
    <t>MAHUVA</t>
  </si>
  <si>
    <t>jay</t>
  </si>
  <si>
    <t>Vikas Nayak</t>
  </si>
  <si>
    <t>atul_ahir_3204</t>
  </si>
  <si>
    <t>Rahul Chavhan</t>
  </si>
  <si>
    <t>Amravati</t>
  </si>
  <si>
    <t>Anand Suryavanshi</t>
  </si>
  <si>
    <t>Patna</t>
  </si>
  <si>
    <t>Arman Pathan</t>
  </si>
  <si>
    <t>Salman Vohra</t>
  </si>
  <si>
    <t>Deep wadera</t>
  </si>
  <si>
    <t>kihala</t>
  </si>
  <si>
    <t>Shubham chaudhary</t>
  </si>
  <si>
    <t>Rishabh Verma</t>
  </si>
  <si>
    <t>Barabanki</t>
  </si>
  <si>
    <t>manish</t>
  </si>
  <si>
    <t>Rudrapur</t>
  </si>
  <si>
    <t>Sanjoy Das</t>
  </si>
  <si>
    <t>sodepure</t>
  </si>
  <si>
    <t>west bengal</t>
  </si>
  <si>
    <t>SUBHAN KHAN</t>
  </si>
  <si>
    <t>Baisi</t>
  </si>
  <si>
    <t>Bhavesh Khamal</t>
  </si>
  <si>
    <t>vertez</t>
  </si>
  <si>
    <t>Chandresh Raval</t>
  </si>
  <si>
    <t>Panva</t>
  </si>
  <si>
    <t>Dhumadiya Vishal S</t>
  </si>
  <si>
    <t>Govind rabari</t>
  </si>
  <si>
    <t>༒ ⁂𝐌𝐔𝐊𝐄𝐒𝐇_चौधरी༆⁂ ༒(M.P)</t>
  </si>
  <si>
    <t>Prakashsinh Rajput</t>
  </si>
  <si>
    <t>Riyaz</t>
  </si>
  <si>
    <t>*જय દ્વ།ཞક།धिश*</t>
  </si>
  <si>
    <t>Vaso</t>
  </si>
  <si>
    <t>Jatin Goswami</t>
  </si>
  <si>
    <t>Sanjaysinh Chavada</t>
  </si>
  <si>
    <t>Mansa</t>
  </si>
  <si>
    <t>Mustafa</t>
  </si>
  <si>
    <t>Palanpur</t>
  </si>
  <si>
    <t>Shivam Singh Bhadauria</t>
  </si>
  <si>
    <t>Mainpuri</t>
  </si>
  <si>
    <t>Shahrukh mansuri</t>
  </si>
  <si>
    <t>Shajapur</t>
  </si>
  <si>
    <t>Rohit Doriwal</t>
  </si>
  <si>
    <t>Jaipur</t>
  </si>
  <si>
    <t>sourav tamrakar</t>
  </si>
  <si>
    <t>Jamshedpur</t>
  </si>
  <si>
    <t>Jharkhand</t>
  </si>
  <si>
    <t>Sachin Chauhan</t>
  </si>
  <si>
    <t>nehtaur</t>
  </si>
  <si>
    <t>sᴀᴍᴀᴊɪᴛ ᴍᴏɴᴅᴀʟ</t>
  </si>
  <si>
    <t>Murshidabad</t>
  </si>
  <si>
    <t>Yogesh Poonia</t>
  </si>
  <si>
    <t>Chirawa</t>
  </si>
  <si>
    <t>Ketan Joshi</t>
  </si>
  <si>
    <t>Kripalsinh Rajput</t>
  </si>
  <si>
    <t>Wadhwan</t>
  </si>
  <si>
    <t>Ravi Talshaniya</t>
  </si>
  <si>
    <t>Sayed Firoz</t>
  </si>
  <si>
    <t>GOHIL_1212_</t>
  </si>
  <si>
    <t>Nilesh Chauhan</t>
  </si>
  <si>
    <t>Dhaval Pateliya</t>
  </si>
  <si>
    <t>AK</t>
  </si>
  <si>
    <t>Jamjodhpur</t>
  </si>
  <si>
    <t>Vaghela Jaydeep Vaghela</t>
  </si>
  <si>
    <t>Shaikh kalim</t>
  </si>
  <si>
    <t>Buldana</t>
  </si>
  <si>
    <t>Ashutosh</t>
  </si>
  <si>
    <t>Vimal Chauhan</t>
  </si>
  <si>
    <t>Jepan Shah</t>
  </si>
  <si>
    <t>Shiv Chakravati</t>
  </si>
  <si>
    <t>Bharat Shiyaliya</t>
  </si>
  <si>
    <t>Sunil Maldhari</t>
  </si>
  <si>
    <t>યોગેશ બાબરીયા</t>
  </si>
  <si>
    <t>Raviraj sinh Chauhan</t>
  </si>
  <si>
    <t>18/07/2025</t>
  </si>
  <si>
    <t>Hushvendra khanuja</t>
  </si>
  <si>
    <t>Rigan Desai</t>
  </si>
  <si>
    <t>Satyajeetbhai tamaliya</t>
  </si>
  <si>
    <t>Mahesh Vaghela</t>
  </si>
  <si>
    <t>Botad</t>
  </si>
  <si>
    <t>𝐆𝐄𝐃𝐈𝐘𝐀</t>
  </si>
  <si>
    <t>Amreli</t>
  </si>
  <si>
    <t>Lalit Chouhan</t>
  </si>
  <si>
    <t>pilkhuwa</t>
  </si>
  <si>
    <t>SaiR</t>
  </si>
  <si>
    <t>Mayank Rathod</t>
  </si>
  <si>
    <t>Salim kureshi</t>
  </si>
  <si>
    <t>chhottaudepur</t>
  </si>
  <si>
    <t>sajan shah</t>
  </si>
  <si>
    <t>bharat sinh solanki</t>
  </si>
  <si>
    <t>Godhra</t>
  </si>
  <si>
    <t>Meet Adatiya</t>
  </si>
  <si>
    <t>Pradipsinh Jadeja Nanimarad</t>
  </si>
  <si>
    <t>Dhoraji</t>
  </si>
  <si>
    <t>Pritesh Narigra</t>
  </si>
  <si>
    <t>Vapi</t>
  </si>
  <si>
    <t>Sohelkhan</t>
  </si>
  <si>
    <t>Junagadh</t>
  </si>
  <si>
    <t>Niraj Gorasia</t>
  </si>
  <si>
    <t>Shubham Pandey</t>
  </si>
  <si>
    <t>Khajuria</t>
  </si>
  <si>
    <t>Sanket Thorat</t>
  </si>
  <si>
    <t>Pune</t>
  </si>
  <si>
    <t>𝐌𝐀𝐍𝐈𝐒𝐇 𝐏𝐀𝐓𝐄𝐋</t>
  </si>
  <si>
    <t>Darshil Patel</t>
  </si>
  <si>
    <t>Saurabh Patel</t>
  </si>
  <si>
    <t>Shaikh Mohammed Aakip</t>
  </si>
  <si>
    <t>Vimesh Panchal</t>
  </si>
  <si>
    <t>Rutvi Chauhan Boradiya</t>
  </si>
  <si>
    <t>J.P.DOO {અઘરી નોટ}</t>
  </si>
  <si>
    <t>PARTH RAJYGURU</t>
  </si>
  <si>
    <t>bhuvan</t>
  </si>
  <si>
    <t>VR J A D E J A</t>
  </si>
  <si>
    <t>Mandvi</t>
  </si>
  <si>
    <t>Alpesh Bhikadiya</t>
  </si>
  <si>
    <t>Brijesh Sheladiya</t>
  </si>
  <si>
    <t>Yadav Yashkumar maheshbhai</t>
  </si>
  <si>
    <t>AJ</t>
  </si>
  <si>
    <t>Vishal Patel</t>
  </si>
  <si>
    <t>Mayuri</t>
  </si>
  <si>
    <t>Amit Gupta</t>
  </si>
  <si>
    <t>Padrauna</t>
  </si>
  <si>
    <t>uttar Pradesh</t>
  </si>
  <si>
    <t>Suraj Sharma</t>
  </si>
  <si>
    <t>mathura</t>
  </si>
  <si>
    <t>Ayush Seth</t>
  </si>
  <si>
    <t>Jhansi</t>
  </si>
  <si>
    <t>Rajeev Kumar</t>
  </si>
  <si>
    <t>Dehradun</t>
  </si>
  <si>
    <t>Sagar</t>
  </si>
  <si>
    <t>latur</t>
  </si>
  <si>
    <t>SANJEEV KUMAR</t>
  </si>
  <si>
    <t>Ajitmal</t>
  </si>
  <si>
    <t>Dhiraj kumar soni</t>
  </si>
  <si>
    <t>birpara</t>
  </si>
  <si>
    <t>Krishna Kumar</t>
  </si>
  <si>
    <t>kushinagar</t>
  </si>
  <si>
    <t>Aditya Kumar Raut</t>
  </si>
  <si>
    <t>Dhaka</t>
  </si>
  <si>
    <t>Divyanshu Tiwari</t>
  </si>
  <si>
    <t>ballia</t>
  </si>
  <si>
    <t>east chaMadhya Pradesharan</t>
  </si>
  <si>
    <t>Dangar Raviraj Ahir</t>
  </si>
  <si>
    <t>Jagdish Maheshwari</t>
  </si>
  <si>
    <t>MaYaNk PaTeL</t>
  </si>
  <si>
    <t>Afreen Fidahusein Surti</t>
  </si>
  <si>
    <t>Dixit Soni</t>
  </si>
  <si>
    <t>Jay Solanki</t>
  </si>
  <si>
    <t>Delwada</t>
  </si>
  <si>
    <t>🅺🅳 🅷🅸🆁</t>
  </si>
  <si>
    <t>Kirtan Patel</t>
  </si>
  <si>
    <t>Babu Bariya</t>
  </si>
  <si>
    <t>diu</t>
  </si>
  <si>
    <t>Thakor Sachin</t>
  </si>
  <si>
    <t>Prakash Solanki</t>
  </si>
  <si>
    <t>Dhaval Rupareliya</t>
  </si>
  <si>
    <t>Gondal</t>
  </si>
  <si>
    <t>Haris Bangra</t>
  </si>
  <si>
    <t>Mangrol</t>
  </si>
  <si>
    <t>Rohan Padhiyar</t>
  </si>
  <si>
    <t>Salman Shah</t>
  </si>
  <si>
    <t>multai</t>
  </si>
  <si>
    <t>Ravi Chaudhary</t>
  </si>
  <si>
    <t>Raebareli</t>
  </si>
  <si>
    <t>14/07/2025</t>
  </si>
  <si>
    <t>Ashish Kumar</t>
  </si>
  <si>
    <t>Patna New City</t>
  </si>
  <si>
    <t>Deepak Kumar</t>
  </si>
  <si>
    <t>Raxaul</t>
  </si>
  <si>
    <t>Arjun kumar</t>
  </si>
  <si>
    <t>kapilkarena</t>
  </si>
  <si>
    <t>VAPI</t>
  </si>
  <si>
    <t>Dharmarajsinh Chudasama</t>
  </si>
  <si>
    <t>Jadeja Mahendra Sih</t>
  </si>
  <si>
    <t>Jatin</t>
  </si>
  <si>
    <t>Parakramsinh Vaghela</t>
  </si>
  <si>
    <t>Satish Patel</t>
  </si>
  <si>
    <t>Sarvan Modi Modi</t>
  </si>
  <si>
    <t>Diyodar</t>
  </si>
  <si>
    <t>Dax Pipaliya</t>
  </si>
  <si>
    <t>Keshod</t>
  </si>
  <si>
    <t>Ajay Rangwal</t>
  </si>
  <si>
    <t>Udgir</t>
  </si>
  <si>
    <t>Gaurav Nikam Patil</t>
  </si>
  <si>
    <t>Nashik</t>
  </si>
  <si>
    <t>Shirur</t>
  </si>
  <si>
    <t>Mitu Swain</t>
  </si>
  <si>
    <t>Cuttck</t>
  </si>
  <si>
    <t>Aslam khn</t>
  </si>
  <si>
    <t>kuchaman city</t>
  </si>
  <si>
    <t>shripal</t>
  </si>
  <si>
    <t>meerut</t>
  </si>
  <si>
    <t>Biseswar Barman</t>
  </si>
  <si>
    <t>Cooch Behar</t>
  </si>
  <si>
    <t>Aniket Yadav</t>
  </si>
  <si>
    <t>BALLIA</t>
  </si>
  <si>
    <t>15/07/2025</t>
  </si>
  <si>
    <t>naimish jani</t>
  </si>
  <si>
    <t>Rushirajsinh Gohil</t>
  </si>
  <si>
    <t>NiHal ĀçHàrÿæ</t>
  </si>
  <si>
    <t>°RADHE°°2990°</t>
  </si>
  <si>
    <t>Vijay Kumbhani</t>
  </si>
  <si>
    <t>Ravi Dabhi</t>
  </si>
  <si>
    <t>haresh gohil</t>
  </si>
  <si>
    <t>Jayvirbhai Khuman</t>
  </si>
  <si>
    <t>SuMiTpAnDaV__</t>
  </si>
  <si>
    <t>𝐀𝐤𝐬𝐡𝐚𝐭 𝐏𝐚𝐫𝐦𝐚𝐫</t>
  </si>
  <si>
    <t>Navsari</t>
  </si>
  <si>
    <t>NAYAN SHINGADIYA</t>
  </si>
  <si>
    <t>16/07/2025</t>
  </si>
  <si>
    <t>Chovasiya Uttam K</t>
  </si>
  <si>
    <t>Avi Khatri</t>
  </si>
  <si>
    <t>Hemant Kumar</t>
  </si>
  <si>
    <t>Yagnik Patel</t>
  </si>
  <si>
    <t>himmatnagar</t>
  </si>
  <si>
    <t>Krut</t>
  </si>
  <si>
    <t>Dangar Bhavesh Ahir</t>
  </si>
  <si>
    <t>Sidharth Agrawal</t>
  </si>
  <si>
    <t>Indore</t>
  </si>
  <si>
    <t>Madhya pradesh</t>
  </si>
  <si>
    <t xml:space="preserve">Navojth Singh </t>
  </si>
  <si>
    <t>Hanumangarh</t>
  </si>
  <si>
    <t>Utsav Sharma</t>
  </si>
  <si>
    <t>moradabad</t>
  </si>
  <si>
    <t>Sanjeev kumar bhati</t>
  </si>
  <si>
    <t>Bulandshahr</t>
  </si>
  <si>
    <t>Pawan Shukla</t>
  </si>
  <si>
    <t>Sachin Mishra</t>
  </si>
  <si>
    <t>Tulsipur</t>
  </si>
  <si>
    <t>Arif Hossain</t>
  </si>
  <si>
    <t>RaMadhya Pradeshur Hat</t>
  </si>
  <si>
    <t>Himanshu Bhadoriya</t>
  </si>
  <si>
    <t>Narol</t>
  </si>
  <si>
    <t>Richard Dass</t>
  </si>
  <si>
    <t>Rajesh Damor</t>
  </si>
  <si>
    <t>Rajendrasinh Dabhi</t>
  </si>
  <si>
    <t>Borvai</t>
  </si>
  <si>
    <t>17/07/2025</t>
  </si>
  <si>
    <t>Ketan Swami</t>
  </si>
  <si>
    <t>Nimish</t>
  </si>
  <si>
    <t>Kalpesh Mandaviya</t>
  </si>
  <si>
    <t>Roshan Makwana</t>
  </si>
  <si>
    <t>Adv Mo Akil Saiyad</t>
  </si>
  <si>
    <t>vallbhipur</t>
  </si>
  <si>
    <t>Sumit Utwani</t>
  </si>
  <si>
    <t>Nandaniya Ashvin</t>
  </si>
  <si>
    <t>atul arya</t>
  </si>
  <si>
    <t>Ghazipur</t>
  </si>
  <si>
    <t>uttar pradesh</t>
  </si>
  <si>
    <t>Abhishek newara</t>
  </si>
  <si>
    <t>Naranbhai Patel</t>
  </si>
  <si>
    <t>KIRANBHAI VIRASH</t>
  </si>
  <si>
    <t>Rajesh Prajapati</t>
  </si>
  <si>
    <t>Bhachau</t>
  </si>
  <si>
    <t>Sakil Mansuri</t>
  </si>
  <si>
    <t>Vahora Sohil</t>
  </si>
  <si>
    <t>anand</t>
  </si>
  <si>
    <t>Raju Sarvaiya</t>
  </si>
  <si>
    <t>𓄂𝙈𝘼𝙃𝙀𝙎𝙃𝙎𝙄𝙉𝙃__𝘽𝘼𝙉𝙉𝘼__</t>
  </si>
  <si>
    <t>Jaydip B</t>
  </si>
  <si>
    <t>19/07/2025</t>
  </si>
  <si>
    <t>Riyan M</t>
  </si>
  <si>
    <t>JAYVEERSINH M JADEJA</t>
  </si>
  <si>
    <t>Haresh Patel</t>
  </si>
  <si>
    <t>sunil</t>
  </si>
  <si>
    <t>Dhruv Patel</t>
  </si>
  <si>
    <t>Kadi</t>
  </si>
  <si>
    <t>PâTu PâTêl</t>
  </si>
  <si>
    <t>Siddharth Sonkar</t>
  </si>
  <si>
    <t>shahnawaz khan</t>
  </si>
  <si>
    <t>Olpad</t>
  </si>
  <si>
    <t>20/07/2025</t>
  </si>
  <si>
    <t>Md rahim</t>
  </si>
  <si>
    <t>varanasi</t>
  </si>
  <si>
    <t>21/07/2025</t>
  </si>
  <si>
    <t>Jitendra Chauhan</t>
  </si>
  <si>
    <t>Paatan</t>
  </si>
  <si>
    <t>Mukesh Prajapati</t>
  </si>
  <si>
    <t>Gautam Patel</t>
  </si>
  <si>
    <t>Mds Officially</t>
  </si>
  <si>
    <t>Deesa</t>
  </si>
  <si>
    <t>AK Stationery</t>
  </si>
  <si>
    <t>ᴀʟʟᴀʀᴀᴋʜᴀ sᴜʀᴛɪ</t>
  </si>
  <si>
    <t>bhumip_1404</t>
  </si>
  <si>
    <t>| 𝐉𝐈𝐓𝐄𝐍𝐃𝐑𝐀 |</t>
  </si>
  <si>
    <t>JunaDeesa</t>
  </si>
  <si>
    <t>Ram kumar</t>
  </si>
  <si>
    <t>Mihir Bapodra</t>
  </si>
  <si>
    <t>Madhusudam sharma</t>
  </si>
  <si>
    <t>Alwasa</t>
  </si>
  <si>
    <t>Tejlav</t>
  </si>
  <si>
    <t>Khatri tejkaran Govardhanbhai</t>
  </si>
  <si>
    <t>Anil Kumar</t>
  </si>
  <si>
    <t>22/07/2025</t>
  </si>
  <si>
    <t>Ramniklal Gokaldas Vaghela</t>
  </si>
  <si>
    <t>Pavan Gadhiya</t>
  </si>
  <si>
    <t xml:space="preserve">Surat </t>
  </si>
  <si>
    <t>Viral</t>
  </si>
  <si>
    <t>SAGARO_BHARVAD</t>
  </si>
  <si>
    <t>Aarya</t>
  </si>
  <si>
    <t>sorathiya sagar</t>
  </si>
  <si>
    <t>JAY BAROT</t>
  </si>
  <si>
    <t>Bhushan Ramesh sonwane</t>
  </si>
  <si>
    <t>Jignesh Patel</t>
  </si>
  <si>
    <t>Adv Mo Akil</t>
  </si>
  <si>
    <t>Dhandhuka</t>
  </si>
  <si>
    <t>Bindiya Sharma</t>
  </si>
  <si>
    <t>Trilok</t>
  </si>
  <si>
    <t>Ronak</t>
  </si>
  <si>
    <t>23/07/2025</t>
  </si>
  <si>
    <t>Vrundav Gamit</t>
  </si>
  <si>
    <t>Vyara</t>
  </si>
  <si>
    <t>Solat Tejas</t>
  </si>
  <si>
    <t>Salim Madaam</t>
  </si>
  <si>
    <t>piyush Dave</t>
  </si>
  <si>
    <t>HK Ahir</t>
  </si>
  <si>
    <t>Ninama Purshottam</t>
  </si>
  <si>
    <t>Limkheda</t>
  </si>
  <si>
    <t>Yuvraj Yuvraj</t>
  </si>
  <si>
    <t>Nagabhai meramanbhai parmar</t>
  </si>
  <si>
    <t>Yogesh kidecha</t>
  </si>
  <si>
    <t>S.M.I.T.R.A.J</t>
  </si>
  <si>
    <t>Rahul</t>
  </si>
  <si>
    <t>Gopal das</t>
  </si>
  <si>
    <t>ALIPURDUAR</t>
  </si>
  <si>
    <t>vikarm Singh</t>
  </si>
  <si>
    <t>Ganganagar</t>
  </si>
  <si>
    <t>24/07/2025</t>
  </si>
  <si>
    <t>Krishu Gauswami</t>
  </si>
  <si>
    <t>Una</t>
  </si>
  <si>
    <t>28/07/2025</t>
  </si>
  <si>
    <t>Parmar Dipesh</t>
  </si>
  <si>
    <t>Kvin Raghuvanshi</t>
  </si>
  <si>
    <t>Magnani Jitu</t>
  </si>
  <si>
    <t>Hasan</t>
  </si>
  <si>
    <t>Shabir Barejiya</t>
  </si>
  <si>
    <t>Visavadar</t>
  </si>
  <si>
    <t>Brijesh Vahan</t>
  </si>
  <si>
    <t>Makwana Viral</t>
  </si>
  <si>
    <t>Jambusar</t>
  </si>
  <si>
    <t>Sunil dhangar</t>
  </si>
  <si>
    <t>Malataj Bagiwala</t>
  </si>
  <si>
    <t>Jatin dudharejiya</t>
  </si>
  <si>
    <t>Kishan Maru</t>
  </si>
  <si>
    <t>Pratik</t>
  </si>
  <si>
    <t>PIYUSH</t>
  </si>
  <si>
    <t>Kiran Parmar</t>
  </si>
  <si>
    <t>WA</t>
  </si>
  <si>
    <t>Ratanpada</t>
  </si>
  <si>
    <t>25/07/2025</t>
  </si>
  <si>
    <t>Nazir Dhanani</t>
  </si>
  <si>
    <t>dipraj</t>
  </si>
  <si>
    <t>Shaishav Kapadia</t>
  </si>
  <si>
    <t>Rushil Patel</t>
  </si>
  <si>
    <t>Nirmit Patel</t>
  </si>
  <si>
    <t>Dhranga Rajdeep</t>
  </si>
  <si>
    <t>ᴀꜱʜɪꜱʜ_ᴍɪꜱᴛʀy</t>
  </si>
  <si>
    <t>PRÃKÅSH RĀVÄL</t>
  </si>
  <si>
    <t>Dharmesh</t>
  </si>
  <si>
    <t>Jay Mali</t>
  </si>
  <si>
    <t>Parmar Vivek</t>
  </si>
  <si>
    <t>26/07/2025</t>
  </si>
  <si>
    <t>Ramsinh Zala</t>
  </si>
  <si>
    <t>Mustufa Mansuri</t>
  </si>
  <si>
    <t>Abhijitt solanki</t>
  </si>
  <si>
    <t>DharaMadhya Pradeshur</t>
  </si>
  <si>
    <t>Patel Ravi</t>
  </si>
  <si>
    <t>sam</t>
  </si>
  <si>
    <t>Soyab Pathan</t>
  </si>
  <si>
    <t>prince</t>
  </si>
  <si>
    <t>DISHANT DARJI</t>
  </si>
  <si>
    <t>Uravish Chudasama</t>
  </si>
  <si>
    <t>Avdhesh Singh</t>
  </si>
  <si>
    <t>Deodar</t>
  </si>
  <si>
    <t>Chudasama URVISH</t>
  </si>
  <si>
    <t>27/07/2025</t>
  </si>
  <si>
    <t>RATHOD RANJITSINH SHANABHAI</t>
  </si>
  <si>
    <t>Patel Umang</t>
  </si>
  <si>
    <t>Bilasiya</t>
  </si>
  <si>
    <t>ABUKHIZAR Ansari</t>
  </si>
  <si>
    <t>Ravi Pandre</t>
  </si>
  <si>
    <t>Silvassa</t>
  </si>
  <si>
    <t>Divu</t>
  </si>
  <si>
    <t>kirti Raj</t>
  </si>
  <si>
    <t>Mr_Yogesh Senghani</t>
  </si>
  <si>
    <t>Jeetubhai</t>
  </si>
  <si>
    <t>Alfaz Barkat</t>
  </si>
  <si>
    <t>Rutu Patel</t>
  </si>
  <si>
    <t>Amit</t>
  </si>
  <si>
    <t>29/07/2025</t>
  </si>
  <si>
    <t>Lalit Kumar Goyal</t>
  </si>
  <si>
    <t>Soaeb malek</t>
  </si>
  <si>
    <t>30/07/2025</t>
  </si>
  <si>
    <t>Dharmesh poptani</t>
  </si>
  <si>
    <t>Dave Milan Dave</t>
  </si>
  <si>
    <t>𝕄𝕣. 𝔸𝕝𝕚 𝔻𝕖𝕝𝕒 علي</t>
  </si>
  <si>
    <t>Ritesh Patel</t>
  </si>
  <si>
    <t>Bhanu Bharwad</t>
  </si>
  <si>
    <t>Halvad</t>
  </si>
  <si>
    <t>Prakash J Rathva</t>
  </si>
  <si>
    <t>arati tigga</t>
  </si>
  <si>
    <t>Rourkela</t>
  </si>
  <si>
    <t>31/07/2025</t>
  </si>
  <si>
    <t>Nikunj Niks Patel</t>
  </si>
  <si>
    <t>Shenva Dhaval</t>
  </si>
  <si>
    <t>Navagam</t>
  </si>
  <si>
    <t>Ajay</t>
  </si>
  <si>
    <t>Deepak Vaishnav</t>
  </si>
  <si>
    <t>korba</t>
  </si>
  <si>
    <t xml:space="preserve">Adarsh Darji </t>
  </si>
  <si>
    <t>Asif</t>
  </si>
  <si>
    <t>Prince Joseph Kalacherry</t>
  </si>
  <si>
    <t xml:space="preserve">Thane </t>
  </si>
  <si>
    <t>JOSHI</t>
  </si>
  <si>
    <t>Rahul Zinzuvadiya</t>
  </si>
  <si>
    <t>Kalavad</t>
  </si>
  <si>
    <t>Nileshkumar Prajapati</t>
  </si>
  <si>
    <t>Viramgam</t>
  </si>
  <si>
    <t>_chin jamanpuriya</t>
  </si>
  <si>
    <t>patan</t>
  </si>
  <si>
    <t>Mayank  Patel</t>
  </si>
  <si>
    <t>Kalol</t>
  </si>
  <si>
    <t>Gaurav pawar</t>
  </si>
  <si>
    <t>MOHMMED TAUKIR</t>
  </si>
  <si>
    <t>Shaikh azazahemad mahmmadyunus</t>
  </si>
  <si>
    <t>Bhatiya Rameshbhai nathabhai</t>
  </si>
  <si>
    <t>MANDHARA SAHIL SALEMAN</t>
  </si>
  <si>
    <t>Viral Patel</t>
  </si>
  <si>
    <t>Vinay Parmar</t>
  </si>
  <si>
    <t>Sunil Dalvani</t>
  </si>
  <si>
    <t>Teju</t>
  </si>
  <si>
    <t>Dilip Thakor</t>
  </si>
  <si>
    <t>Kadol</t>
  </si>
  <si>
    <t>Sagar Vasava</t>
  </si>
  <si>
    <t xml:space="preserve">uchaal </t>
  </si>
  <si>
    <t>Ajay Sinhar</t>
  </si>
  <si>
    <t>Dharmagna Acharya</t>
  </si>
  <si>
    <t>Fenil</t>
  </si>
  <si>
    <t>Devaraj Bharaj</t>
  </si>
  <si>
    <t xml:space="preserve">Upetla </t>
  </si>
  <si>
    <t>Ahir Sagar Bhopala</t>
  </si>
  <si>
    <t>Sheikh Adnan</t>
  </si>
  <si>
    <t>Kishor</t>
  </si>
  <si>
    <t>parmarnikhil</t>
  </si>
  <si>
    <t>Bhavik Chauhan</t>
  </si>
  <si>
    <t>Rahul parmar</t>
  </si>
  <si>
    <t>Ankit Patel</t>
  </si>
  <si>
    <t>Taliya Harun</t>
  </si>
  <si>
    <t>Akshay Thakor</t>
  </si>
  <si>
    <t>Akshay patanvadiya</t>
  </si>
  <si>
    <t>D@shrath_D@bhi_!</t>
  </si>
  <si>
    <t>SOHIL</t>
  </si>
  <si>
    <t>Juned Andhi</t>
  </si>
  <si>
    <t>mahendrajit</t>
  </si>
  <si>
    <t>Naren Rajput</t>
  </si>
  <si>
    <t>Mangalu Lakhnotran</t>
  </si>
  <si>
    <t>Pulkit Pathak</t>
  </si>
  <si>
    <t>Nirav Upadhyay</t>
  </si>
  <si>
    <t>Hitesh Chandegara</t>
  </si>
  <si>
    <t>Bikash</t>
  </si>
  <si>
    <t>Shah Varnit</t>
  </si>
  <si>
    <t>Minapara Akram</t>
  </si>
  <si>
    <t>Anil</t>
  </si>
  <si>
    <t>Paawan Namkeen</t>
  </si>
  <si>
    <t>YAsh Shah</t>
  </si>
  <si>
    <t>Hasmukh Trambadiya</t>
  </si>
  <si>
    <t>Sharma Bharat</t>
  </si>
  <si>
    <t>Manoj Biswal</t>
  </si>
  <si>
    <t>A. k. khedut mol</t>
  </si>
  <si>
    <t>SOHIL BABARIYA</t>
  </si>
  <si>
    <t>AZEEM SHAIKH</t>
  </si>
  <si>
    <t>Shanu mehta</t>
  </si>
  <si>
    <t>Panchal smit hareshbhai</t>
  </si>
  <si>
    <t>Jayanti gar g goswami</t>
  </si>
  <si>
    <t>Jack Barry</t>
  </si>
  <si>
    <t>Sagar Shrimali</t>
  </si>
  <si>
    <t>Ramesh Parmar</t>
  </si>
  <si>
    <t>kalpesh parmar</t>
  </si>
  <si>
    <t>shilpa Alpesh Shah</t>
  </si>
  <si>
    <t>Yogesh parmar</t>
  </si>
  <si>
    <t>Shish kamali</t>
  </si>
  <si>
    <t>godhra</t>
  </si>
  <si>
    <t>Moin</t>
  </si>
  <si>
    <t>Na</t>
  </si>
  <si>
    <t>Paresh Suthar</t>
  </si>
  <si>
    <t>Niraj Patej</t>
  </si>
  <si>
    <t>Vishal patel</t>
  </si>
  <si>
    <t xml:space="preserve">unja </t>
  </si>
  <si>
    <t>tushar_4xvr</t>
  </si>
  <si>
    <t>Chauhan Nik</t>
  </si>
  <si>
    <t>R.V. Odedra</t>
  </si>
  <si>
    <t xml:space="preserve">porbandar </t>
  </si>
  <si>
    <t>Paras Mehta</t>
  </si>
  <si>
    <t>Dhamecha Vijay</t>
  </si>
  <si>
    <t>Firdosh Khan Jat Malek</t>
  </si>
  <si>
    <t>radhanpur</t>
  </si>
  <si>
    <t>Tokir Teli</t>
  </si>
  <si>
    <t>Jimish Sharma</t>
  </si>
  <si>
    <t>Vipul Soni</t>
  </si>
  <si>
    <t>Jiten</t>
  </si>
  <si>
    <t>C. J Jadav</t>
  </si>
  <si>
    <t>Kirti Patel</t>
  </si>
  <si>
    <t>India Voice</t>
  </si>
  <si>
    <t>Makrani Sahid</t>
  </si>
  <si>
    <t>Dhruvesh Parekh</t>
  </si>
  <si>
    <t>a b.malek.3051</t>
  </si>
  <si>
    <t>rathod bittu</t>
  </si>
  <si>
    <t>Rajiv sain</t>
  </si>
  <si>
    <t>Vishal Chauhan</t>
  </si>
  <si>
    <t>Rajat Kaushal</t>
  </si>
  <si>
    <t>Pathan akbarkhan</t>
  </si>
  <si>
    <t>Safayat Ali</t>
  </si>
  <si>
    <t>Maheshpur</t>
  </si>
  <si>
    <t>Kuldip Patel</t>
  </si>
  <si>
    <t>Bharatsinh solanki</t>
  </si>
  <si>
    <t>Meer Ramabhai</t>
  </si>
  <si>
    <t>Patel Prince</t>
  </si>
  <si>
    <t xml:space="preserve">Hardik </t>
  </si>
  <si>
    <t>Talha Shaikh</t>
  </si>
  <si>
    <t>Mohitt G Maru</t>
  </si>
  <si>
    <t>Kishore M Maganani</t>
  </si>
  <si>
    <t>Ashish Ladua</t>
  </si>
  <si>
    <t xml:space="preserve">Veraval </t>
  </si>
  <si>
    <t>Adnan Ansari</t>
  </si>
  <si>
    <t>Samir patel</t>
  </si>
  <si>
    <t>Shravanbhai kevabhai</t>
  </si>
  <si>
    <t>Govind Rastogi</t>
  </si>
  <si>
    <t>Satya Ranjan Nayak</t>
  </si>
  <si>
    <t xml:space="preserve">milan </t>
  </si>
  <si>
    <t>DHIREN</t>
  </si>
  <si>
    <t>Paresh Patel</t>
  </si>
  <si>
    <t>Raja Malik</t>
  </si>
  <si>
    <t>Ayaan</t>
  </si>
  <si>
    <t>Aand Sodha</t>
  </si>
  <si>
    <t>Jitubhai Makwana</t>
  </si>
  <si>
    <t>hemang nathani</t>
  </si>
  <si>
    <t xml:space="preserve">Jasani Suresh </t>
  </si>
  <si>
    <t>Savan Ahir</t>
  </si>
  <si>
    <t xml:space="preserve">Janak </t>
  </si>
  <si>
    <t>kateshiya_vijay</t>
  </si>
  <si>
    <t>Rajni Bharai</t>
  </si>
  <si>
    <t>Hari</t>
  </si>
  <si>
    <t>Sagathiya BJ</t>
  </si>
  <si>
    <t>Sambhu Singh Rajput</t>
  </si>
  <si>
    <t>shalini maurya</t>
  </si>
  <si>
    <t>Anil Kumar yadav</t>
  </si>
  <si>
    <t>Bereli</t>
  </si>
  <si>
    <t>Sanjay Thakor</t>
  </si>
  <si>
    <t xml:space="preserve">Zala </t>
  </si>
  <si>
    <t>Balasinor</t>
  </si>
  <si>
    <t> ANIL</t>
  </si>
  <si>
    <t>Arun Kumar Rathor</t>
  </si>
  <si>
    <t>Manishkumar mistry</t>
  </si>
  <si>
    <t>na</t>
  </si>
  <si>
    <t xml:space="preserve">lala Bharwad </t>
  </si>
  <si>
    <t>Mahavir Jain</t>
  </si>
  <si>
    <t>Keyur Paghdal</t>
  </si>
  <si>
    <t>Yogesh nai</t>
  </si>
  <si>
    <t>Naim Noor</t>
  </si>
  <si>
    <t>sajid sakhidas</t>
  </si>
  <si>
    <t>Jayesh Parmar</t>
  </si>
  <si>
    <t xml:space="preserve">vaah </t>
  </si>
  <si>
    <t>Dayabhai</t>
  </si>
  <si>
    <t>Ganesh Mahato</t>
  </si>
  <si>
    <t>Bhargav Mehra</t>
  </si>
  <si>
    <t>Gopal porwal</t>
  </si>
  <si>
    <t>Kazi Faisal</t>
  </si>
  <si>
    <t>Precision Telecom</t>
  </si>
  <si>
    <t>SANJAY ALGOTAR</t>
  </si>
  <si>
    <t>Haresh H Nihalani</t>
  </si>
  <si>
    <t>Pratyush sahani</t>
  </si>
  <si>
    <t>Gorakhpur</t>
  </si>
  <si>
    <t xml:space="preserve">uttar Pradesh </t>
  </si>
  <si>
    <t>Rahul Gujar</t>
  </si>
  <si>
    <t>Jayesh R Tarasriya</t>
  </si>
  <si>
    <t>Arjun Mata</t>
  </si>
  <si>
    <t>Vipul jain</t>
  </si>
  <si>
    <t>Ankit BHADORIYA</t>
  </si>
  <si>
    <t>Tejash Gohil</t>
  </si>
  <si>
    <t>Mogal Cris</t>
  </si>
  <si>
    <t xml:space="preserve">Gondal </t>
  </si>
  <si>
    <t>Dhaval Dasadiya</t>
  </si>
  <si>
    <t>Faishal yakubbhai patel</t>
  </si>
  <si>
    <t>SADHU YASH</t>
  </si>
  <si>
    <t>Hitesh Shah</t>
  </si>
  <si>
    <t>Mohammed hafiz</t>
  </si>
  <si>
    <t>Amardeepsinh Rajput</t>
  </si>
  <si>
    <t>Belim Rizwan</t>
  </si>
  <si>
    <t xml:space="preserve">dhruvil </t>
  </si>
  <si>
    <t>Bhuva Rushik</t>
  </si>
  <si>
    <t>Utsav sharma</t>
  </si>
  <si>
    <t>Sehore</t>
  </si>
  <si>
    <t>Sharad Harishchandra dave</t>
  </si>
  <si>
    <t>Akshay Vaghela</t>
  </si>
  <si>
    <t>Dillip Senapati</t>
  </si>
  <si>
    <t>Soumen bhowmik</t>
  </si>
  <si>
    <t>Md.Safi Shah</t>
  </si>
  <si>
    <t>Gotat</t>
  </si>
  <si>
    <t xml:space="preserve">Sameer </t>
  </si>
  <si>
    <t xml:space="preserve">UTTAR PRADESH </t>
  </si>
  <si>
    <t>jashi</t>
  </si>
  <si>
    <t>Bharat</t>
  </si>
  <si>
    <t>Pankaj D Parmar</t>
  </si>
  <si>
    <t>Dinesh Shah</t>
  </si>
  <si>
    <t>Ashish Baraiya</t>
  </si>
  <si>
    <t>Nitin Bhanushali</t>
  </si>
  <si>
    <t>Bhatti ARFAT</t>
  </si>
  <si>
    <t xml:space="preserve">Jafarabad </t>
  </si>
  <si>
    <t>Safvan</t>
  </si>
  <si>
    <t>Jignashu Shroff</t>
  </si>
  <si>
    <t>Dhairya Joshi</t>
  </si>
  <si>
    <t xml:space="preserve">Sidpur </t>
  </si>
  <si>
    <t>gujarat</t>
  </si>
  <si>
    <t>Vaghri vinod kantibhai</t>
  </si>
  <si>
    <t>Solanki aniruddhsinh i</t>
  </si>
  <si>
    <t>ashish shah</t>
  </si>
  <si>
    <t>Srujal Nayak</t>
  </si>
  <si>
    <t>SHAILESH CHAUDHARY</t>
  </si>
  <si>
    <t xml:space="preserve">NanDa upendra </t>
  </si>
  <si>
    <t>Gaurang Darodker</t>
  </si>
  <si>
    <t xml:space="preserve">grish </t>
  </si>
  <si>
    <t>Madhavendra</t>
  </si>
  <si>
    <t>Agar</t>
  </si>
  <si>
    <t>Amrut Gohil</t>
  </si>
  <si>
    <t>Vishal Sharma</t>
  </si>
  <si>
    <t>Arpit jain</t>
  </si>
  <si>
    <t xml:space="preserve">SitaPur </t>
  </si>
  <si>
    <t>Jitendra Singh</t>
  </si>
  <si>
    <t>Sachin</t>
  </si>
  <si>
    <t>Rajveer Singh Kushwaha</t>
  </si>
  <si>
    <t>Vaibhav M panchal</t>
  </si>
  <si>
    <t xml:space="preserve">gujarat </t>
  </si>
  <si>
    <t>Pushparaj jaiswal</t>
  </si>
  <si>
    <t>Yash Singh</t>
  </si>
  <si>
    <t>jauhpur</t>
  </si>
  <si>
    <t>Ashish Saxena</t>
  </si>
  <si>
    <t xml:space="preserve">noida </t>
  </si>
  <si>
    <t>Om Srivastava</t>
  </si>
  <si>
    <t>Amit Kumar</t>
  </si>
  <si>
    <t>Tejpal Kushwaha</t>
  </si>
  <si>
    <t>Ujjain</t>
  </si>
  <si>
    <t>Amitabh Jain</t>
  </si>
  <si>
    <t>Prakash Kumar</t>
  </si>
  <si>
    <t>_chaudhary</t>
  </si>
  <si>
    <t>Ajay Rathi</t>
  </si>
  <si>
    <t xml:space="preserve">barrod </t>
  </si>
  <si>
    <t xml:space="preserve">Uttar pradesh </t>
  </si>
  <si>
    <t>Praful Sanchaniya</t>
  </si>
  <si>
    <t>Ganesh Choudhari</t>
  </si>
  <si>
    <t xml:space="preserve">gala yuvraj </t>
  </si>
  <si>
    <t>Aamin Shekh</t>
  </si>
  <si>
    <t>K J GONDALIYA</t>
  </si>
  <si>
    <t>RAVISC PARMAR</t>
  </si>
  <si>
    <t>krunal shah</t>
  </si>
  <si>
    <t>P_I_Y_U_S_H</t>
  </si>
  <si>
    <t>Kamil Vahora</t>
  </si>
  <si>
    <t>Pappu jhaa</t>
  </si>
  <si>
    <t xml:space="preserve">Shah meet </t>
  </si>
  <si>
    <t xml:space="preserve">Mitesh </t>
  </si>
  <si>
    <t>Vinod</t>
  </si>
  <si>
    <t>mahavir dhadha</t>
  </si>
  <si>
    <t>Nikhil Kalal</t>
  </si>
  <si>
    <t>Kunal Mandani</t>
  </si>
  <si>
    <t>Nayan Patel</t>
  </si>
  <si>
    <t>Asmat Varaiya</t>
  </si>
  <si>
    <t>Md Fyaj</t>
  </si>
  <si>
    <t>Naksh Rajput</t>
  </si>
  <si>
    <t>Pragnesh Bhadka</t>
  </si>
  <si>
    <t>Pinal Parekh</t>
  </si>
  <si>
    <t>Jignesh kumar Manilal patel</t>
  </si>
  <si>
    <t>Virpur</t>
  </si>
  <si>
    <t>Arjun</t>
  </si>
  <si>
    <t>A�kit Patel</t>
  </si>
  <si>
    <t>kishor</t>
  </si>
  <si>
    <t>Shaminur rahman</t>
  </si>
  <si>
    <t>Devendra gosavi</t>
  </si>
  <si>
    <t>Pathik patel</t>
  </si>
  <si>
    <t xml:space="preserve">Amroli Surat </t>
  </si>
  <si>
    <t xml:space="preserve">Aniket </t>
  </si>
  <si>
    <t>Idar</t>
  </si>
  <si>
    <t xml:space="preserve">Hasmita Jadeja </t>
  </si>
  <si>
    <t>Vishal Ahir</t>
  </si>
  <si>
    <t>Vala Divyaraj Sin</t>
  </si>
  <si>
    <t>Balkrishna Baldha</t>
  </si>
  <si>
    <t>Kadar Kakal</t>
  </si>
  <si>
    <t>Jaydip vajkani</t>
  </si>
  <si>
    <t>Pankaj sharma</t>
  </si>
  <si>
    <t>Adity chaudhary</t>
  </si>
  <si>
    <t>Ravi Chopda</t>
  </si>
  <si>
    <t>Omkar Gauswami</t>
  </si>
  <si>
    <t>Koli Amit</t>
  </si>
  <si>
    <t>Aryankumar Ganeshbhai Bharwad</t>
  </si>
  <si>
    <t>DAVID KATHAD</t>
  </si>
  <si>
    <t>Sutrapada</t>
  </si>
  <si>
    <t>Ritesh panchal</t>
  </si>
  <si>
    <t>Manohar</t>
  </si>
  <si>
    <t>Manish Bhoi</t>
  </si>
  <si>
    <t>Vinay Attu</t>
  </si>
  <si>
    <t>Dahod</t>
  </si>
  <si>
    <t>Rajendersingh Sisodiya</t>
  </si>
  <si>
    <t>Chavda</t>
  </si>
  <si>
    <t xml:space="preserve">Mohd Sheikh </t>
  </si>
  <si>
    <t>Parmar ramde</t>
  </si>
  <si>
    <t>Bhogat</t>
  </si>
  <si>
    <t>Dharmendrasinh Rathod</t>
  </si>
  <si>
    <t>Subal das</t>
  </si>
  <si>
    <t>Dharmesh Darji</t>
  </si>
  <si>
    <t>Kevalsinh Thakor</t>
  </si>
  <si>
    <t>Vishal</t>
  </si>
  <si>
    <t>Santramapur</t>
  </si>
  <si>
    <t>Naresh Thakor</t>
  </si>
  <si>
    <t>Kasid Malik</t>
  </si>
  <si>
    <t>Maharaj Saurabh Rawat</t>
  </si>
  <si>
    <t>Ankit Bhatia</t>
  </si>
  <si>
    <t>Ameer Meena</t>
  </si>
  <si>
    <t xml:space="preserve">Jaipur </t>
  </si>
  <si>
    <t xml:space="preserve">Suraj </t>
  </si>
  <si>
    <t>Varu Chhatrajitbhai</t>
  </si>
  <si>
    <t>Dipak parmar</t>
  </si>
  <si>
    <t>Premji Vaghel</t>
  </si>
  <si>
    <t xml:space="preserve">patan </t>
  </si>
  <si>
    <t>Farhin mohsi</t>
  </si>
  <si>
    <t>Darshak</t>
  </si>
  <si>
    <t>Dwarka</t>
  </si>
  <si>
    <t>Dhaval Rathod</t>
  </si>
  <si>
    <t>rathod kanaksinh</t>
  </si>
  <si>
    <t>Rupak Ranja</t>
  </si>
  <si>
    <t>Kiran Modhavadiya</t>
  </si>
  <si>
    <t>porbandra</t>
  </si>
  <si>
    <t>Dharesh Gamara</t>
  </si>
  <si>
    <t>Hiren Patel</t>
  </si>
  <si>
    <t>Hirani mansukh</t>
  </si>
  <si>
    <t>Ayzaz</t>
  </si>
  <si>
    <t>Sunilbhai</t>
  </si>
  <si>
    <t>Sunil Joshi</t>
  </si>
  <si>
    <t>Natvarsinh kalyansinh Makavan</t>
  </si>
  <si>
    <t>Patel rajesh</t>
  </si>
  <si>
    <t>Avdhesh Mishra</t>
  </si>
  <si>
    <t>savan_thakor_9739</t>
  </si>
  <si>
    <t>Sacan</t>
  </si>
  <si>
    <t>Priya</t>
  </si>
  <si>
    <t>Shiv</t>
  </si>
  <si>
    <t>Rizwan Khamu</t>
  </si>
  <si>
    <t>Mayur boliya</t>
  </si>
  <si>
    <t>Moghaji</t>
  </si>
  <si>
    <t>Meet bhansali</t>
  </si>
  <si>
    <t>Rushikesh Solanki</t>
  </si>
  <si>
    <t>Bhagirath Kucha</t>
  </si>
  <si>
    <t>vaibhav Patel</t>
  </si>
  <si>
    <t>Sandip Pandya</t>
  </si>
  <si>
    <t>Fb</t>
  </si>
  <si>
    <t>Jugal Rathod</t>
  </si>
  <si>
    <t>VIMLESH PATEL</t>
  </si>
  <si>
    <t>Mohsin pinjari</t>
  </si>
  <si>
    <t>DIXIT PANDYA</t>
  </si>
  <si>
    <t>VISHAL MAKWAN</t>
  </si>
  <si>
    <t>Pratik Savliya</t>
  </si>
  <si>
    <t>Satish</t>
  </si>
  <si>
    <t>Mukesh Paida</t>
  </si>
  <si>
    <t>Parag Pandya</t>
  </si>
  <si>
    <t xml:space="preserve">Gohil </t>
  </si>
  <si>
    <t>Parmar Ajay</t>
  </si>
  <si>
    <t>Yagnik Malani</t>
  </si>
  <si>
    <t xml:space="preserve">Kundla </t>
  </si>
  <si>
    <t>Iqbal Patel</t>
  </si>
  <si>
    <t>Paresh Dhobi</t>
  </si>
  <si>
    <t>Emran Shekh</t>
  </si>
  <si>
    <t>Jafarabad</t>
  </si>
  <si>
    <t>rohit_18</t>
  </si>
  <si>
    <t>BAVALIYA ASHOKBHAI</t>
  </si>
  <si>
    <t xml:space="preserve">Botad </t>
  </si>
  <si>
    <t>Riyaz Saiyed Qutbi</t>
  </si>
  <si>
    <t xml:space="preserve">Anand </t>
  </si>
  <si>
    <t>Naresh Boliya</t>
  </si>
  <si>
    <t>Suyansh Rojiya</t>
  </si>
  <si>
    <t>Dhrutish Prajapati</t>
  </si>
  <si>
    <t xml:space="preserve">kadi </t>
  </si>
  <si>
    <t>Kalariya Vijay</t>
  </si>
  <si>
    <t>Mukesh Chaudhary</t>
  </si>
  <si>
    <t xml:space="preserve">Tarad </t>
  </si>
  <si>
    <t>Kanabhai Chauhan</t>
  </si>
  <si>
    <t>Barkat Mehar</t>
  </si>
  <si>
    <t>Huzaifa Mulla</t>
  </si>
  <si>
    <t>Chikali</t>
  </si>
  <si>
    <t>Mahek Kher</t>
  </si>
  <si>
    <t>Kishan Kanmiya</t>
  </si>
  <si>
    <t>rathod Pradipsinh</t>
  </si>
  <si>
    <t>Firoz</t>
  </si>
  <si>
    <t>kalol</t>
  </si>
  <si>
    <t xml:space="preserve">Mohit </t>
  </si>
  <si>
    <t>Sheth Ankit</t>
  </si>
  <si>
    <t>Mayur Ratiya</t>
  </si>
  <si>
    <t xml:space="preserve">porbandra </t>
  </si>
  <si>
    <t>Mahmad Iqbal Sheikh</t>
  </si>
  <si>
    <t>Jagdish Chauhan</t>
  </si>
  <si>
    <t>Tarapur</t>
  </si>
  <si>
    <t>SHAH KEYUR PARESHBHAI</t>
  </si>
  <si>
    <t>Baraiya Darshu</t>
  </si>
  <si>
    <t>Piyush Rathod</t>
  </si>
  <si>
    <t xml:space="preserve">Dhawka </t>
  </si>
  <si>
    <t>Ankur Gamit</t>
  </si>
  <si>
    <t>Lokesh</t>
  </si>
  <si>
    <t xml:space="preserve">Ahmedabad </t>
  </si>
  <si>
    <t>Jaypalsinh Chauhan</t>
  </si>
  <si>
    <t>UMRETH</t>
  </si>
  <si>
    <t>Meena ben parek</t>
  </si>
  <si>
    <t>Adil Modasiya</t>
  </si>
  <si>
    <t>Pratap</t>
  </si>
  <si>
    <t>rajkot</t>
  </si>
  <si>
    <t>Jay rakholiya</t>
  </si>
  <si>
    <t>Ashish</t>
  </si>
  <si>
    <t>Satish Ahir</t>
  </si>
  <si>
    <t>Atul Raval</t>
  </si>
  <si>
    <t>Krunal</t>
  </si>
  <si>
    <t>charoliya safvan</t>
  </si>
  <si>
    <t>Kamlesh Kamlesh</t>
  </si>
  <si>
    <t>Aasim Sherpurawala</t>
  </si>
  <si>
    <t xml:space="preserve">Akram </t>
  </si>
  <si>
    <t xml:space="preserve">Ulpeta </t>
  </si>
  <si>
    <t>Mori parvin</t>
  </si>
  <si>
    <t xml:space="preserve">Porbandra </t>
  </si>
  <si>
    <t>Shahrukh Kadiwala</t>
  </si>
  <si>
    <t>Dhaboi</t>
  </si>
  <si>
    <t xml:space="preserve">Shubham </t>
  </si>
  <si>
    <t>himanshu ( Girish)</t>
  </si>
  <si>
    <t>Harish Panchal</t>
  </si>
  <si>
    <t>Mohan desai</t>
  </si>
  <si>
    <t>chigs@Gym Love</t>
  </si>
  <si>
    <t>Vaghela Rahul Kaushik</t>
  </si>
  <si>
    <t>Vinod N Prajapati</t>
  </si>
  <si>
    <t>Pritesh Mehta</t>
  </si>
  <si>
    <t>Mustafa Gondalwala</t>
  </si>
  <si>
    <t>Pruthvirajsinh Vala</t>
  </si>
  <si>
    <t>Milan Thacker</t>
  </si>
  <si>
    <t>KAUSHIK Kumar s modi</t>
  </si>
  <si>
    <t>Dhanraj patil</t>
  </si>
  <si>
    <t>Desai</t>
  </si>
  <si>
    <t>Maggy Shah</t>
  </si>
  <si>
    <t>Vipul Desai</t>
  </si>
  <si>
    <t>tharad</t>
  </si>
  <si>
    <t>Het Goswam</t>
  </si>
  <si>
    <t>Jignesh Shukla</t>
  </si>
  <si>
    <t>Gajendrasinh R Vaghela</t>
  </si>
  <si>
    <t>Jayesh</t>
  </si>
  <si>
    <t>Arif Malek</t>
  </si>
  <si>
    <t>Vikrant Pachoriya</t>
  </si>
  <si>
    <t>Rawana Prem Singh Mertiya</t>
  </si>
  <si>
    <t>Gprocks the world</t>
  </si>
  <si>
    <t>Kiran Kumar Vuppala</t>
  </si>
  <si>
    <t>Virendra Sinh Zala</t>
  </si>
  <si>
    <t>Bhavik Parmar</t>
  </si>
  <si>
    <t>Alkm Dan</t>
  </si>
  <si>
    <t>Dev Rana</t>
  </si>
  <si>
    <t>MOHSIN RATHOD</t>
  </si>
  <si>
    <t>Murtuza Panki</t>
  </si>
  <si>
    <t>Rabarimaulik</t>
  </si>
  <si>
    <t>Farhaz Mansur</t>
  </si>
  <si>
    <t>himansu RANA</t>
  </si>
  <si>
    <t>Milan Vaghani</t>
  </si>
  <si>
    <t>Tushar Brahmbhatt</t>
  </si>
  <si>
    <t>Mohan rathor</t>
  </si>
  <si>
    <t>Harsh Wardhan</t>
  </si>
  <si>
    <t>Ilyas Ghanchi</t>
  </si>
  <si>
    <t>Rajpurohit Loonsingh</t>
  </si>
  <si>
    <t>Rohit Mirani</t>
  </si>
  <si>
    <t>Parthdevaliya</t>
  </si>
  <si>
    <t>Atulsinh Zala</t>
  </si>
  <si>
    <t>Mahesh Thakkar</t>
  </si>
  <si>
    <t>Nilesh</t>
  </si>
  <si>
    <t>Praful</t>
  </si>
  <si>
    <t>mitesh</t>
  </si>
  <si>
    <t>Rajeev Giri</t>
  </si>
  <si>
    <t>Kunal Varpe</t>
  </si>
  <si>
    <t>Jaimin Patel</t>
  </si>
  <si>
    <t>Suhas Vaghela</t>
  </si>
  <si>
    <t>Jay Gangani</t>
  </si>
  <si>
    <t>SAHIL SAIYAD</t>
  </si>
  <si>
    <t>Kuldeep Sinh Bihola</t>
  </si>
  <si>
    <t>Chaudhari shayan Kumar jitendra bhai</t>
  </si>
  <si>
    <t>Nilesh Yadav</t>
  </si>
  <si>
    <t>SOYAB HINGORA</t>
  </si>
  <si>
    <t>Royal Sajid</t>
  </si>
  <si>
    <t>ABHAY BORICHA</t>
  </si>
  <si>
    <t>Koshi Saxena</t>
  </si>
  <si>
    <t>Banti Kumar</t>
  </si>
  <si>
    <t>Akash harijam</t>
  </si>
  <si>
    <t>Binesh Kumar</t>
  </si>
  <si>
    <t>Shafikul Khan</t>
  </si>
  <si>
    <t>Ravindra Kumar</t>
  </si>
  <si>
    <t>Mak enterprises</t>
  </si>
  <si>
    <t>Surendra Kumar</t>
  </si>
  <si>
    <t>Seema kumari</t>
  </si>
  <si>
    <t>Mohitari</t>
  </si>
  <si>
    <t>bIHAR</t>
  </si>
  <si>
    <t>Nirav ratnottar</t>
  </si>
  <si>
    <t>Maulikkumar Jani</t>
  </si>
  <si>
    <t>VMK</t>
  </si>
  <si>
    <t>Dipak Ganglani</t>
  </si>
  <si>
    <t>Arun Sinh Chauhan</t>
  </si>
  <si>
    <t>y D Vaghela</t>
  </si>
  <si>
    <t>khed bhrama</t>
  </si>
  <si>
    <t>Arbaz Shaikh</t>
  </si>
  <si>
    <t xml:space="preserve">Kadi </t>
  </si>
  <si>
    <t>Gautam bharwad</t>
  </si>
  <si>
    <t>haresh patel</t>
  </si>
  <si>
    <t>Mohit Gadhvi</t>
  </si>
  <si>
    <t>Ayaz Ali Saiyed</t>
  </si>
  <si>
    <t>Thasara</t>
  </si>
  <si>
    <t>Pradeep Verma</t>
  </si>
  <si>
    <t>Banshi Agarwal</t>
  </si>
  <si>
    <t xml:space="preserve">Aligarh </t>
  </si>
  <si>
    <t>Prasenjit Maity</t>
  </si>
  <si>
    <t>Namkhana</t>
  </si>
  <si>
    <t>Rilesh Ahir</t>
  </si>
  <si>
    <t xml:space="preserve">bestan </t>
  </si>
  <si>
    <t>Rafakat Husen Harsoliya</t>
  </si>
  <si>
    <t>Sohan ajmeri</t>
  </si>
  <si>
    <t>Mitesh Khilwan</t>
  </si>
  <si>
    <t>Bharat Ghela</t>
  </si>
  <si>
    <t>Manoj Raval</t>
  </si>
  <si>
    <t>Shubham Ahire</t>
  </si>
  <si>
    <t>Sanjay Kumar</t>
  </si>
  <si>
    <t xml:space="preserve">Ranchi </t>
  </si>
  <si>
    <t xml:space="preserve">bihar </t>
  </si>
  <si>
    <t>kirtesh panchal</t>
  </si>
  <si>
    <t>Tejas Patel</t>
  </si>
  <si>
    <t>iamkartikkashyap</t>
  </si>
  <si>
    <t>Chandigard</t>
  </si>
  <si>
    <t>Yuvraj Sisodiya</t>
  </si>
  <si>
    <t>mr.chetan</t>
  </si>
  <si>
    <t xml:space="preserve">Halvad </t>
  </si>
  <si>
    <t>Surendrasinh</t>
  </si>
  <si>
    <t>SANDIP THAKOR</t>
  </si>
  <si>
    <t>Ashvin Chauhan</t>
  </si>
  <si>
    <t>Jignesh Jinjala</t>
  </si>
  <si>
    <t>Mehul Thakor</t>
  </si>
  <si>
    <t>Uddit</t>
  </si>
  <si>
    <t xml:space="preserve">gandhidham </t>
  </si>
  <si>
    <t>Arvind Malkiya</t>
  </si>
  <si>
    <t xml:space="preserve">Chotila </t>
  </si>
  <si>
    <t>Kaushikkumar dipubhai nakum</t>
  </si>
  <si>
    <t>Gir Somnath</t>
  </si>
  <si>
    <t>Prashant Jadhav</t>
  </si>
  <si>
    <t>Chandraprakash Yadav</t>
  </si>
  <si>
    <t>Azamgarh</t>
  </si>
  <si>
    <t>Kochiyaniya Kuldip</t>
  </si>
  <si>
    <t>Rohit patel</t>
  </si>
  <si>
    <t>Kirti chaudhary</t>
  </si>
  <si>
    <t>Rahul Chandel</t>
  </si>
  <si>
    <t>Ajay Yadav</t>
  </si>
  <si>
    <t>gurgaon</t>
  </si>
  <si>
    <t>Jaimin Alpeshbhai Machhi</t>
  </si>
  <si>
    <t>Kanishk Thakkar</t>
  </si>
  <si>
    <t>Gilli Krishnani</t>
  </si>
  <si>
    <t>Parth gohel</t>
  </si>
  <si>
    <t>Samir</t>
  </si>
  <si>
    <t>piyu.</t>
  </si>
  <si>
    <t>A.B. Soni</t>
  </si>
  <si>
    <t>vishal. M. Kanabar</t>
  </si>
  <si>
    <t>Chintan Andhariya</t>
  </si>
  <si>
    <t>Karan varma</t>
  </si>
  <si>
    <t>Ramesh P Bhardva</t>
  </si>
  <si>
    <t xml:space="preserve">Pradeep </t>
  </si>
  <si>
    <t>Vipul Pankhaniya</t>
  </si>
  <si>
    <t>Naresh Chauhan</t>
  </si>
  <si>
    <t>Pradipsinh Vaghela</t>
  </si>
  <si>
    <t>Prajapati Dipak</t>
  </si>
  <si>
    <t>Dhapa Sagar</t>
  </si>
  <si>
    <t>Naresh Kathad</t>
  </si>
  <si>
    <t>Dhelana</t>
  </si>
  <si>
    <t>Amit Pawar</t>
  </si>
  <si>
    <t>Yogeshkumar</t>
  </si>
  <si>
    <t xml:space="preserve">Palitana </t>
  </si>
  <si>
    <t>Rishi Donda</t>
  </si>
  <si>
    <t>Nitul sonara</t>
  </si>
  <si>
    <t>Rathod Mahesh</t>
  </si>
  <si>
    <t>Jignesh Vsv</t>
  </si>
  <si>
    <t xml:space="preserve">Vododra </t>
  </si>
  <si>
    <t>_Hujeifa_</t>
  </si>
  <si>
    <t>Atik Khan</t>
  </si>
  <si>
    <t>Dabhoi</t>
  </si>
  <si>
    <t>Mayank Chaudhari</t>
  </si>
  <si>
    <t>waghai</t>
  </si>
  <si>
    <t>Nahak Surya</t>
  </si>
  <si>
    <t>KENIL PARMAR</t>
  </si>
  <si>
    <t>bamaniya pravin</t>
  </si>
  <si>
    <t>Mayankbhai Chaudhar</t>
  </si>
  <si>
    <t xml:space="preserve">Bhagai </t>
  </si>
  <si>
    <t>Ashok Juthani</t>
  </si>
  <si>
    <t>Jignesh</t>
  </si>
  <si>
    <t>Pawan Vishwakarma Vishwakarma</t>
  </si>
  <si>
    <t>Ketan Shah</t>
  </si>
  <si>
    <t>Bayad</t>
  </si>
  <si>
    <t>Sagar Dave</t>
  </si>
  <si>
    <t>Mori Nilesh</t>
  </si>
  <si>
    <t>Dinesh RajeMahadik</t>
  </si>
  <si>
    <t>Malvat Vasim</t>
  </si>
  <si>
    <t>Bhavik Patel</t>
  </si>
  <si>
    <t>Bharat Andodariya</t>
  </si>
  <si>
    <t xml:space="preserve">Rajkot </t>
  </si>
  <si>
    <t>Lubna Kureshi</t>
  </si>
  <si>
    <t>Prince Mali</t>
  </si>
  <si>
    <t>Sp P</t>
  </si>
  <si>
    <t xml:space="preserve">Raj Patel </t>
  </si>
  <si>
    <t>Rajashi Bariya</t>
  </si>
  <si>
    <t>BHAVESH KATHIYAWADI</t>
  </si>
  <si>
    <t>Nilay Thaker</t>
  </si>
  <si>
    <t>Fenilv</t>
  </si>
  <si>
    <t>Arjan Apa</t>
  </si>
  <si>
    <t>Kalpesh Chaudhar</t>
  </si>
  <si>
    <t>Sutariya Mithil</t>
  </si>
  <si>
    <t>Sagar Ghetiya</t>
  </si>
  <si>
    <t>Meet Suthar</t>
  </si>
  <si>
    <t>Solanki aniruddhsinh </t>
  </si>
  <si>
    <t xml:space="preserve">Autosh Rai </t>
  </si>
  <si>
    <t xml:space="preserve">lucknow </t>
  </si>
  <si>
    <t>Hiren Miyatra</t>
  </si>
  <si>
    <t>Zaid Panwala</t>
  </si>
  <si>
    <t>Parth Koshti</t>
  </si>
  <si>
    <t>NAUSHAD</t>
  </si>
  <si>
    <t>Sandeep Jayswal</t>
  </si>
  <si>
    <t>Sachin Labana</t>
  </si>
  <si>
    <t>jignesh</t>
  </si>
  <si>
    <t>Vipul Dudhaiya</t>
  </si>
  <si>
    <t>Mohit Brahmbhatt</t>
  </si>
  <si>
    <t>Yatin Vora</t>
  </si>
  <si>
    <t>Alpesh Barot</t>
  </si>
  <si>
    <t>Rakesh Balya</t>
  </si>
  <si>
    <t>yashraj Sinh</t>
  </si>
  <si>
    <t>Dharmendra Soni</t>
  </si>
  <si>
    <t>Divyang</t>
  </si>
  <si>
    <t>Ashish Solanki</t>
  </si>
  <si>
    <t xml:space="preserve">Patan </t>
  </si>
  <si>
    <t>Kaushik Soni</t>
  </si>
  <si>
    <t>Dungri</t>
  </si>
  <si>
    <t>Dhiren Patel</t>
  </si>
  <si>
    <t xml:space="preserve">Sanjan </t>
  </si>
  <si>
    <t>Ravi Dhodi</t>
  </si>
  <si>
    <t xml:space="preserve">netrang </t>
  </si>
  <si>
    <t>Er Jignesh Patel Thesiya</t>
  </si>
  <si>
    <t>Mihir Goswami</t>
  </si>
  <si>
    <t>Faruk Shaikh</t>
  </si>
  <si>
    <t>Shree Sharma</t>
  </si>
  <si>
    <t>Patel Romil</t>
  </si>
  <si>
    <t>riJesh PaTel</t>
  </si>
  <si>
    <t>KD</t>
  </si>
  <si>
    <t>Jasmin Kalotra</t>
  </si>
  <si>
    <t>Suchit Patel</t>
  </si>
  <si>
    <t>Virajsinh Chudasama</t>
  </si>
  <si>
    <t>MEET TORIYA</t>
  </si>
  <si>
    <t>Dobahi</t>
  </si>
  <si>
    <t>Arvind</t>
  </si>
  <si>
    <t>Virendrasinh Solanki</t>
  </si>
  <si>
    <t/>
  </si>
  <si>
    <t>ankur</t>
  </si>
  <si>
    <t>Yuvrajsinh Chudasama</t>
  </si>
  <si>
    <t>Bharat Mehta</t>
  </si>
  <si>
    <t>Ashif Shekhan</t>
  </si>
  <si>
    <t>Avinash Borichangar</t>
  </si>
  <si>
    <t>Alfeshani Gadhvara</t>
  </si>
  <si>
    <t>Dharmendra Vaghela</t>
  </si>
  <si>
    <t>Tarun Gurjar</t>
  </si>
  <si>
    <t>Pooja Sarvaiya</t>
  </si>
  <si>
    <t>Murtuja Fakrudin Laxmidhar</t>
  </si>
  <si>
    <t>MEGH PATEL</t>
  </si>
  <si>
    <t xml:space="preserve">Talaja </t>
  </si>
  <si>
    <t>Dharmendra Giri Goswami</t>
  </si>
  <si>
    <t>Chuda</t>
  </si>
  <si>
    <t xml:space="preserve">Pradipsingh </t>
  </si>
  <si>
    <t xml:space="preserve">Badal </t>
  </si>
  <si>
    <t xml:space="preserve">Harji </t>
  </si>
  <si>
    <t>Kanji Thakor</t>
  </si>
  <si>
    <t>jaydip</t>
  </si>
  <si>
    <t xml:space="preserve">Dahod </t>
  </si>
  <si>
    <t>SHARMA BHARATKUMAR</t>
  </si>
  <si>
    <t>Akash Dahake</t>
  </si>
  <si>
    <t xml:space="preserve">navin parmar </t>
  </si>
  <si>
    <t>Sokdha</t>
  </si>
  <si>
    <t>Pathan Mohfiz</t>
  </si>
  <si>
    <t>Shobi Pirzada</t>
  </si>
  <si>
    <t>karansinh rajput</t>
  </si>
  <si>
    <t xml:space="preserve">Unja </t>
  </si>
  <si>
    <t>Zalavadiya kuldip</t>
  </si>
  <si>
    <t>Mustfa Kazi</t>
  </si>
  <si>
    <t>Roshal Patel</t>
  </si>
  <si>
    <t>Chetan B. Patel</t>
  </si>
  <si>
    <t>BRAVE HEART</t>
  </si>
  <si>
    <t>shaan one solutions pvt Ltd</t>
  </si>
  <si>
    <t>Jugal jani</t>
  </si>
  <si>
    <t>Girjesh Ladhhar</t>
  </si>
  <si>
    <t>Nimit Patel</t>
  </si>
  <si>
    <t>killa pardi  (valsad)</t>
  </si>
  <si>
    <t>Niraj Shah</t>
  </si>
  <si>
    <t xml:space="preserve">Jasdan </t>
  </si>
  <si>
    <t>Bhudev Jasdan</t>
  </si>
  <si>
    <t>Mohit ahi</t>
  </si>
  <si>
    <t xml:space="preserve">lakhi </t>
  </si>
  <si>
    <t>D K Rajput</t>
  </si>
  <si>
    <t>Milan Sathvara</t>
  </si>
  <si>
    <t>Zeel thakor</t>
  </si>
  <si>
    <t>Rathod Yogendrasinh</t>
  </si>
  <si>
    <t>Shaileshsinh Vaghela</t>
  </si>
  <si>
    <t>IrfanKhan Makrani</t>
  </si>
  <si>
    <t>manavadar</t>
  </si>
  <si>
    <t>Shiv Refrigeration</t>
  </si>
  <si>
    <t>Khushali</t>
  </si>
  <si>
    <t>Madhav Chauhan</t>
  </si>
  <si>
    <t>Ketan sha</t>
  </si>
  <si>
    <t>Dholka</t>
  </si>
  <si>
    <t>Samir Diwa</t>
  </si>
  <si>
    <t xml:space="preserve">Adipur </t>
  </si>
  <si>
    <t>Vijay Gusha</t>
  </si>
  <si>
    <t xml:space="preserve">Rahul Panchal </t>
  </si>
  <si>
    <t>Sarvaiya Mayur</t>
  </si>
  <si>
    <t>Aryan Maharaj</t>
  </si>
  <si>
    <t>Dilip Patel Dilip</t>
  </si>
  <si>
    <t>Chirag Parekh</t>
  </si>
  <si>
    <t>Salim Patel</t>
  </si>
  <si>
    <t>Madaliya sumita</t>
  </si>
  <si>
    <t>Yuvraj</t>
  </si>
  <si>
    <t>Jayesh Suva</t>
  </si>
  <si>
    <t>Navaz Ganiyani</t>
  </si>
  <si>
    <t xml:space="preserve">Jambusar </t>
  </si>
  <si>
    <t xml:space="preserve">Tofee khan </t>
  </si>
  <si>
    <t xml:space="preserve">gadu </t>
  </si>
  <si>
    <t>Viru galchar</t>
  </si>
  <si>
    <t>bapu</t>
  </si>
  <si>
    <t xml:space="preserve">Morbi </t>
  </si>
  <si>
    <t>Manoj Kumar</t>
  </si>
  <si>
    <t>Vishu Shinde</t>
  </si>
  <si>
    <t>Savan Ajani</t>
  </si>
  <si>
    <t>Rahul Sharm</t>
  </si>
  <si>
    <t>Jagruti Kaushik Patel</t>
  </si>
  <si>
    <t>Manish Kantibhai Pate</t>
  </si>
  <si>
    <t>Fahad Bakhol</t>
  </si>
  <si>
    <t>Nakum Kachara Nanji</t>
  </si>
  <si>
    <t>Sarthak Patel</t>
  </si>
  <si>
    <t>Aniket Korat</t>
  </si>
  <si>
    <t>Paras Patel</t>
  </si>
  <si>
    <t>Jangvad</t>
  </si>
  <si>
    <t>Jaydipsinh Gohil</t>
  </si>
  <si>
    <t>R A M</t>
  </si>
  <si>
    <t>Gunavant Tapodhan</t>
  </si>
  <si>
    <t>Chauhan Hemendrasinh</t>
  </si>
  <si>
    <t>Krunal Pate</t>
  </si>
  <si>
    <t>Manish patel</t>
  </si>
  <si>
    <t xml:space="preserve">Idar </t>
  </si>
  <si>
    <t>Paresh Parmar</t>
  </si>
  <si>
    <t>Vishal maganbhai Galoriya</t>
  </si>
  <si>
    <t xml:space="preserve">Ricky </t>
  </si>
  <si>
    <t>..Kirtan Metaliya</t>
  </si>
  <si>
    <t>Thaiyam__mustfa</t>
  </si>
  <si>
    <t>Modan BasaratRaza</t>
  </si>
  <si>
    <t>admani Mustufa</t>
  </si>
  <si>
    <t>Nilu Ravar Dev</t>
  </si>
  <si>
    <t>Harshita Nehal shah</t>
  </si>
  <si>
    <t>Prem Dave</t>
  </si>
  <si>
    <t>Emran Shek</t>
  </si>
  <si>
    <t>sandip Dobariy</t>
  </si>
  <si>
    <t>Mitesh Patel</t>
  </si>
  <si>
    <t>Gohil Udayrajsinh</t>
  </si>
  <si>
    <t>Bharat Soni Dhanera</t>
  </si>
  <si>
    <t>Arvind Patel</t>
  </si>
  <si>
    <t xml:space="preserve">keshod </t>
  </si>
  <si>
    <t>kripalsinh</t>
  </si>
  <si>
    <t>Patoliya Arpit</t>
  </si>
  <si>
    <t xml:space="preserve">Madvi </t>
  </si>
  <si>
    <t>Arbaaz</t>
  </si>
  <si>
    <t>Dharmesh Detroja</t>
  </si>
  <si>
    <t>Sahil Adani</t>
  </si>
  <si>
    <t>Thakur Suraj Singh</t>
  </si>
  <si>
    <t>Kalp Patel</t>
  </si>
  <si>
    <t xml:space="preserve">Navagam </t>
  </si>
  <si>
    <t>Avesh Juneja</t>
  </si>
  <si>
    <t>Mohit akhed</t>
  </si>
  <si>
    <t>Mukesh Kapadia</t>
  </si>
  <si>
    <t>Kaushik VyAs</t>
  </si>
  <si>
    <t>Hitesh Patel</t>
  </si>
  <si>
    <t xml:space="preserve">Azaz kulad </t>
  </si>
  <si>
    <t>Gol</t>
  </si>
  <si>
    <t>Mazhar Ali</t>
  </si>
  <si>
    <t>yashpalsingh</t>
  </si>
  <si>
    <t xml:space="preserve">Galodar </t>
  </si>
  <si>
    <t>maulik sindhav</t>
  </si>
  <si>
    <t xml:space="preserve">Kamleshsinh Solanki </t>
  </si>
  <si>
    <t>Pankaj Mer</t>
  </si>
  <si>
    <t>Tushar</t>
  </si>
  <si>
    <t>it's__KANBHAA</t>
  </si>
  <si>
    <t>aadil shaikh</t>
  </si>
  <si>
    <t>Rudra</t>
  </si>
  <si>
    <t>Hiralal bhai</t>
  </si>
  <si>
    <t xml:space="preserve">kothara </t>
  </si>
  <si>
    <t>Amin Miyaji</t>
  </si>
  <si>
    <t>Thakkar Darshan</t>
  </si>
  <si>
    <t>Anis</t>
  </si>
  <si>
    <t>Rushi_3111</t>
  </si>
  <si>
    <t xml:space="preserve">margi prajapati </t>
  </si>
  <si>
    <t>Koshti Mihir</t>
  </si>
  <si>
    <t>Kamlesh Barva</t>
  </si>
  <si>
    <t>DILIP Thakor</t>
  </si>
  <si>
    <t>Pithiyakuldee</t>
  </si>
  <si>
    <t xml:space="preserve">FB </t>
  </si>
  <si>
    <t>Hiren </t>
  </si>
  <si>
    <t>Satyajitsinh Rajput</t>
  </si>
  <si>
    <t>Mahesh</t>
  </si>
  <si>
    <t>MV Shaikh</t>
  </si>
  <si>
    <t>jhagadia</t>
  </si>
  <si>
    <t>Shaikh idrish</t>
  </si>
  <si>
    <t>Tushar Patel</t>
  </si>
  <si>
    <t>Maulik Patel</t>
  </si>
  <si>
    <t>jadeja virendra</t>
  </si>
  <si>
    <t xml:space="preserve">bhargav variya </t>
  </si>
  <si>
    <t>milan</t>
  </si>
  <si>
    <t xml:space="preserve">bhesan </t>
  </si>
  <si>
    <t>Jayveer Khuman</t>
  </si>
  <si>
    <t>Pradip Beladiya</t>
  </si>
  <si>
    <t>bahjoi</t>
  </si>
  <si>
    <t xml:space="preserve">uttar pradesh </t>
  </si>
  <si>
    <t>Lokesh Gupta</t>
  </si>
  <si>
    <t>Akhilesh Nath Tripathi</t>
  </si>
  <si>
    <t xml:space="preserve">morbi </t>
  </si>
  <si>
    <t>Vajsi chavda</t>
  </si>
  <si>
    <t>chirag darji</t>
  </si>
  <si>
    <t xml:space="preserve">navsari </t>
  </si>
  <si>
    <t>Feral s Rathod</t>
  </si>
  <si>
    <t>Rajan Ahir</t>
  </si>
  <si>
    <t>Yogvirsinh Zala</t>
  </si>
  <si>
    <t>Manan chauhan</t>
  </si>
  <si>
    <t>Dhruval Radadiya</t>
  </si>
  <si>
    <t>Saleh Dantrolia</t>
  </si>
  <si>
    <t>Akil Hingora</t>
  </si>
  <si>
    <t>Bimal Pandya</t>
  </si>
  <si>
    <t xml:space="preserve">Hitesh Patel </t>
  </si>
  <si>
    <t>Apurv Patel</t>
  </si>
  <si>
    <t xml:space="preserve">mahngrol </t>
  </si>
  <si>
    <t>RUSHAABH</t>
  </si>
  <si>
    <t xml:space="preserve">chandrapal sinh virpura milan </t>
  </si>
  <si>
    <t xml:space="preserve">Raju Desai </t>
  </si>
  <si>
    <t>Gauri Padaya</t>
  </si>
  <si>
    <t>Bhavangar</t>
  </si>
  <si>
    <t>Chirag Bha</t>
  </si>
  <si>
    <t>VIRAL THAKKER</t>
  </si>
  <si>
    <t>Kishan Chudasama</t>
  </si>
  <si>
    <t>Gogamba</t>
  </si>
  <si>
    <t>Mehul vanzara</t>
  </si>
  <si>
    <t>Navaz Pathan</t>
  </si>
  <si>
    <t>Prathamsinh bhati</t>
  </si>
  <si>
    <t>Pravin Prajapati</t>
  </si>
  <si>
    <t>Krulay Desai</t>
  </si>
  <si>
    <t>Jigar Thakkar</t>
  </si>
  <si>
    <t>Nirmal Rajpurohit</t>
  </si>
  <si>
    <t>Aftab Kadu</t>
  </si>
  <si>
    <t>Raj Rupapara</t>
  </si>
  <si>
    <t>Nirmal</t>
  </si>
  <si>
    <t>Sumra Faizan</t>
  </si>
  <si>
    <t>Shekh Munzamilbhai M</t>
  </si>
  <si>
    <t>S_K_Babi_0786</t>
  </si>
  <si>
    <t>Manthan Upadhyay</t>
  </si>
  <si>
    <t>Shekh Muhmmad</t>
  </si>
  <si>
    <t>Panchani Arvind</t>
  </si>
  <si>
    <t>JETHAVA navaz</t>
  </si>
  <si>
    <t>PusHpendrasinh Raulji</t>
  </si>
  <si>
    <t>Dipak murlidha</t>
  </si>
  <si>
    <t>Akshay mehta</t>
  </si>
  <si>
    <t xml:space="preserve">Solanki bhavesh </t>
  </si>
  <si>
    <t>Jadeja Yuvrajsinh Hatdi</t>
  </si>
  <si>
    <t>Dinesh Bhaliya</t>
  </si>
  <si>
    <t>Harshil Katakiya</t>
  </si>
  <si>
    <t>Shehera</t>
  </si>
  <si>
    <t>Nilesh Solanki</t>
  </si>
  <si>
    <t>Dipakbhai pravinbhai</t>
  </si>
  <si>
    <t>Kalpesh Ninama</t>
  </si>
  <si>
    <t>Safwan wadiwala</t>
  </si>
  <si>
    <t>Chuhan samir</t>
  </si>
  <si>
    <t>Hirenkumar arvindbhai</t>
  </si>
  <si>
    <t>Chetan _172</t>
  </si>
  <si>
    <t>Prit Thakor</t>
  </si>
  <si>
    <t>Samir Bhatuk</t>
  </si>
  <si>
    <t>Vyas Alpesh</t>
  </si>
  <si>
    <t>Himanshu Lalwani</t>
  </si>
  <si>
    <t>Veeru C Gohil</t>
  </si>
  <si>
    <t>Dineshkherajan</t>
  </si>
  <si>
    <t>PINANK NIMBARK</t>
  </si>
  <si>
    <t>Harshad</t>
  </si>
  <si>
    <t>Maaj Maaj vohra</t>
  </si>
  <si>
    <t>Shakil farid saiyed</t>
  </si>
  <si>
    <t>MS</t>
  </si>
  <si>
    <t>Hetax Thakor</t>
  </si>
  <si>
    <t>Vipul Mithapara</t>
  </si>
  <si>
    <t xml:space="preserve">krupesh patel </t>
  </si>
  <si>
    <t>Shivam Gupta</t>
  </si>
  <si>
    <t>Port Porbandar</t>
  </si>
  <si>
    <t>SUNIL PITERSAN</t>
  </si>
  <si>
    <t>Gajera Deep</t>
  </si>
  <si>
    <t>Pandya Vasan</t>
  </si>
  <si>
    <t>Sanjay Jain</t>
  </si>
  <si>
    <t>Sihor</t>
  </si>
  <si>
    <t>RB_</t>
  </si>
  <si>
    <t>bhagaram</t>
  </si>
  <si>
    <t>Mukesh Patel</t>
  </si>
  <si>
    <t>Golu Rathour</t>
  </si>
  <si>
    <t>Abhay Upadhyay</t>
  </si>
  <si>
    <t>Mahipal Singh Jadega</t>
  </si>
  <si>
    <t>Alpeshji Padihar</t>
  </si>
  <si>
    <t>Bhakti gondaliya</t>
  </si>
  <si>
    <t>bareilly</t>
  </si>
  <si>
    <t>Deepak Gangwa</t>
  </si>
  <si>
    <t>Unnao</t>
  </si>
  <si>
    <t>Shukla Pradeep</t>
  </si>
  <si>
    <t>Aligarh</t>
  </si>
  <si>
    <t>Narayan up 81</t>
  </si>
  <si>
    <t>Aridaman Singh</t>
  </si>
  <si>
    <t xml:space="preserve">kalol </t>
  </si>
  <si>
    <t>Patel Nikunj A</t>
  </si>
  <si>
    <t>harry.331</t>
  </si>
  <si>
    <t xml:space="preserve">Naroda </t>
  </si>
  <si>
    <t xml:space="preserve">jaydeep </t>
  </si>
  <si>
    <t>Shrimali brijesh</t>
  </si>
  <si>
    <t>subash</t>
  </si>
  <si>
    <t>Ranvirsinh Dayma</t>
  </si>
  <si>
    <t>Tushar Baraiya</t>
  </si>
  <si>
    <t>Shubh</t>
  </si>
  <si>
    <t>Abhay Jam</t>
  </si>
  <si>
    <t xml:space="preserve">Amit </t>
  </si>
  <si>
    <t>Kamlesh Ahir</t>
  </si>
  <si>
    <t>Rajendra kapadia</t>
  </si>
  <si>
    <t>Thakor Labhubhai</t>
  </si>
  <si>
    <t>Javid Majothi</t>
  </si>
  <si>
    <t xml:space="preserve">Ambala </t>
  </si>
  <si>
    <t xml:space="preserve">Haryana </t>
  </si>
  <si>
    <t>Kp Parjapati</t>
  </si>
  <si>
    <t>Yogesh kumar</t>
  </si>
  <si>
    <t>Farrukhabad</t>
  </si>
  <si>
    <t>Vikram Kumar Kashya</t>
  </si>
  <si>
    <t>SaleMadhya Pradeshur</t>
  </si>
  <si>
    <t>vikas kushwaha</t>
  </si>
  <si>
    <t>Sahil</t>
  </si>
  <si>
    <t>Dev Patel</t>
  </si>
  <si>
    <t>Sandip Himani</t>
  </si>
  <si>
    <t>Rawat yogesh</t>
  </si>
  <si>
    <t>Piyush Mishra</t>
  </si>
  <si>
    <t>Varanasi</t>
  </si>
  <si>
    <t>Akhilesh Mishra</t>
  </si>
  <si>
    <t>Manish</t>
  </si>
  <si>
    <t>Vimal Doshi</t>
  </si>
  <si>
    <t>Sandeep Prasad</t>
  </si>
  <si>
    <t>Mehul Rajput</t>
  </si>
  <si>
    <t>Anupam Rathore</t>
  </si>
  <si>
    <t>Jetalpur</t>
  </si>
  <si>
    <t>Baraiya Ajay</t>
  </si>
  <si>
    <t>Pradip Chauhan</t>
  </si>
  <si>
    <t>Patel Mana</t>
  </si>
  <si>
    <t>JUNED BABA</t>
  </si>
  <si>
    <t>Pathan Sajjad Pathan</t>
  </si>
  <si>
    <t>Pavan Nakum</t>
  </si>
  <si>
    <t>Paras Borda</t>
  </si>
  <si>
    <t>Gangani Vijay</t>
  </si>
  <si>
    <t>Dev yadav</t>
  </si>
  <si>
    <t>Anahu Kumar</t>
  </si>
  <si>
    <t>Theba sufiyan</t>
  </si>
  <si>
    <t>Ashishkumar Lunagariya</t>
  </si>
  <si>
    <t>Shyam</t>
  </si>
  <si>
    <t>vadoadra</t>
  </si>
  <si>
    <t>jalpesh.patel</t>
  </si>
  <si>
    <t>Sagar Bharvad</t>
  </si>
  <si>
    <t>mundra</t>
  </si>
  <si>
    <t>Sardarsinh Zala</t>
  </si>
  <si>
    <t>Dhruvesh</t>
  </si>
  <si>
    <t>Arvind Kothariy</t>
  </si>
  <si>
    <t>Nayan Solank</t>
  </si>
  <si>
    <t>Gaurav Raval</t>
  </si>
  <si>
    <t>Shahid ali Quresh</t>
  </si>
  <si>
    <t>Mahesh Chagli</t>
  </si>
  <si>
    <t>Haldwani</t>
  </si>
  <si>
    <t>Jitendra</t>
  </si>
  <si>
    <t>mustak shaikh</t>
  </si>
  <si>
    <t>Ravi Pate</t>
  </si>
  <si>
    <t>Faridabad</t>
  </si>
  <si>
    <t>Satyabhan Tamar</t>
  </si>
  <si>
    <t>WP</t>
  </si>
  <si>
    <t xml:space="preserve">Chintan panchal </t>
  </si>
  <si>
    <t>Shiyal jayesh bhai</t>
  </si>
  <si>
    <t>Ashish Sojitra</t>
  </si>
  <si>
    <t>Dhruv</t>
  </si>
  <si>
    <t>Vipul Patel</t>
  </si>
  <si>
    <t>Jasdan</t>
  </si>
  <si>
    <t>kt</t>
  </si>
  <si>
    <t>Talbahet</t>
  </si>
  <si>
    <t>Sachendra Yadav</t>
  </si>
  <si>
    <t>Hamirpur</t>
  </si>
  <si>
    <t>Vikas omar</t>
  </si>
  <si>
    <t>Parthu Patel</t>
  </si>
  <si>
    <t>Pritesh Parmar</t>
  </si>
  <si>
    <t>Kalpesh bharai</t>
  </si>
  <si>
    <t>halol</t>
  </si>
  <si>
    <t xml:space="preserve">ravi rana </t>
  </si>
  <si>
    <t>Kasif</t>
  </si>
  <si>
    <t>Vara Gautam</t>
  </si>
  <si>
    <t>Pravin Choudhary</t>
  </si>
  <si>
    <t>SAHIL HIRAPARA</t>
  </si>
  <si>
    <t xml:space="preserve">Savan patel </t>
  </si>
  <si>
    <t>Dhaval Kanani</t>
  </si>
  <si>
    <t xml:space="preserve">Una </t>
  </si>
  <si>
    <t>Rohit Vaja</t>
  </si>
  <si>
    <t>Dipak</t>
  </si>
  <si>
    <t>Rudresh vya</t>
  </si>
  <si>
    <t>Aaftab Lala Khan Pathan</t>
  </si>
  <si>
    <t>Adit Solanki</t>
  </si>
  <si>
    <t>vav</t>
  </si>
  <si>
    <t>Vipulsinh Rajput</t>
  </si>
  <si>
    <t>Kushinagar</t>
  </si>
  <si>
    <t>Mumtaj Ali</t>
  </si>
  <si>
    <t>Akshay zala</t>
  </si>
  <si>
    <t>Ankit Kanpariya</t>
  </si>
  <si>
    <t>JAYRAJSINH RAJPUT</t>
  </si>
  <si>
    <t>Vijapur</t>
  </si>
  <si>
    <t>Pradip parmar</t>
  </si>
  <si>
    <t>patel dhruval</t>
  </si>
  <si>
    <t>nawada</t>
  </si>
  <si>
    <t>Narendra kumar Niraj</t>
  </si>
  <si>
    <t>Bokaro</t>
  </si>
  <si>
    <t>Shailendra Prasad</t>
  </si>
  <si>
    <t>Kishan</t>
  </si>
  <si>
    <t>Chintan Modi</t>
  </si>
  <si>
    <t>Ravi Dave</t>
  </si>
  <si>
    <t>Jay Parmar</t>
  </si>
  <si>
    <t>Javed darvesh</t>
  </si>
  <si>
    <t>Prachi</t>
  </si>
  <si>
    <t>Rohitsinh Jadav</t>
  </si>
  <si>
    <t>Abhay Gupta</t>
  </si>
  <si>
    <t>Mohit Singh</t>
  </si>
  <si>
    <t>vahid shaikh</t>
  </si>
  <si>
    <t>Gaurav gautam</t>
  </si>
  <si>
    <t>bhanvad</t>
  </si>
  <si>
    <t>Hiren Odedra</t>
  </si>
  <si>
    <t>Chotila</t>
  </si>
  <si>
    <t>Maldip Darbar</t>
  </si>
  <si>
    <t>Harshit makwana</t>
  </si>
  <si>
    <t>Mahavirsinh Solanki</t>
  </si>
  <si>
    <t>AD Rajput</t>
  </si>
  <si>
    <t xml:space="preserve"> </t>
  </si>
  <si>
    <t>PRUTHVI SINGH V THAKOR</t>
  </si>
  <si>
    <t>Vijay Modhvadiya</t>
  </si>
  <si>
    <t>utraula</t>
  </si>
  <si>
    <t>Asrar Ahmad Raini</t>
  </si>
  <si>
    <t>mdaman</t>
  </si>
  <si>
    <t>Shaktisinh Gohil</t>
  </si>
  <si>
    <t>Dipen Gandhi</t>
  </si>
  <si>
    <t>Ahir Chintan</t>
  </si>
  <si>
    <t>Dedana</t>
  </si>
  <si>
    <t>Vyas Yogesh</t>
  </si>
  <si>
    <t>Monik Mehta</t>
  </si>
  <si>
    <t>agra</t>
  </si>
  <si>
    <t>Sonu Choudhary</t>
  </si>
  <si>
    <t>Mau</t>
  </si>
  <si>
    <t>Anand mohan singh</t>
  </si>
  <si>
    <t>Sanket kothiya</t>
  </si>
  <si>
    <t>prakash</t>
  </si>
  <si>
    <t>Vicky Biscuitwala</t>
  </si>
  <si>
    <t>Aryan Bhai</t>
  </si>
  <si>
    <t>Talati Mittul</t>
  </si>
  <si>
    <t>Anil Patadiya</t>
  </si>
  <si>
    <t>kishan</t>
  </si>
  <si>
    <t>Deepak Bansal</t>
  </si>
  <si>
    <t>Kolkata</t>
  </si>
  <si>
    <t>Arup Saha(Arpan)</t>
  </si>
  <si>
    <t>Devdan Rudach</t>
  </si>
  <si>
    <t>Satvara Sandip</t>
  </si>
  <si>
    <t xml:space="preserve">Krish </t>
  </si>
  <si>
    <t>Dilip Mokariya</t>
  </si>
  <si>
    <t>Hemant Sharma</t>
  </si>
  <si>
    <t xml:space="preserve">haridwar </t>
  </si>
  <si>
    <t>Adv. Ikram Ansari</t>
  </si>
  <si>
    <t>mahesh mevada</t>
  </si>
  <si>
    <t>Valasan</t>
  </si>
  <si>
    <t>Aadil Vahora</t>
  </si>
  <si>
    <t>Kapadwan</t>
  </si>
  <si>
    <t>Yash</t>
  </si>
  <si>
    <t>Kheda</t>
  </si>
  <si>
    <t>Rutwik</t>
  </si>
  <si>
    <t>Hitesh Manglani</t>
  </si>
  <si>
    <t>dwarka</t>
  </si>
  <si>
    <t>CHAVDA LAKHANKUMAR DHARMENDRABHAI</t>
  </si>
  <si>
    <t>Ankit Chaudhary</t>
  </si>
  <si>
    <t>Prakash Matlani</t>
  </si>
  <si>
    <t>NAVYA</t>
  </si>
  <si>
    <t>Bhavnagar</t>
  </si>
  <si>
    <t>Vijay Solanki</t>
  </si>
  <si>
    <t>Ronak Maheshwari</t>
  </si>
  <si>
    <t>Ahemdabad</t>
  </si>
  <si>
    <t>Narayan Singh Rathore</t>
  </si>
  <si>
    <t>Juber_T</t>
  </si>
  <si>
    <t>Parikshitsinh padhiyar</t>
  </si>
  <si>
    <t>Uvesh Amin</t>
  </si>
  <si>
    <t>Smith patel</t>
  </si>
  <si>
    <t>Pradipsinh Solanki</t>
  </si>
  <si>
    <t>Chikhli</t>
  </si>
  <si>
    <t>Yogesh Patel</t>
  </si>
  <si>
    <t>Dhaval Bhavsar</t>
  </si>
  <si>
    <t>Shaikh Mo Uvesh Khslid</t>
  </si>
  <si>
    <t>Irfan Chanki</t>
  </si>
  <si>
    <t>PRAKASH VAGHELA</t>
  </si>
  <si>
    <t>Ronak Solanki</t>
  </si>
  <si>
    <t>Hardik Bhanushali</t>
  </si>
  <si>
    <t>Jetpur </t>
  </si>
  <si>
    <t>Ketan</t>
  </si>
  <si>
    <t>Gohil Bapu</t>
  </si>
  <si>
    <t>Anjar</t>
  </si>
  <si>
    <t>Ahmednagar</t>
  </si>
  <si>
    <t>R K Ravindra Karad</t>
  </si>
  <si>
    <t>Tosif Bloch</t>
  </si>
  <si>
    <t>Ravi patel</t>
  </si>
  <si>
    <t>shoaib.mansuri</t>
  </si>
  <si>
    <t>Dilip Prajapati</t>
  </si>
  <si>
    <t>Matar</t>
  </si>
  <si>
    <t>Rabari Vikram</t>
  </si>
  <si>
    <t>mukeshlagdhir</t>
  </si>
  <si>
    <t>Parth Rajgor</t>
  </si>
  <si>
    <t>Petlad</t>
  </si>
  <si>
    <t>Patel</t>
  </si>
  <si>
    <t>kadi</t>
  </si>
  <si>
    <t>Sunil Prajapati</t>
  </si>
  <si>
    <t>??RAAVAL MIHIIR?</t>
  </si>
  <si>
    <t>Surat mandvi</t>
  </si>
  <si>
    <t>Chaudhari Naitik</t>
  </si>
  <si>
    <t>Prince vaitha</t>
  </si>
  <si>
    <t>Panchal Siddharth</t>
  </si>
  <si>
    <t>Bipin</t>
  </si>
  <si>
    <t>Piyush Chauhan</t>
  </si>
  <si>
    <t>Vivek Borsaniya</t>
  </si>
  <si>
    <t>Alkesh Suba</t>
  </si>
  <si>
    <t>Kanji Tilavat</t>
  </si>
  <si>
    <t>Pran Singh Pa</t>
  </si>
  <si>
    <t xml:space="preserve">Vishnagar </t>
  </si>
  <si>
    <t xml:space="preserve">Dev Patel </t>
  </si>
  <si>
    <t>Afjal Minapars</t>
  </si>
  <si>
    <t>Sunil Patel</t>
  </si>
  <si>
    <t>Hiren Koshti</t>
  </si>
  <si>
    <t>Rashtrapal Vankhede</t>
  </si>
  <si>
    <t>Mansuri Sohil</t>
  </si>
  <si>
    <t>mahuava</t>
  </si>
  <si>
    <t>Idris Shahidbhai Saiyad</t>
  </si>
  <si>
    <t>Sanjay thakor</t>
  </si>
  <si>
    <t>Dhaval gohel</t>
  </si>
  <si>
    <t>Sitapur</t>
  </si>
  <si>
    <t>Mo Irfan Riyaj</t>
  </si>
  <si>
    <t>Ramendra singh</t>
  </si>
  <si>
    <t>Morbi</t>
  </si>
  <si>
    <t xml:space="preserve"> Daud Chaniya</t>
  </si>
  <si>
    <t>Mahesh bhai</t>
  </si>
  <si>
    <t>Aniketsoni</t>
  </si>
  <si>
    <t>jaso</t>
  </si>
  <si>
    <t>Rohit Singh Parihar</t>
  </si>
  <si>
    <t>CHANDEGARA HARSH A</t>
  </si>
  <si>
    <t>Madhavi Bhatt</t>
  </si>
  <si>
    <t>idar</t>
  </si>
  <si>
    <t>divyapalsinh Bhupendrasinh rathod </t>
  </si>
  <si>
    <t>Sunilgiri Goswami</t>
  </si>
  <si>
    <t xml:space="preserve">vadodara </t>
  </si>
  <si>
    <t>Vivek arunraop</t>
  </si>
  <si>
    <t>krartik patel</t>
  </si>
  <si>
    <t>Himatnagar</t>
  </si>
  <si>
    <t>Darshan Doshi</t>
  </si>
  <si>
    <t>Gopal chauhan</t>
  </si>
  <si>
    <t>Samastipur</t>
  </si>
  <si>
    <t>Navin Singh</t>
  </si>
  <si>
    <t>Akshay Patel </t>
  </si>
  <si>
    <t>Mohammed memo</t>
  </si>
  <si>
    <t>Raju Boliya</t>
  </si>
  <si>
    <t>Arman </t>
  </si>
  <si>
    <t>Jaydip Ram</t>
  </si>
  <si>
    <t>Hamzu Shaikh </t>
  </si>
  <si>
    <t>Chand Patel </t>
  </si>
  <si>
    <t>Samana</t>
  </si>
  <si>
    <t>Manav Garg</t>
  </si>
  <si>
    <t>Etawah </t>
  </si>
  <si>
    <t>Jeetu Yadav </t>
  </si>
  <si>
    <t>Vidya Shinde </t>
  </si>
  <si>
    <t xml:space="preserve"> Mr Bharvad</t>
  </si>
  <si>
    <t>Bhagirath Talaviya</t>
  </si>
  <si>
    <t>Aabid Bhai</t>
  </si>
  <si>
    <t>visanagar</t>
  </si>
  <si>
    <t>Chaudhari Dhaval </t>
  </si>
  <si>
    <t>siddhpur</t>
  </si>
  <si>
    <t>moghaji thakor </t>
  </si>
  <si>
    <t>Vihan </t>
  </si>
  <si>
    <t>Kalol </t>
  </si>
  <si>
    <t>Aadi </t>
  </si>
  <si>
    <t>Bharatbhai zaverbhai rohit </t>
  </si>
  <si>
    <t>Ranjit Shih Bapu </t>
  </si>
  <si>
    <t>rohtak</t>
  </si>
  <si>
    <t>Kavita Sharma</t>
  </si>
  <si>
    <t>Safidon</t>
  </si>
  <si>
    <t>Mohit </t>
  </si>
  <si>
    <t>Ankit Pal</t>
  </si>
  <si>
    <t>Shalendra Rathore</t>
  </si>
  <si>
    <t>DIVYESH NATHA</t>
  </si>
  <si>
    <t>Devesh solanki </t>
  </si>
  <si>
    <t>Alam bhai </t>
  </si>
  <si>
    <t>smit Madhar</t>
  </si>
  <si>
    <t>Parth Borad</t>
  </si>
  <si>
    <t>Somnth  Patil</t>
  </si>
  <si>
    <t>Shishupal Singh Chauhan Jhab</t>
  </si>
  <si>
    <t>Sanny S Patel</t>
  </si>
  <si>
    <t>Divyesh Modi</t>
  </si>
  <si>
    <t>Bilkha</t>
  </si>
  <si>
    <t>Wishal Virani</t>
  </si>
  <si>
    <t>Anand Bhatt Ahmedabad</t>
  </si>
  <si>
    <t>RANAVAV</t>
  </si>
  <si>
    <t>dashrathsinh Makwana</t>
  </si>
  <si>
    <t>Derdi khumbhajii</t>
  </si>
  <si>
    <t>Bhaumik</t>
  </si>
  <si>
    <t>Bhabhar</t>
  </si>
  <si>
    <t>M R Chaudhary</t>
  </si>
  <si>
    <t>Kapadawanj</t>
  </si>
  <si>
    <t>Ayan Saiyad</t>
  </si>
  <si>
    <t>Sushil Kumar Gupta</t>
  </si>
  <si>
    <t>Ballia</t>
  </si>
  <si>
    <t>Amit Prajapati</t>
  </si>
  <si>
    <t>Arpan Kansara</t>
  </si>
  <si>
    <t>Gupta Akhilesh</t>
  </si>
  <si>
    <t>Ammar saiyed</t>
  </si>
  <si>
    <t>Upleta</t>
  </si>
  <si>
    <t>Haresh Ahir</t>
  </si>
  <si>
    <t>Kim</t>
  </si>
  <si>
    <t>Musef</t>
  </si>
  <si>
    <t>Mathura</t>
  </si>
  <si>
    <t>Pankaj Saraswat</t>
  </si>
  <si>
    <t>haresh</t>
  </si>
  <si>
    <t>BerhaMadhya Pradeshur</t>
  </si>
  <si>
    <t>Number@18</t>
  </si>
  <si>
    <t>Pankaj mevada</t>
  </si>
  <si>
    <t>BODELI</t>
  </si>
  <si>
    <t>Jaya A Rathva</t>
  </si>
  <si>
    <t>piyush</t>
  </si>
  <si>
    <t>Kaptanganj kushinagar</t>
  </si>
  <si>
    <t>Abhishek Shukla</t>
  </si>
  <si>
    <t>Jabbar</t>
  </si>
  <si>
    <t>Neha</t>
  </si>
  <si>
    <t>Radhe Radhe</t>
  </si>
  <si>
    <t>Jam Khmbhaliya Pin : no. 361306</t>
  </si>
  <si>
    <t>Kapila Kapu</t>
  </si>
  <si>
    <t>hadiyabharatbhai</t>
  </si>
  <si>
    <t>Patel Vishal</t>
  </si>
  <si>
    <t>Sameer Bilakhiya</t>
  </si>
  <si>
    <t>Rahul Chauhan</t>
  </si>
  <si>
    <t>Moti chanol</t>
  </si>
  <si>
    <t>?????????????????? ????????????</t>
  </si>
  <si>
    <t>Pranesh</t>
  </si>
  <si>
    <t>Sirat</t>
  </si>
  <si>
    <t>Deny Virani</t>
  </si>
  <si>
    <t>Divyesh Rabari</t>
  </si>
  <si>
    <t>Shubh_724</t>
  </si>
  <si>
    <t>Mr_Milan_Bapodara</t>
  </si>
  <si>
    <t>Vijay Muchhal</t>
  </si>
  <si>
    <t>arvnd borana</t>
  </si>
  <si>
    <t>J.k. Kamani</t>
  </si>
  <si>
    <t>Bhavngar</t>
  </si>
  <si>
    <t>Ajitsinh Bhandari 1885</t>
  </si>
  <si>
    <t>Shailesh Patel</t>
  </si>
  <si>
    <t>Hala Faizal Firozbhai</t>
  </si>
  <si>
    <t>Rajko</t>
  </si>
  <si>
    <t>Parth</t>
  </si>
  <si>
    <t>Jam khambhaliya</t>
  </si>
  <si>
    <t>mahadev siva</t>
  </si>
  <si>
    <t>Anantsinh Rana</t>
  </si>
  <si>
    <t>??????????</t>
  </si>
  <si>
    <t>JAIMINSINH BARIA</t>
  </si>
  <si>
    <t>Nilesh Mevcha</t>
  </si>
  <si>
    <t>MAYUR GOHIL</t>
  </si>
  <si>
    <t>Mahisagar</t>
  </si>
  <si>
    <t>CHAUHAN VISHALSINH PRAVINSINH</t>
  </si>
  <si>
    <t>Dhar</t>
  </si>
  <si>
    <t>Rajiv rane</t>
  </si>
  <si>
    <t>Afcone Speakers</t>
  </si>
  <si>
    <t>Hiren  kaladiya</t>
  </si>
  <si>
    <t>Mukesh Singhal</t>
  </si>
  <si>
    <t>Harsh Sharma</t>
  </si>
  <si>
    <t>Raje Patil</t>
  </si>
  <si>
    <t>Kamlesh Varelani</t>
  </si>
  <si>
    <t>Talaja</t>
  </si>
  <si>
    <t>ASHARAF_NAGARIYA</t>
  </si>
  <si>
    <t>Chhatarpur</t>
  </si>
  <si>
    <t>Shashank Shrivastava</t>
  </si>
  <si>
    <t>Gwalior</t>
  </si>
  <si>
    <t>jagroop Singh Baghel</t>
  </si>
  <si>
    <t>Alam bhai</t>
  </si>
  <si>
    <t>__SUMBHA_1204__</t>
  </si>
  <si>
    <t>Darshan Rupareliya</t>
  </si>
  <si>
    <t>Shahid</t>
  </si>
  <si>
    <t>Rahul Gohil</t>
  </si>
  <si>
    <t>K A R A N</t>
  </si>
  <si>
    <t>Abad</t>
  </si>
  <si>
    <t>Bhavin</t>
  </si>
  <si>
    <t>Kuldip Rajput</t>
  </si>
  <si>
    <t>Anil Maiyad</t>
  </si>
  <si>
    <t>Hardik patanvadiya</t>
  </si>
  <si>
    <t>Khama Khan Khama</t>
  </si>
  <si>
    <t>Solanki bhavesh</t>
  </si>
  <si>
    <t>Dk Brand Hub</t>
  </si>
  <si>
    <t>Lalit Shekhada</t>
  </si>
  <si>
    <t>Fan_of_G????????????????????????</t>
  </si>
  <si>
    <t>??????</t>
  </si>
  <si>
    <t>Pranav Katara</t>
  </si>
  <si>
    <t>Ashwin Kalsariya</t>
  </si>
  <si>
    <t>FB5</t>
  </si>
  <si>
    <t>sibin josh</t>
  </si>
  <si>
    <t>Chintu </t>
  </si>
  <si>
    <t>Imran </t>
  </si>
  <si>
    <t>Shivam Bhil</t>
  </si>
  <si>
    <t>Parik Hapur</t>
  </si>
  <si>
    <t>Hardik Patel </t>
  </si>
  <si>
    <t>Mahisagar  </t>
  </si>
  <si>
    <t xml:space="preserve">Nikhil Dabga </t>
  </si>
  <si>
    <t>Rajput Jitendra</t>
  </si>
  <si>
    <t>Pradeep Agrawal </t>
  </si>
  <si>
    <t>majithiya jignesh </t>
  </si>
  <si>
    <t>jamnagar</t>
  </si>
  <si>
    <t>Rohit Nakum</t>
  </si>
  <si>
    <t>Yash Rana</t>
  </si>
  <si>
    <t>Jodiya</t>
  </si>
  <si>
    <t>Parmar Parmar</t>
  </si>
  <si>
    <t>Jaykishan</t>
  </si>
  <si>
    <t>Chauhan Anvar</t>
  </si>
  <si>
    <t>junagadh</t>
  </si>
  <si>
    <t>bhavesh bhanshal</t>
  </si>
  <si>
    <t>Jay Raval</t>
  </si>
  <si>
    <t>Latur</t>
  </si>
  <si>
    <t>Balaji chate</t>
  </si>
  <si>
    <t>jayendra gavit</t>
  </si>
  <si>
    <t>Chandrpur</t>
  </si>
  <si>
    <t>pintu chavhan</t>
  </si>
  <si>
    <t>Sandy Parmar</t>
  </si>
  <si>
    <t>Nilesh Pareshbhai paghadal</t>
  </si>
  <si>
    <t>Vadodara </t>
  </si>
  <si>
    <t xml:space="preserve">Sahil Mansuri </t>
  </si>
  <si>
    <t>Vinod Chaudhary_</t>
  </si>
  <si>
    <t>Amit Prajapati </t>
  </si>
  <si>
    <t>Magdumhusen MunirAhmad Kuresh</t>
  </si>
  <si>
    <t>Limbdi</t>
  </si>
  <si>
    <t>Parth Mehta </t>
  </si>
  <si>
    <t>Praful Giri Aparnath</t>
  </si>
  <si>
    <t>Chauhan Nilkanth babubha</t>
  </si>
  <si>
    <t>Sabir Shekh</t>
  </si>
  <si>
    <t>Nikhil Yadav </t>
  </si>
  <si>
    <t>Bhadran</t>
  </si>
  <si>
    <t xml:space="preserve">Dinesh Solanki </t>
  </si>
  <si>
    <t>Dhrol</t>
  </si>
  <si>
    <t>ketan ganatra </t>
  </si>
  <si>
    <t>Lunavada</t>
  </si>
  <si>
    <t>Saurabh Patel </t>
  </si>
  <si>
    <t>ahmednagar</t>
  </si>
  <si>
    <t>Ashok Kotkar</t>
  </si>
  <si>
    <t>Jignesh </t>
  </si>
  <si>
    <t>Vinay Patel </t>
  </si>
  <si>
    <t>Satana</t>
  </si>
  <si>
    <t>Madhya PradeSh</t>
  </si>
  <si>
    <t>Pravin </t>
  </si>
  <si>
    <t>Pawan Yadav</t>
  </si>
  <si>
    <t>Sarthak pratap Singh</t>
  </si>
  <si>
    <t>Vipulkumar Ramnikbhai Soni</t>
  </si>
  <si>
    <t>Amit kumar </t>
  </si>
  <si>
    <t xml:space="preserve">jogeshwari </t>
  </si>
  <si>
    <t>Faiz Ahmad</t>
  </si>
  <si>
    <t>Nishar Amani</t>
  </si>
  <si>
    <t>Jankinagar</t>
  </si>
  <si>
    <t>Nitesh Kumar</t>
  </si>
  <si>
    <t>Ahmadabad </t>
  </si>
  <si>
    <t>moindiwan</t>
  </si>
  <si>
    <t>Jeypore</t>
  </si>
  <si>
    <t>Aditya narayan nanda</t>
  </si>
  <si>
    <t xml:space="preserve">Akash </t>
  </si>
  <si>
    <t>Shahjahanpur</t>
  </si>
  <si>
    <t>vineet </t>
  </si>
  <si>
    <t>Pipili</t>
  </si>
  <si>
    <t>Suraj Khan</t>
  </si>
  <si>
    <t>Yogesh Ambani</t>
  </si>
  <si>
    <t>Mapusa</t>
  </si>
  <si>
    <t>Vivan kudneka</t>
  </si>
  <si>
    <t>Satlasan</t>
  </si>
  <si>
    <t>Aavej </t>
  </si>
  <si>
    <t>Thard</t>
  </si>
  <si>
    <t>Syed Mohd Kashif</t>
  </si>
  <si>
    <t>IslaMadhya Pradeshur</t>
  </si>
  <si>
    <t>Subham Chowdhury Charl</t>
  </si>
  <si>
    <t>bhavngar</t>
  </si>
  <si>
    <t>Rudra </t>
  </si>
  <si>
    <t>Shubham Dubey</t>
  </si>
  <si>
    <t>Bharat Duva</t>
  </si>
  <si>
    <t>Dharashiv</t>
  </si>
  <si>
    <t>Arjun Deshmukh</t>
  </si>
  <si>
    <t>Amit Singh</t>
  </si>
  <si>
    <t>ankit tiwari</t>
  </si>
  <si>
    <t xml:space="preserve">keyur patel </t>
  </si>
  <si>
    <t>Manish </t>
  </si>
  <si>
    <t>Bamba Vikram</t>
  </si>
  <si>
    <t>Vishalkumar Shah</t>
  </si>
  <si>
    <t>Padhiyar Mehul</t>
  </si>
  <si>
    <t>Bareja</t>
  </si>
  <si>
    <t>Dharmendra Agravat</t>
  </si>
  <si>
    <t>Shivam Patel </t>
  </si>
  <si>
    <t>Vikani Tejas</t>
  </si>
  <si>
    <t xml:space="preserve">Pradeepsinh Zala </t>
  </si>
  <si>
    <t xml:space="preserve">Laxmikant Patel </t>
  </si>
  <si>
    <t>Rathod Virendra</t>
  </si>
  <si>
    <t>Raj Gohil</t>
  </si>
  <si>
    <t>Vimal Patel </t>
  </si>
  <si>
    <t>Banas Kantha</t>
  </si>
  <si>
    <t>Sravnji Thakor </t>
  </si>
  <si>
    <t xml:space="preserve">mau </t>
  </si>
  <si>
    <t xml:space="preserve">Sandeep Patel </t>
  </si>
  <si>
    <t>Junagada</t>
  </si>
  <si>
    <t>Ahir Rajashi</t>
  </si>
  <si>
    <t>vicky chaudhari</t>
  </si>
  <si>
    <t>ahmedabad</t>
  </si>
  <si>
    <t>Hemant Solanki</t>
  </si>
  <si>
    <t>ronak parma</t>
  </si>
  <si>
    <t>Malek Raees</t>
  </si>
  <si>
    <t>Yasin Mema</t>
  </si>
  <si>
    <t>Unjha</t>
  </si>
  <si>
    <t>sachin prajapat</t>
  </si>
  <si>
    <t>Ravin Nargawa</t>
  </si>
  <si>
    <t>Amit Shah</t>
  </si>
  <si>
    <t>vadodara</t>
  </si>
  <si>
    <t>Swetanshu Joshi</t>
  </si>
  <si>
    <t>vijay patel</t>
  </si>
  <si>
    <t>Kishan bhai</t>
  </si>
  <si>
    <t>jetpur</t>
  </si>
  <si>
    <t>Gopal Goswami </t>
  </si>
  <si>
    <t>Oves Raliya</t>
  </si>
  <si>
    <t>Nikita Bhojani</t>
  </si>
  <si>
    <t>Manish VALBU</t>
  </si>
  <si>
    <t>TushAr Chaudhari</t>
  </si>
  <si>
    <t>Srinagar</t>
  </si>
  <si>
    <t>Rishabh Tiwari</t>
  </si>
  <si>
    <t>hitesh Purohit </t>
  </si>
  <si>
    <t>Dhaval Pate</t>
  </si>
  <si>
    <t>Manek Bharat</t>
  </si>
  <si>
    <t xml:space="preserve">Yug Patel </t>
  </si>
  <si>
    <t>Sitamarhi</t>
  </si>
  <si>
    <t>Rahul Shroff</t>
  </si>
  <si>
    <t>Baloda Bazaar</t>
  </si>
  <si>
    <t>Mahesh Rajak</t>
  </si>
  <si>
    <t>Snehal Patel </t>
  </si>
  <si>
    <t>viral tank</t>
  </si>
  <si>
    <t>Ahmedabad </t>
  </si>
  <si>
    <t>Metar Irfan</t>
  </si>
  <si>
    <t>pataudi</t>
  </si>
  <si>
    <t>Rao Sahab</t>
  </si>
  <si>
    <t>binod kumar</t>
  </si>
  <si>
    <t>Seoni</t>
  </si>
  <si>
    <t>Alok Thakur</t>
  </si>
  <si>
    <t>Bishnupur</t>
  </si>
  <si>
    <t>Ningthoujam Ratan Singh</t>
  </si>
  <si>
    <t>Ajmer</t>
  </si>
  <si>
    <t>Radhey Bana </t>
  </si>
  <si>
    <t>Bharatpur</t>
  </si>
  <si>
    <t>Rs Pooniya </t>
  </si>
  <si>
    <t>Sardarshahr</t>
  </si>
  <si>
    <t>Vinod Gadhawal</t>
  </si>
  <si>
    <t>Pukhrayan </t>
  </si>
  <si>
    <t>kaiful hasan </t>
  </si>
  <si>
    <t>Vicky </t>
  </si>
  <si>
    <t>Arpiit upadhyay </t>
  </si>
  <si>
    <t>kaushal kishor</t>
  </si>
  <si>
    <t>Atik  Ajm`eri </t>
  </si>
  <si>
    <t>Koderma</t>
  </si>
  <si>
    <t>Anup Barnwal</t>
  </si>
  <si>
    <t xml:space="preserve">Rajkumar Saini </t>
  </si>
  <si>
    <t>Subhash Alan</t>
  </si>
  <si>
    <t>Gaurav R Rathod</t>
  </si>
  <si>
    <t>Bhuj(kutch)</t>
  </si>
  <si>
    <t>om gor</t>
  </si>
  <si>
    <t>FIROJ </t>
  </si>
  <si>
    <t>Gopalganj</t>
  </si>
  <si>
    <t>Syedur Rahman</t>
  </si>
  <si>
    <t>khambhaliya</t>
  </si>
  <si>
    <t>Varun Trivedi</t>
  </si>
  <si>
    <t>Ramgiri Bapu</t>
  </si>
  <si>
    <t>sanjay</t>
  </si>
  <si>
    <t>Nishant jain</t>
  </si>
  <si>
    <t>Bhavesh Patel</t>
  </si>
  <si>
    <t>Hitesh Prajapati</t>
  </si>
  <si>
    <t>Manish Kumar Pandey</t>
  </si>
  <si>
    <t>Shahdol</t>
  </si>
  <si>
    <t>Mayur Thakor</t>
  </si>
  <si>
    <t>Google 4</t>
  </si>
  <si>
    <t xml:space="preserve">Yuvraj Sinh </t>
  </si>
  <si>
    <t>Pritam Sethy</t>
  </si>
  <si>
    <t>Bhubaneshwar</t>
  </si>
  <si>
    <t>Vijay Parmar</t>
  </si>
  <si>
    <t>Total Leads</t>
  </si>
  <si>
    <t>Converted Leads</t>
  </si>
  <si>
    <t>Conversion rate</t>
  </si>
  <si>
    <t>Revenue generated</t>
  </si>
  <si>
    <t>Pipeline value</t>
  </si>
  <si>
    <t>Lost opportunity</t>
  </si>
  <si>
    <t>Avg Closure Days</t>
  </si>
  <si>
    <t>Converted</t>
  </si>
  <si>
    <t>Average of Days To Closure</t>
  </si>
  <si>
    <t>Growth</t>
  </si>
  <si>
    <t>Premium</t>
  </si>
  <si>
    <t>Starter</t>
  </si>
  <si>
    <t>Total Revenue Generated</t>
  </si>
  <si>
    <t>Count of Lead ID</t>
  </si>
  <si>
    <t>Sum of Franchise Package Amount</t>
  </si>
  <si>
    <t>Not Found</t>
  </si>
  <si>
    <t xml:space="preserve">Total Leads </t>
  </si>
  <si>
    <t>January</t>
  </si>
  <si>
    <t>March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</si>
  <si>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</si>
  <si>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</si>
  <si>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</si>
  <si>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</si>
  <si>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</si>
  <si>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</si>
  <si>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</si>
  <si>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</si>
  <si>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</si>
  <si>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Monthly Conversion Rate</t>
  </si>
  <si>
    <t>December</t>
  </si>
  <si>
    <t>(All)</t>
  </si>
  <si>
    <t>Lead</t>
  </si>
  <si>
    <t>Count of Franchise Package Amount</t>
  </si>
  <si>
    <t>Not Mapped</t>
  </si>
  <si>
    <t>Potential revenue</t>
  </si>
  <si>
    <t>Zone Conversion Share</t>
  </si>
  <si>
    <t>Zone Conversion rate</t>
  </si>
  <si>
    <t>Conversion Rate</t>
  </si>
  <si>
    <t>Total Converted revenue</t>
  </si>
  <si>
    <t>Lost Opportunity Value</t>
  </si>
  <si>
    <t>`</t>
  </si>
  <si>
    <t>Raw_Status</t>
  </si>
  <si>
    <t>Standard_Status</t>
  </si>
  <si>
    <t>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</si>
</sst>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d/mmm/yyyy;@"/>
    <numFmt numFmtId="166" formatCode="[$-409]d/mmm/yy;@"/>
    <numFmt numFmtId="167" formatCode="&quot;₹&quot;\ #,##0"/>
  </numFmts>
  <fonts count="1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475569"/>
      <name val="Segoe UI"/>
      <family val="2"/>
    </font>
    <font>
      <sz val="10"/>
      <color rgb="FF52525B"/>
      <name val="Segoe UI"/>
      <family val="2"/>
    </font>
    <font>
      <sz val="10"/>
      <color rgb="FF858796"/>
      <name val="Segoe U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2"/>
      <color rgb="FFFFFFFF"/>
      <name val="Calibri"/>
      <scheme val="minor"/>
    </font>
    <font>
      <sz val="11"/>
      <color theme="6" tint="-0.499984740745262"/>
      <name val="Calibri"/>
      <family val="2"/>
      <scheme val="minor"/>
    </font>
    <font>
      <sz val="22"/>
      <color theme="4"/>
      <name val="Calibri"/>
      <family val="2"/>
      <scheme val="minor"/>
    </font>
    <font>
      <sz val="12"/>
      <color rgb="FF52525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/>
      <top/>
      <bottom/>
      <diagonal/>
    </border>
    <border>
      <left/>
      <right style="thin">
        <color theme="2" tint="-0.749992370372631"/>
      </right>
      <top/>
      <bottom/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quotePrefix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165" fontId="1" fillId="2" borderId="2" xfId="0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165" fontId="6" fillId="6" borderId="1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 applyProtection="1">
      <alignment horizontal="center" vertical="center"/>
      <protection locked="0"/>
    </xf>
    <xf numFmtId="166" fontId="1" fillId="2" borderId="1" xfId="0" applyNumberFormat="1" applyFont="1" applyFill="1" applyBorder="1" applyAlignment="1" applyProtection="1">
      <alignment horizontal="center" vertical="center"/>
      <protection locked="0"/>
    </xf>
    <xf numFmtId="166" fontId="1" fillId="0" borderId="1" xfId="0" applyNumberFormat="1" applyFont="1" applyBorder="1" applyAlignment="1">
      <alignment horizontal="center"/>
    </xf>
    <xf numFmtId="166" fontId="1" fillId="3" borderId="1" xfId="0" applyNumberFormat="1" applyFont="1" applyFill="1" applyBorder="1" applyAlignment="1" applyProtection="1">
      <alignment horizontal="center" vertical="center"/>
      <protection locked="0"/>
    </xf>
    <xf numFmtId="166" fontId="1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/>
    <xf numFmtId="10" fontId="0" fillId="0" borderId="0" xfId="0" applyNumberFormat="1"/>
    <xf numFmtId="0" fontId="0" fillId="0" borderId="0" xfId="0" applyNumberFormat="1"/>
    <xf numFmtId="0" fontId="5" fillId="0" borderId="0" xfId="0" applyFon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9" fontId="0" fillId="0" borderId="0" xfId="0" applyNumberFormat="1"/>
    <xf numFmtId="2" fontId="0" fillId="0" borderId="0" xfId="0" applyNumberFormat="1"/>
    <xf numFmtId="0" fontId="0" fillId="0" borderId="0" xfId="0" applyAlignment="1"/>
    <xf numFmtId="0" fontId="7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7" fontId="9" fillId="0" borderId="4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67" fontId="9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9" fillId="0" borderId="4" xfId="0" applyNumberFormat="1" applyFont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/>
    </xf>
    <xf numFmtId="10" fontId="9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[Franchise_Sales_Performance_Dashboard - Copy.xlsx]Sales Cycle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Cycle Analysis'!$B$26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Cycle Analysis'!$A$27:$A$31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'Sales Cycle Analysis'!$B$27:$B$31</c:f>
              <c:numCache>
                <c:formatCode>General</c:formatCode>
                <c:ptCount val="4"/>
                <c:pt idx="0">
                  <c:v>354000</c:v>
                </c:pt>
                <c:pt idx="1">
                  <c:v>108000</c:v>
                </c:pt>
                <c:pt idx="2">
                  <c:v>390000</c:v>
                </c:pt>
                <c:pt idx="3">
                  <c:v>5346000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67C-BE88-06D42B46B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557128"/>
        <c:axId val="2080768520"/>
      </c:barChart>
      <c:catAx>
        <c:axId val="195955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68520"/>
        <c:crosses val="autoZero"/>
        <c:auto val="1"/>
        <c:lblAlgn val="ctr"/>
        <c:lblOffset val="100"/>
        <c:noMultiLvlLbl val="0"/>
      </c:catAx>
      <c:valAx>
        <c:axId val="208076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57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[Franchise_Sales_Performance_Dashboard - Copy.xlsx]Franchise performance!PivotTable2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Package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'Franchise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'Franchise performance'!$A$4:$A$7</c:f>
              <c:strCache>
                <c:ptCount val="3"/>
                <c:pt idx="0">
                  <c:v>Growth</c:v>
                </c:pt>
                <c:pt idx="1">
                  <c:v>Premium</c:v>
                </c:pt>
                <c:pt idx="2">
                  <c:v>Starter</c:v>
                </c:pt>
              </c:strCache>
            </c:strRef>
          </c:cat>
          <c:val>
            <c:numRef>
              <c:f>'Franchise performance'!$B$4:$B$7</c:f>
              <c:numCache>
                <c:formatCode>General</c:formatCode>
                <c:ptCount val="3"/>
                <c:pt idx="0">
                  <c:v>708000</c:v>
                </c:pt>
                <c:pt idx="1">
                  <c:v>816000</c:v>
                </c:pt>
                <c:pt idx="2">
                  <c:v>4674000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F-47E8-8065-60FE20FE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873416"/>
        <c:axId val="1768384008"/>
      </c:barChart>
      <c:catAx>
        <c:axId val="188987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84008"/>
        <c:crosses val="autoZero"/>
        <c:auto val="1"/>
        <c:lblAlgn val="ctr"/>
        <c:lblOffset val="100"/>
        <c:noMultiLvlLbl val="0"/>
      </c:catAx>
      <c:valAx>
        <c:axId val="176838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7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[Franchise_Sales_Performance_Dashboard - Copy.xlsx]Monthly closed deals!PivotTable4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Converted 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closed deals'!$B$3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closed deals'!$A$4:$A$13</c:f>
              <c:strCache>
                <c:ptCount val="9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</c:strCache>
            </c:strRef>
          </c:cat>
          <c:val>
            <c:numRef>
              <c:f>'Monthly closed deals'!$B$4:$B$13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13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6-4B49-B66F-7743B87AE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998152"/>
        <c:axId val="1759389704"/>
      </c:lineChart>
      <c:catAx>
        <c:axId val="152499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89704"/>
        <c:crosses val="autoZero"/>
        <c:auto val="1"/>
        <c:lblAlgn val="ctr"/>
        <c:lblOffset val="100"/>
        <c:noMultiLvlLbl val="0"/>
      </c:catAx>
      <c:valAx>
        <c:axId val="175938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98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[Franchise_Sales_Performance_Dashboard - Copy.xlsx]Sales Cycle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Cycle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Cycle Analysis'!$A$4:$A$7</c:f>
              <c:strCache>
                <c:ptCount val="3"/>
                <c:pt idx="0">
                  <c:v>Growth</c:v>
                </c:pt>
                <c:pt idx="1">
                  <c:v>Premium</c:v>
                </c:pt>
                <c:pt idx="2">
                  <c:v>Starter</c:v>
                </c:pt>
              </c:strCache>
            </c:strRef>
          </c:cat>
          <c:val>
            <c:numRef>
              <c:f>'Sales Cycle Analysis'!$B$4:$B$7</c:f>
              <c:numCache>
                <c:formatCode>General</c:formatCode>
                <c:ptCount val="3"/>
                <c:pt idx="0">
                  <c:v>6.5</c:v>
                </c:pt>
                <c:pt idx="1">
                  <c:v>11</c:v>
                </c:pt>
                <c:pt idx="2" formatCode="0.00">
                  <c:v>14.307692307692308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F-4CC9-97D0-DB505588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6492167"/>
        <c:axId val="286497799"/>
      </c:barChart>
      <c:catAx>
        <c:axId val="286492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97799"/>
        <c:crosses val="autoZero"/>
        <c:auto val="1"/>
        <c:lblAlgn val="ctr"/>
        <c:lblOffset val="100"/>
        <c:noMultiLvlLbl val="0"/>
      </c:catAx>
      <c:valAx>
        <c:axId val="286497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9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15</xdr:row>
      <xdr:rowOff>47625</xdr:rowOff>
    </xdr:from>
    <xdr:to>
      <xdr:col>4</xdr:col>
      <xdr:colOff>400050</xdr:colOff>
      <xdr:row>24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993E4D-3ED0-4308-AE92-1AFB18B67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15</xdr:row>
      <xdr:rowOff>38100</xdr:rowOff>
    </xdr:from>
    <xdr:to>
      <xdr:col>9</xdr:col>
      <xdr:colOff>400050</xdr:colOff>
      <xdr:row>24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49855D-8EBD-4DA4-97B5-960499342494}"/>
            </a:ext>
            <a:ext uri="{147F2762-F138-4A5C-976F-8EAC2B608ADB}">
              <a16:predDERef xmlns:a16="http://schemas.microsoft.com/office/drawing/2014/main" pred="{9B993E4D-3ED0-4308-AE92-1AFB18B67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504825</xdr:colOff>
      <xdr:row>26</xdr:row>
      <xdr:rowOff>0</xdr:rowOff>
    </xdr:from>
    <xdr:to>
      <xdr:col>9</xdr:col>
      <xdr:colOff>390525</xdr:colOff>
      <xdr:row>35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6F42030-46D8-4751-B044-4D98B9823874}"/>
            </a:ext>
            <a:ext uri="{147F2762-F138-4A5C-976F-8EAC2B608ADB}">
              <a16:predDERef xmlns:a16="http://schemas.microsoft.com/office/drawing/2014/main" pred="{CC49855D-8EBD-4DA4-97B5-960499342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25</xdr:row>
      <xdr:rowOff>171450</xdr:rowOff>
    </xdr:from>
    <xdr:to>
      <xdr:col>4</xdr:col>
      <xdr:colOff>381000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BA7DB-AD21-4693-A846-05E44BF44982}"/>
            </a:ext>
            <a:ext uri="{147F2762-F138-4A5C-976F-8EAC2B608ADB}">
              <a16:predDERef xmlns:a16="http://schemas.microsoft.com/office/drawing/2014/main" pred="{56F42030-46D8-4751-B044-4D98B9823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161925</xdr:colOff>
      <xdr:row>4</xdr:row>
      <xdr:rowOff>0</xdr:rowOff>
    </xdr:from>
    <xdr:to>
      <xdr:col>16</xdr:col>
      <xdr:colOff>0</xdr:colOff>
      <xdr:row>14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A35621-5066-6F60-09B2-21C7A07535CA}"/>
            </a:ext>
            <a:ext uri="{147F2762-F138-4A5C-976F-8EAC2B608ADB}">
              <a16:predDERef xmlns:a16="http://schemas.microsoft.com/office/drawing/2014/main" pred="{60FBA7DB-AD21-4693-A846-05E44BF44982}"/>
            </a:ext>
          </a:extLst>
        </xdr:cNvPr>
        <xdr:cNvSpPr txBox="1"/>
      </xdr:nvSpPr>
      <xdr:spPr>
        <a:xfrm>
          <a:off x="6877050" y="866775"/>
          <a:ext cx="2905125" cy="2143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Executive Insights: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 Generated</a:t>
          </a:r>
          <a:r>
            <a:rPr lang="en-US" sz="1100" b="1">
              <a:latin typeface="+mn-lt"/>
              <a:ea typeface="+mn-lt"/>
              <a:cs typeface="+mn-lt"/>
            </a:rPr>
            <a:t> 1,778 leads</a:t>
          </a:r>
          <a:r>
            <a:rPr lang="en-US" sz="1100">
              <a:latin typeface="+mn-lt"/>
              <a:ea typeface="+mn-lt"/>
              <a:cs typeface="+mn-lt"/>
            </a:rPr>
            <a:t> with an overall conversion rate o</a:t>
          </a:r>
          <a:r>
            <a:rPr lang="en-US" sz="1100" b="1">
              <a:latin typeface="+mn-lt"/>
              <a:ea typeface="+mn-lt"/>
              <a:cs typeface="+mn-lt"/>
            </a:rPr>
            <a:t>f 2.53%.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</a:t>
          </a:r>
          <a:r>
            <a:rPr lang="en-US" sz="1100" b="1">
              <a:latin typeface="+mn-lt"/>
              <a:ea typeface="+mn-lt"/>
              <a:cs typeface="+mn-lt"/>
            </a:rPr>
            <a:t> West Zone</a:t>
          </a:r>
          <a:r>
            <a:rPr lang="en-US" sz="1100">
              <a:latin typeface="+mn-lt"/>
              <a:ea typeface="+mn-lt"/>
              <a:cs typeface="+mn-lt"/>
            </a:rPr>
            <a:t> contributed the highest franchise revenue.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b="1">
              <a:latin typeface="+mn-lt"/>
              <a:ea typeface="+mn-lt"/>
              <a:cs typeface="+mn-lt"/>
            </a:rPr>
            <a:t>Starter Package</a:t>
          </a:r>
          <a:r>
            <a:rPr lang="en-US" sz="1100">
              <a:latin typeface="+mn-lt"/>
              <a:ea typeface="+mn-lt"/>
              <a:cs typeface="+mn-lt"/>
            </a:rPr>
            <a:t> generated the highest total revenue.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</a:t>
          </a:r>
          <a:r>
            <a:rPr lang="en-US" sz="1100" b="1">
              <a:latin typeface="+mn-lt"/>
              <a:ea typeface="+mn-lt"/>
              <a:cs typeface="+mn-lt"/>
            </a:rPr>
            <a:t> Growth Package</a:t>
          </a:r>
          <a:r>
            <a:rPr lang="en-US" sz="1100">
              <a:latin typeface="+mn-lt"/>
              <a:ea typeface="+mn-lt"/>
              <a:cs typeface="+mn-lt"/>
            </a:rPr>
            <a:t> achieved th</a:t>
          </a:r>
          <a:r>
            <a:rPr lang="en-US" sz="1100" b="0">
              <a:latin typeface="+mn-lt"/>
              <a:ea typeface="+mn-lt"/>
              <a:cs typeface="+mn-lt"/>
            </a:rPr>
            <a:t>e fastest average closure time</a:t>
          </a:r>
          <a:r>
            <a:rPr lang="en-US" sz="1100" b="1">
              <a:latin typeface="+mn-lt"/>
              <a:ea typeface="+mn-lt"/>
              <a:cs typeface="+mn-lt"/>
            </a:rPr>
            <a:t> (6.5 days).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</a:t>
          </a:r>
          <a:r>
            <a:rPr lang="en-US" sz="1100" b="1">
              <a:latin typeface="+mn-lt"/>
              <a:ea typeface="+mn-lt"/>
              <a:cs typeface="+mn-lt"/>
            </a:rPr>
            <a:t> June</a:t>
          </a:r>
          <a:r>
            <a:rPr lang="en-US" sz="1100">
              <a:latin typeface="+mn-lt"/>
              <a:ea typeface="+mn-lt"/>
              <a:cs typeface="+mn-lt"/>
            </a:rPr>
            <a:t> recorded the</a:t>
          </a:r>
          <a:r>
            <a:rPr lang="en-US" sz="1100" b="0">
              <a:latin typeface="+mn-lt"/>
              <a:ea typeface="+mn-lt"/>
              <a:cs typeface="+mn-lt"/>
            </a:rPr>
            <a:t> highest monthly franchise conversions.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533400</xdr:colOff>
      <xdr:row>15</xdr:row>
      <xdr:rowOff>38100</xdr:rowOff>
    </xdr:from>
    <xdr:to>
      <xdr:col>16</xdr:col>
      <xdr:colOff>9525</xdr:colOff>
      <xdr:row>35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770CC-8226-88A7-D23F-FE9096292ED3}"/>
            </a:ext>
            <a:ext uri="{147F2762-F138-4A5C-976F-8EAC2B608ADB}">
              <a16:predDERef xmlns:a16="http://schemas.microsoft.com/office/drawing/2014/main" pred="{85A35621-5066-6F60-09B2-21C7A07535CA}"/>
            </a:ext>
          </a:extLst>
        </xdr:cNvPr>
        <xdr:cNvSpPr txBox="1"/>
      </xdr:nvSpPr>
      <xdr:spPr>
        <a:xfrm>
          <a:off x="6029325" y="3238500"/>
          <a:ext cx="3762375" cy="3848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Business Recommendations:-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</a:t>
          </a:r>
          <a:r>
            <a:rPr lang="en-US" sz="1400" b="1">
              <a:latin typeface="+mn-lt"/>
              <a:ea typeface="+mn-lt"/>
              <a:cs typeface="+mn-lt"/>
            </a:rPr>
            <a:t> Improve</a:t>
          </a:r>
          <a:r>
            <a:rPr lang="en-US" sz="1400" b="0">
              <a:latin typeface="+mn-lt"/>
              <a:ea typeface="+mn-lt"/>
              <a:cs typeface="+mn-lt"/>
            </a:rPr>
            <a:t> lead qualification</a:t>
          </a:r>
          <a:r>
            <a:rPr lang="en-US" sz="1400">
              <a:latin typeface="+mn-lt"/>
              <a:ea typeface="+mn-lt"/>
              <a:cs typeface="+mn-lt"/>
            </a:rPr>
            <a:t> to increase the current</a:t>
          </a:r>
          <a:r>
            <a:rPr lang="en-US" sz="1400" b="1">
              <a:latin typeface="+mn-lt"/>
              <a:ea typeface="+mn-lt"/>
              <a:cs typeface="+mn-lt"/>
            </a:rPr>
            <a:t> 2.53%</a:t>
          </a:r>
          <a:r>
            <a:rPr lang="en-US" sz="1400">
              <a:latin typeface="+mn-lt"/>
              <a:ea typeface="+mn-lt"/>
              <a:cs typeface="+mn-lt"/>
            </a:rPr>
            <a:t> conversion rate.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</a:t>
          </a:r>
          <a:r>
            <a:rPr lang="en-US" sz="1400" b="0">
              <a:latin typeface="+mn-lt"/>
              <a:ea typeface="+mn-lt"/>
              <a:cs typeface="+mn-lt"/>
            </a:rPr>
            <a:t> Replicate</a:t>
          </a:r>
          <a:r>
            <a:rPr lang="en-US" sz="1400" b="1">
              <a:latin typeface="+mn-lt"/>
              <a:ea typeface="+mn-lt"/>
              <a:cs typeface="+mn-lt"/>
            </a:rPr>
            <a:t> West Zone's sales strategy </a:t>
          </a:r>
          <a:r>
            <a:rPr lang="en-US" sz="1400">
              <a:latin typeface="+mn-lt"/>
              <a:ea typeface="+mn-lt"/>
              <a:cs typeface="+mn-lt"/>
            </a:rPr>
            <a:t>across underperforming regions.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</a:t>
          </a:r>
          <a:r>
            <a:rPr lang="en-US" sz="1400" b="1">
              <a:latin typeface="+mn-lt"/>
              <a:ea typeface="+mn-lt"/>
              <a:cs typeface="+mn-lt"/>
            </a:rPr>
            <a:t>Reduce</a:t>
          </a:r>
          <a:r>
            <a:rPr lang="en-US" sz="1400" b="0">
              <a:latin typeface="+mn-lt"/>
              <a:ea typeface="+mn-lt"/>
              <a:cs typeface="+mn-lt"/>
            </a:rPr>
            <a:t> </a:t>
          </a:r>
          <a:r>
            <a:rPr lang="en-US" sz="1400" b="1">
              <a:latin typeface="+mn-lt"/>
              <a:ea typeface="+mn-lt"/>
              <a:cs typeface="+mn-lt"/>
            </a:rPr>
            <a:t>Starter package closure</a:t>
          </a:r>
          <a:r>
            <a:rPr lang="en-US" sz="1400" b="0">
              <a:latin typeface="+mn-lt"/>
              <a:ea typeface="+mn-lt"/>
              <a:cs typeface="+mn-lt"/>
            </a:rPr>
            <a:t> time</a:t>
          </a:r>
          <a:r>
            <a:rPr lang="en-US" sz="1400">
              <a:latin typeface="+mn-lt"/>
              <a:ea typeface="+mn-lt"/>
              <a:cs typeface="+mn-lt"/>
            </a:rPr>
            <a:t> by optimizing the sales follow-up process.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</a:t>
          </a:r>
          <a:r>
            <a:rPr lang="en-US" sz="1400" b="1">
              <a:latin typeface="+mn-lt"/>
              <a:ea typeface="+mn-lt"/>
              <a:cs typeface="+mn-lt"/>
            </a:rPr>
            <a:t>Increase marketing efforts</a:t>
          </a:r>
          <a:r>
            <a:rPr lang="en-US" sz="1400">
              <a:latin typeface="+mn-lt"/>
              <a:ea typeface="+mn-lt"/>
              <a:cs typeface="+mn-lt"/>
            </a:rPr>
            <a:t> before high-performing months like June.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- </a:t>
          </a:r>
          <a:r>
            <a:rPr lang="en-US" sz="1400" b="1">
              <a:latin typeface="+mn-lt"/>
              <a:ea typeface="+mn-lt"/>
              <a:cs typeface="+mn-lt"/>
            </a:rPr>
            <a:t>Monitor pipeline leads</a:t>
          </a:r>
          <a:r>
            <a:rPr lang="en-US" sz="1400">
              <a:latin typeface="+mn-lt"/>
              <a:ea typeface="+mn-lt"/>
              <a:cs typeface="+mn-lt"/>
            </a:rPr>
            <a:t> regularly to improve conversion into successful sales.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750549537035" createdVersion="8" refreshedVersion="8" minRefreshableVersion="3" recordCount="1778" xr:uid="{0D6AD1CC-F59B-44BD-985D-D9C5C0EE13E7}">
  <cacheSource type="worksheet">
    <worksheetSource ref="H1:H1773" sheet="Cleaned_CRM_Data"/>
  </cacheSource>
  <cacheFields count="9">
    <cacheField name="Lead ID" numFmtId="0">
      <sharedItems/>
    </cacheField>
    <cacheField name="Date " numFmtId="0">
      <sharedItems containsDate="1" containsMixedTypes="1" minDate="1900-01-01T00:00:00" maxDate="2026-09-04T00:00:00"/>
    </cacheField>
    <cacheField name="Campaign" numFmtId="0">
      <sharedItems/>
    </cacheField>
    <cacheField name="Name" numFmtId="0">
      <sharedItems containsBlank="1" containsMixedTypes="1" containsNumber="1" containsInteger="1" minValue="0" maxValue="1"/>
    </cacheField>
    <cacheField name="city" numFmtId="0">
      <sharedItems containsBlank="1"/>
    </cacheField>
    <cacheField name="State" numFmtId="0">
      <sharedItems containsBlank="1" containsMixedTypes="1" containsNumber="1" containsInteger="1" minValue="3" maxValue="3"/>
    </cacheField>
    <cacheField name="Remark" numFmtId="0">
      <sharedItems containsBlank="1" count="7">
        <s v="Rejected"/>
        <s v="Deal"/>
        <s v="Deal "/>
        <s v="Follow up "/>
        <s v="Ringing"/>
        <s v="Rejected "/>
        <m/>
      </sharedItems>
    </cacheField>
    <cacheField name="investment Amount " numFmtId="0">
      <sharedItems containsBlank="1" containsMixedTypes="1" containsNumber="1" containsInteger="1" minValue="0" maxValue="200000"/>
    </cacheField>
    <cacheField name="remark2" numFmtId="0">
      <sharedItems containsDate="1" containsBlank="1" containsMixedTypes="1" minDate="1899-12-31T04:01:03" maxDate="2026-01-07T00:00:00" count="214">
        <s v="Rejected"/>
        <s v="Deal Close"/>
        <s v="Will Take time"/>
        <s v="will take time "/>
        <s v="/` Want up to 50000 Plan / Rejected"/>
        <s v="It will take 2 Months/ Rejected"/>
        <s v="No Response"/>
        <s v=" Month End"/>
        <s v=" will take time"/>
        <s v="/ Pospond"/>
        <s v="/ Will update in 2 days "/>
        <s v=" Rejected"/>
        <s v="Ringing Rejected"/>
        <s v="will Cum , Hence Rejected"/>
        <s v=" 50000 investement"/>
        <s v="/ fever once he ias ok "/>
        <s v="next month / Will Call Once recived the office"/>
        <s v=" Will decide and Call "/>
        <s v=" Details Share  once again"/>
        <s v="will Cum. Rejected"/>
        <s v="Details Sent / Next Week / Patner not Avail"/>
        <s v="Not Interested .. After Diwali"/>
        <s v="Hub Model/ will take Time  "/>
        <s v=" Will Take Decious / Rejected"/>
        <s v="not interested"/>
        <s v="Details Sent/ met Accident "/>
        <s v="Accident"/>
        <s v="Details Sent / Details Sent"/>
        <s v="woll take time Rejected"/>
        <s v="Follow up / R4"/>
        <s v="nr / Details Sent / 2 NR/ rejected"/>
        <s v="R6 Rejected"/>
        <s v="will Take Tym "/>
        <s v="Not Rejected"/>
        <s v="Deal"/>
        <s v="YashPal no Given / Will Take time "/>
        <s v="Rejected R 7"/>
        <s v="Follow up "/>
        <s v="90000 / 1 nr/ Rejcted"/>
        <s v="R8 rejected"/>
        <s v="8R Rejected"/>
        <s v="1 nr"/>
        <s v="Not interested "/>
        <s v="Father Got  Expire"/>
        <s v="Will cUm "/>
        <s v="In Dubai / Rejected"/>
        <s v="Rejected/ Company Fraud "/>
        <s v="No Response "/>
        <s v="NR 6 Rejected"/>
        <s v="6 NR Rejected"/>
        <s v="Rejected "/>
        <s v="Rejected / R7"/>
        <s v="R4"/>
        <s v="Deal Done"/>
        <s v="Rejected Surat"/>
        <s v="Will Take Time , Rejected"/>
        <s v="R5"/>
        <s v="5 NR/ Rejected"/>
        <s v="NR5 / Rejected"/>
        <s v="1 month Rejected"/>
        <s v="Details sent /4nr / Rejected"/>
        <s v="Hub Far Away"/>
        <s v="Rejected 5Nr"/>
        <s v="rejected/ Call mondoy"/>
        <s v="Details Sent / 6nr"/>
        <s v="Arranging money "/>
        <s v="R7 Rejected"/>
        <s v="rejected R6"/>
        <s v="Not having Funds "/>
        <s v="Will Come Any Time "/>
        <s v="Ringing Details Sent / 15 days "/>
        <s v="Will Call Back in 1 hr/ 5 nr"/>
        <s v="Not Intersted"/>
        <s v="FOLLOW UP / willl Take time "/>
        <s v="Follow up / Rejected"/>
        <s v="next month"/>
        <s v="will Take time / Rejected"/>
        <s v="Rejected NR"/>
        <n v="50000"/>
        <s v="Medical Issues rejected "/>
        <s v="2nd time request bust not response"/>
        <s v="Rejected/ Will Do later"/>
        <s v="Not intrested"/>
        <s v=" vadodra Hr no / 3 NR"/>
        <s v="filpkart and Shadfax"/>
        <s v="Not Interested/ Details Sent Again "/>
        <s v="Follow Up/ 6 NR Rejected"/>
        <s v="will take 1 month"/>
        <s v="Rejected r6/ take time"/>
        <s v="Follow Up  / Rejected"/>
        <s v="5 R Rejected"/>
        <s v="Not Given Requests "/>
        <s v="investment low "/>
        <s v="4 NR rejected"/>
        <s v="financial issue "/>
        <s v="Fianacial issue "/>
        <s v=" RejectedR6"/>
        <s v="No Request "/>
        <s v="Saiyed No Given "/>
        <s v="Rejected, Hub Far Away "/>
        <s v="R5 Rejected"/>
        <s v="Already taken "/>
        <s v="AraangingMoney "/>
        <s v="r 6 Rejevcted"/>
        <s v="Follow Up / will Take time"/>
        <s v="rejected 6 R"/>
        <s v="Delivery Boy "/>
        <s v="Rejected/ E KaRT Employee ware working"/>
        <s v="Rejected will take tym"/>
        <s v="bhuro brother/ r2"/>
        <s v="4 NR"/>
        <s v="not Interseted"/>
        <s v="pospond"/>
        <s v="Rejected, Details Sent"/>
        <s v="Rejected, No money "/>
        <s v="Rejected R7 Will Cum"/>
        <s v="Will Take 6 months "/>
        <s v="Come To MP "/>
        <s v="Rejected4r"/>
        <s v="Follow up /4 R"/>
        <s v="Plan next Monthh "/>
        <s v="Hosptilize / will Take Time "/>
        <s v="Rejected B 2  b"/>
        <s v="DS / 1 NR"/>
        <s v="Not intereted R8"/>
        <s v="follow up … 1070000.. R8 out of Servies"/>
        <s v="Will Take 3 months "/>
        <s v="Finacial Problem"/>
        <s v="R3"/>
        <s v="hub Far awar "/>
        <s v="Want Hub "/>
        <s v="Not Oinyterested"/>
        <s v=" Will Come "/>
        <s v="Rejeccted"/>
        <s v="Detail Sent "/>
        <s v="No Hub "/>
        <s v="Not Intersted "/>
        <s v="Follow up jundhard"/>
        <s v="Follow Up"/>
        <s v="Rejeted "/>
        <s v="88k plan"/>
        <s v="Follow "/>
        <s v="no Does not Exit"/>
        <s v="Details Sent "/>
        <s v="not Intersyerd"/>
        <n v="1"/>
        <n v="2"/>
        <s v="Around 5 "/>
        <s v="Not interejected"/>
        <s v="No oout servies"/>
        <s v="interested"/>
        <s v="After Diwali "/>
        <s v="Taken from E com"/>
        <m/>
        <s v="R"/>
        <s v="Follow Up After 6 "/>
        <s v="Eveneing"/>
        <s v="Follow up/ CB"/>
        <s v="detaila Sent "/>
        <s v="Details Sent"/>
        <s v="Video Call 11 to 12"/>
        <s v="Follow Uo "/>
        <s v="Details Snet "/>
        <s v="Rejeceted"/>
        <s v="Will Speak To bro"/>
        <s v="Hub not available "/>
        <s v="Followup"/>
        <s v="Followup "/>
        <s v="Follow Yup "/>
        <s v="Rejected 1"/>
        <s v="Booking point "/>
        <s v="Will take in march "/>
        <s v="Shifted in different line "/>
        <s v="Hub not avalable "/>
        <s v="Will check and Call "/>
        <s v="Ritesh no given/ will Talk And revert "/>
        <s v="no Interested"/>
        <d v="2026-01-06T00:00:00"/>
        <s v="District "/>
        <s v="intersted"/>
        <s v="Intereasted"/>
        <s v="budget 130000"/>
        <s v="Fol,low Up "/>
        <s v="Follow Up Cusriour franchius"/>
        <s v="tabaku kethi "/>
        <s v="Will Come in 10 days "/>
        <s v="Will come nect week "/>
        <s v="not Interetsed"/>
        <s v="Will Come on 29 "/>
        <s v="NOT Interesyted"/>
        <s v="No plan till now "/>
        <s v="Will call later "/>
        <s v="Not Interested low Budget"/>
        <s v="R1"/>
        <s v="Will Check and Call wen Neede "/>
        <s v="Folllow Up "/>
        <s v="not intersde "/>
        <s v="R 1 "/>
        <s v="After 15 feb "/>
        <s v="Ringing"/>
        <s v="HuB "/>
        <s v="Follow up Call "/>
        <s v="will Speak to pakharam "/>
        <s v="Gandhi dham "/>
        <s v="B2b"/>
        <s v="will check "/>
        <s v="Details Srent "/>
        <s v="Will Speak To Brither "/>
        <s v="Will Check and Call having meesho "/>
        <s v="Will check will DB "/>
        <s v="allready speakin Whats aap "/>
        <s v="Call on Monday "/>
        <s v="not Inetersetd "/>
        <s v="Deal Don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12.749979398148" createdVersion="6" refreshedVersion="6" minRefreshableVersion="3" recordCount="1779" xr:uid="{621B2FB3-E664-47C0-A98F-1F1F9632A81D}">
  <cacheSource type="worksheet">
    <worksheetSource ref="H1:H1773" sheet="Cleaned_CRM_Data"/>
  </cacheSource>
  <cacheFields count="16">
    <cacheField name="Lead ID" numFmtId="0">
      <sharedItems containsBlank="1"/>
    </cacheField>
    <cacheField name="Date " numFmtId="166">
      <sharedItems containsDate="1" containsBlank="1" containsMixedTypes="1" minDate="1900-01-01T00:00:00" maxDate="2026-06-04T00:00:00"/>
    </cacheField>
    <cacheField name="Campaign" numFmtId="0">
      <sharedItems containsBlank="1"/>
    </cacheField>
    <cacheField name="Name" numFmtId="0">
      <sharedItems containsBlank="1" containsMixedTypes="1" containsNumber="1" containsInteger="1" minValue="0" maxValue="1"/>
    </cacheField>
    <cacheField name="city" numFmtId="0">
      <sharedItems containsBlank="1"/>
    </cacheField>
    <cacheField name="State" numFmtId="0">
      <sharedItems containsBlank="1" count="24">
        <s v="Gujarat"/>
        <s v="Uttar Pradesh"/>
        <s v="Rajasthan"/>
        <s v="Chattisgarh"/>
        <s v="Madhya Pradesh"/>
        <s v="Maharashtra"/>
        <s v="Delhi "/>
        <s v="Bihar"/>
        <s v="Assam"/>
        <s v="West Bengal"/>
        <s v="jharkhand"/>
        <s v="Uttrakhand"/>
        <s v="Odisha"/>
        <m/>
        <s v="Gujarat "/>
        <s v="Punjab"/>
        <s v="Uttar Pradesh "/>
        <s v="Meghalaya"/>
        <s v="Bihar "/>
        <s v="Punjab "/>
        <s v="haryana "/>
        <s v="Haryana"/>
        <s v="Goa"/>
        <s v="Manipur"/>
      </sharedItems>
    </cacheField>
    <cacheField name="Remark" numFmtId="0">
      <sharedItems containsBlank="1"/>
    </cacheField>
    <cacheField name="Franchise Package Amount" numFmtId="0">
      <sharedItems containsString="0" containsBlank="1" containsNumber="1" containsInteger="1" minValue="108000" maxValue="508000"/>
    </cacheField>
    <cacheField name="investment Amount " numFmtId="1">
      <sharedItems containsString="0" containsBlank="1" containsNumber="1" containsInteger="1" minValue="107000" maxValue="1071777"/>
    </cacheField>
    <cacheField name="Clean_Remark" numFmtId="0">
      <sharedItems containsBlank="1"/>
    </cacheField>
    <cacheField name="Standard Status" numFmtId="0">
      <sharedItems containsBlank="1"/>
    </cacheField>
    <cacheField name="Closing Date" numFmtId="165">
      <sharedItems containsNonDate="0" containsDate="1" containsString="0" containsBlank="1" minDate="2025-06-16T00:00:00" maxDate="2026-06-07T00:00:00"/>
    </cacheField>
    <cacheField name="Days To Closure" numFmtId="164">
      <sharedItems containsMixedTypes="1" containsNumber="1" containsInteger="1" minValue="4" maxValue="61"/>
    </cacheField>
    <cacheField name="Pacakge Category" numFmtId="0">
      <sharedItems containsBlank="1"/>
    </cacheField>
    <cacheField name="Lead Month" numFmtId="0">
      <sharedItems containsBlank="1"/>
    </cacheField>
    <cacheField name="Lead Quar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4.658768634261" createdVersion="8" refreshedVersion="8" minRefreshableVersion="3" recordCount="1779" xr:uid="{2801C930-DA9C-43E9-97FB-D2DEF518B104}">
  <cacheSource type="worksheet">
    <worksheetSource ref="H1:H1773" sheet="Cleaned_CRM_Data"/>
  </cacheSource>
  <cacheFields count="18">
    <cacheField name="Lead ID" numFmtId="0">
      <sharedItems containsBlank="1"/>
    </cacheField>
    <cacheField name="Date " numFmtId="166">
      <sharedItems containsDate="1" containsBlank="1" containsMixedTypes="1" minDate="1900-01-01T00:00:00" maxDate="2026-06-04T00:00:00"/>
    </cacheField>
    <cacheField name="Campaign" numFmtId="0">
      <sharedItems containsBlank="1"/>
    </cacheField>
    <cacheField name="Clean_Campaign" numFmtId="0">
      <sharedItems containsBlank="1"/>
    </cacheField>
    <cacheField name="Name" numFmtId="0">
      <sharedItems containsBlank="1" containsMixedTypes="1" containsNumber="1" containsInteger="1" minValue="0" maxValue="1"/>
    </cacheField>
    <cacheField name="city" numFmtId="0">
      <sharedItems containsBlank="1"/>
    </cacheField>
    <cacheField name="State" numFmtId="0">
      <sharedItems containsBlank="1"/>
    </cacheField>
    <cacheField name="Remark" numFmtId="0">
      <sharedItems containsBlank="1"/>
    </cacheField>
    <cacheField name="Franchise Package Amount" numFmtId="0">
      <sharedItems containsString="0" containsBlank="1" containsNumber="1" containsInteger="1" minValue="108000" maxValue="508000"/>
    </cacheField>
    <cacheField name="investment Amount " numFmtId="1">
      <sharedItems containsString="0" containsBlank="1" containsNumber="1" containsInteger="1" minValue="107000" maxValue="1071777"/>
    </cacheField>
    <cacheField name="Clean_Remark" numFmtId="0">
      <sharedItems containsBlank="1"/>
    </cacheField>
    <cacheField name="Standard Status" numFmtId="0">
      <sharedItems containsBlank="1" count="5">
        <s v="Rejected"/>
        <s v="Converted"/>
        <s v="Follow Up"/>
        <s v="Not Found"/>
        <m/>
      </sharedItems>
    </cacheField>
    <cacheField name="Closing Date" numFmtId="165">
      <sharedItems containsNonDate="0" containsDate="1" containsString="0" containsBlank="1" minDate="2025-06-16T00:00:00" maxDate="2026-06-07T00:00:00"/>
    </cacheField>
    <cacheField name="Days To Closure" numFmtId="164">
      <sharedItems containsMixedTypes="1" containsNumber="1" containsInteger="1" minValue="4" maxValue="61"/>
    </cacheField>
    <cacheField name="Pacakge Category" numFmtId="0">
      <sharedItems containsBlank="1" count="4">
        <s v="Starter"/>
        <s v="Growth"/>
        <s v="Premium"/>
        <m/>
      </sharedItems>
    </cacheField>
    <cacheField name="Lead Month" numFmtId="0">
      <sharedItems containsBlank="1" count="13">
        <s v="June"/>
        <s v="July"/>
        <s v="January"/>
        <s v="August"/>
        <s v="April"/>
        <s v="September"/>
        <s v="October"/>
        <s v="November"/>
        <s v="December"/>
        <s v="February"/>
        <s v="March"/>
        <s v="May"/>
        <m/>
      </sharedItems>
    </cacheField>
    <cacheField name="Lead Quarter" numFmtId="0">
      <sharedItems containsBlank="1"/>
    </cacheField>
    <cacheField name="Zone" numFmtId="0">
      <sharedItems containsBlank="1" count="6">
        <s v="West"/>
        <s v="North"/>
        <s v="Central"/>
        <s v="East"/>
        <s v="Not Mapped"/>
        <m/>
      </sharedItems>
    </cacheField>
  </cacheFields>
  <extLst>
    <ext xmlns:x14="http://schemas.microsoft.com/office/spreadsheetml/2009/9/main" uri="{725AE2AE-9491-48be-B2B4-4EB974FC3084}">
      <x14:pivotCacheDefinition pivotCacheId="12259928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8">
  <r>
    <s v="EOS0001"/>
    <d v="2025-06-09T00:00:00"/>
    <s v="FB"/>
    <s v="Rathod Kuldipsinh"/>
    <s v="Kodinar"/>
    <s v="Gujarat"/>
    <x v="0"/>
    <s v="   1,07,000"/>
    <x v="0"/>
  </r>
  <r>
    <s v="EOS0002"/>
    <d v="2025-06-09T00:00:00"/>
    <s v="FB"/>
    <s v="Kiran Lashkari"/>
    <s v=" Bhavnagar"/>
    <s v="Gujarat"/>
    <x v="0"/>
    <s v="   1,07,000"/>
    <x v="0"/>
  </r>
  <r>
    <s v="EOS0003"/>
    <d v="2025-06-09T00:00:00"/>
    <s v="FB"/>
    <s v="Abhay Naik"/>
    <s v="Bardoli"/>
    <s v="Gujarat"/>
    <x v="0"/>
    <s v="   1,07,000"/>
    <x v="0"/>
  </r>
  <r>
    <s v="EOS0004"/>
    <d v="2025-06-09T00:00:00"/>
    <s v="FB"/>
    <s v="Kunalpatel"/>
    <s v="Ahmedabad"/>
    <s v="Gujarat"/>
    <x v="0"/>
    <s v="   1,07,000"/>
    <x v="0"/>
  </r>
  <r>
    <s v="EOS0005"/>
    <d v="2025-06-09T00:00:00"/>
    <s v="FB"/>
    <s v="Kartik Kesarwani"/>
    <s v="Allahabad"/>
    <s v="Uttar Pradesh"/>
    <x v="0"/>
    <s v="   1,07,000"/>
    <x v="0"/>
  </r>
  <r>
    <s v="EOS0006"/>
    <d v="2025-06-09T00:00:00"/>
    <s v="FB"/>
    <s v="Golu_Dwivedi"/>
    <s v="Gonda"/>
    <s v="Uttar Pradesh"/>
    <x v="0"/>
    <s v="   1,07,000"/>
    <x v="0"/>
  </r>
  <r>
    <s v="EOS0007"/>
    <d v="2025-06-09T00:00:00"/>
    <s v="FB"/>
    <s v="સહજાનંદી સિંહ ધુ્વિક પટેલ"/>
    <s v="Padra"/>
    <s v="Gujarat"/>
    <x v="0"/>
    <s v="   1,07,000"/>
    <x v="0"/>
  </r>
  <r>
    <s v="EOS0008"/>
    <d v="2025-06-09T00:00:00"/>
    <s v="FB"/>
    <s v="Het Thacker"/>
    <s v="Bhuj"/>
    <s v="Gujarat"/>
    <x v="0"/>
    <s v="   1,07,000"/>
    <x v="0"/>
  </r>
  <r>
    <s v="EOS0009"/>
    <d v="2025-06-09T00:00:00"/>
    <s v="FB"/>
    <s v="Chintan Patel"/>
    <s v="Ahmedabad"/>
    <s v="Gujarat"/>
    <x v="0"/>
    <s v="   1,07,000"/>
    <x v="0"/>
  </r>
  <r>
    <s v="EOS0010"/>
    <d v="2025-06-09T00:00:00"/>
    <s v="FB"/>
    <s v="Rohit"/>
    <s v="Baroda"/>
    <s v="Gujarat"/>
    <x v="0"/>
    <s v="   1,07,000"/>
    <x v="0"/>
  </r>
  <r>
    <s v="EOS0011"/>
    <d v="2025-06-09T00:00:00"/>
    <s v="FB"/>
    <s v="Balvantsinh Zala"/>
    <s v="Somnath"/>
    <s v="Gujarat"/>
    <x v="0"/>
    <s v="   1,07,000"/>
    <x v="0"/>
  </r>
  <r>
    <s v="EOS0012"/>
    <d v="2025-06-09T00:00:00"/>
    <s v="FB"/>
    <s v="Rohit Yadav"/>
    <s v="Kota"/>
    <s v="Rajasthan"/>
    <x v="0"/>
    <s v="   1,07,000"/>
    <x v="0"/>
  </r>
  <r>
    <s v="EOS0013"/>
    <d v="2025-06-09T00:00:00"/>
    <s v="FB"/>
    <s v="Adnan Shaikh"/>
    <s v="Bharuch"/>
    <s v="Gujarat"/>
    <x v="0"/>
    <s v="   1,07,000"/>
    <x v="0"/>
  </r>
  <r>
    <s v="EOS0014"/>
    <d v="2025-06-09T00:00:00"/>
    <s v="FB"/>
    <s v="Chavda Kamlesh"/>
    <s v="Limdi"/>
    <s v="Gujarat"/>
    <x v="0"/>
    <s v="   1,07,000"/>
    <x v="0"/>
  </r>
  <r>
    <s v="EOS0015"/>
    <d v="2025-06-09T00:00:00"/>
    <s v="FB"/>
    <s v="Khushal Soni"/>
    <s v="Jamnagar"/>
    <s v="Gujarat"/>
    <x v="0"/>
    <s v="   1,07,000"/>
    <x v="0"/>
  </r>
  <r>
    <s v="EOS0016"/>
    <d v="2025-06-09T00:00:00"/>
    <s v="FB"/>
    <s v="Sufiyan Kathiwala"/>
    <s v="Visnagar"/>
    <s v="Gujarat"/>
    <x v="0"/>
    <s v="   1,07,000"/>
    <x v="0"/>
  </r>
  <r>
    <s v="EOS0017"/>
    <d v="2025-06-09T00:00:00"/>
    <s v="FB"/>
    <s v="Kunal Dafda"/>
    <s v="Rajkot"/>
    <s v="Gujarat"/>
    <x v="0"/>
    <s v="   1,07,000"/>
    <x v="0"/>
  </r>
  <r>
    <s v="EOS0018"/>
    <d v="2025-06-09T00:00:00"/>
    <s v="FB"/>
    <s v="Jignesh Parekh"/>
    <s v="borsad"/>
    <s v="Gujarat"/>
    <x v="1"/>
    <s v="   1,07,000"/>
    <x v="1"/>
  </r>
  <r>
    <s v="EOS0019"/>
    <d v="2025-06-09T00:00:00"/>
    <s v="FB"/>
    <s v="Mushtaq kapadia"/>
    <s v="Surat"/>
    <s v="Gujarat"/>
    <x v="0"/>
    <s v="   1,07,000"/>
    <x v="0"/>
  </r>
  <r>
    <s v="EOS0020"/>
    <d v="2025-06-09T00:00:00"/>
    <s v="FB"/>
    <s v="Ravi Bhetariya"/>
    <s v="Jamnagar"/>
    <s v="Gujarat"/>
    <x v="0"/>
    <s v="   1,07,000"/>
    <x v="2"/>
  </r>
  <r>
    <s v="EOS0021"/>
    <d v="2025-06-09T00:00:00"/>
    <s v="FB"/>
    <s v="Patel Meet"/>
    <s v="Bavla"/>
    <s v="Gujarat"/>
    <x v="0"/>
    <s v="   1,07,000"/>
    <x v="0"/>
  </r>
  <r>
    <s v="EOS0022"/>
    <d v="2025-06-09T00:00:00"/>
    <s v="FB"/>
    <s v="Jagrut Jadeja"/>
    <s v="Bantwa"/>
    <s v="Gujarat"/>
    <x v="0"/>
    <s v="   1,07,000"/>
    <x v="0"/>
  </r>
  <r>
    <s v="EOS0023"/>
    <d v="2025-06-09T00:00:00"/>
    <s v="FB"/>
    <s v="Gulamabbas Meghani"/>
    <s v=" Bhavnagar"/>
    <s v="Gujarat"/>
    <x v="0"/>
    <s v="   1,07,000"/>
    <x v="0"/>
  </r>
  <r>
    <s v="EOS0024"/>
    <d v="2025-06-09T00:00:00"/>
    <s v="FB"/>
    <s v="𝕯ɪʟɪᴘ Ⱥᴄʜᴀʀʏᴀ"/>
    <s v="Tharad"/>
    <s v="Gujarat"/>
    <x v="0"/>
    <s v="   1,07,000"/>
    <x v="0"/>
  </r>
  <r>
    <s v="EOS0025"/>
    <d v="2025-06-09T00:00:00"/>
    <s v="FB"/>
    <s v="mayur_ahir_3543"/>
    <s v="Rajkot"/>
    <s v="Gujarat"/>
    <x v="0"/>
    <s v="   1,07,000"/>
    <x v="0"/>
  </r>
  <r>
    <s v="EOS0026"/>
    <d v="2025-06-09T00:00:00"/>
    <s v="FB"/>
    <s v="Patel Jay"/>
    <s v="Khambhat"/>
    <s v="Gujarat"/>
    <x v="0"/>
    <s v="   1,07,000"/>
    <x v="0"/>
  </r>
  <r>
    <s v="EOS0027"/>
    <d v="2025-06-09T00:00:00"/>
    <s v="FB"/>
    <s v="Keval Makwana"/>
    <s v="Rajkot"/>
    <s v="Gujarat"/>
    <x v="0"/>
    <s v="   1,07,000"/>
    <x v="0"/>
  </r>
  <r>
    <s v="EOS0028"/>
    <d v="2025-06-09T00:00:00"/>
    <s v="FB"/>
    <s v="Mehul"/>
    <s v="Mota chiloda"/>
    <s v="Gujarat"/>
    <x v="0"/>
    <s v="   1,07,000"/>
    <x v="0"/>
  </r>
  <r>
    <s v="EOS0029"/>
    <d v="2025-06-09T00:00:00"/>
    <s v="FB"/>
    <s v="Shànú Pàrmàr"/>
    <s v="Mehsana"/>
    <s v="Gujarat"/>
    <x v="0"/>
    <s v="   1,07,000"/>
    <x v="3"/>
  </r>
  <r>
    <s v="EOS0030"/>
    <d v="2025-06-09T00:00:00"/>
    <s v="FB"/>
    <s v="ak_dhapa_2287"/>
    <s v="Jamnagar"/>
    <s v="Gujarat"/>
    <x v="0"/>
    <s v="   1,07,000"/>
    <x v="0"/>
  </r>
  <r>
    <s v="EOS0031"/>
    <d v="2025-06-09T00:00:00"/>
    <s v="FB"/>
    <s v="Rakesh Yogi"/>
    <s v="Patan"/>
    <s v="Gujarat"/>
    <x v="0"/>
    <s v="   1,07,000"/>
    <x v="0"/>
  </r>
  <r>
    <s v="EOS0032"/>
    <d v="2025-06-09T00:00:00"/>
    <s v="FB"/>
    <s v="Vijay Patel"/>
    <s v="Nadiad"/>
    <s v="Gujarat"/>
    <x v="0"/>
    <s v="   1,07,000"/>
    <x v="0"/>
  </r>
  <r>
    <s v="EOS0033"/>
    <d v="2025-06-09T00:00:00"/>
    <s v="FB"/>
    <s v="$oyeb"/>
    <s v="Halol"/>
    <s v="Gujarat"/>
    <x v="0"/>
    <s v="   1,07,000"/>
    <x v="0"/>
  </r>
  <r>
    <s v="EOS0034"/>
    <d v="2025-06-09T00:00:00"/>
    <s v="FB"/>
    <s v="Neel Gohel"/>
    <s v=" Bhavnagar"/>
    <s v="Gujarat"/>
    <x v="0"/>
    <s v="   1,07,000"/>
    <x v="0"/>
  </r>
  <r>
    <s v="EOS0035"/>
    <d v="2025-06-09T00:00:00"/>
    <s v="FB"/>
    <s v="Kamal Sinha"/>
    <s v="dhamtari"/>
    <s v="chhattisgarh"/>
    <x v="0"/>
    <s v="   1,07,000"/>
    <x v="0"/>
  </r>
  <r>
    <s v="EOS0036"/>
    <d v="2025-06-09T00:00:00"/>
    <s v="FB"/>
    <s v="Zala Divyrajsinh Bharad"/>
    <s v="Surendranagar"/>
    <s v="Gujarat"/>
    <x v="0"/>
    <s v="   1,07,000"/>
    <x v="0"/>
  </r>
  <r>
    <s v="EOS0037"/>
    <d v="2025-06-09T00:00:00"/>
    <s v="FB"/>
    <s v="THE_SATISH___7___||"/>
    <s v="Surendranagar"/>
    <s v="Gujarat"/>
    <x v="0"/>
    <s v="   1,07,000"/>
    <x v="0"/>
  </r>
  <r>
    <s v="EOS0038"/>
    <d v="2025-06-09T00:00:00"/>
    <s v="FB"/>
    <s v="Bhargav Mulchandani"/>
    <s v="Gandhidham"/>
    <s v="Gujarat"/>
    <x v="0"/>
    <s v="   1,07,000"/>
    <x v="0"/>
  </r>
  <r>
    <s v="EOS0039"/>
    <d v="2025-06-09T00:00:00"/>
    <s v="FB"/>
    <s v="HARSH"/>
    <s v="Ahmedabad"/>
    <s v="Gujarat"/>
    <x v="0"/>
    <s v="   1,07,000"/>
    <x v="0"/>
  </r>
  <r>
    <s v="EOS0040"/>
    <d v="2025-06-09T00:00:00"/>
    <s v="FB"/>
    <s v="𝐹𝑎𝑟ℎ𝑎𝑑 𝑉ℎ𝑜𝑟𝑎"/>
    <s v="Ahmedabad"/>
    <s v="Gujarat"/>
    <x v="0"/>
    <s v="   1,07,000"/>
    <x v="0"/>
  </r>
  <r>
    <s v="EOS0041"/>
    <d v="2025-06-11T00:00:00"/>
    <s v="FB"/>
    <s v="Nancy"/>
    <s v="Panipat"/>
    <s v="Gujarat"/>
    <x v="0"/>
    <s v="   1,07,000"/>
    <x v="0"/>
  </r>
  <r>
    <s v="EOS0042"/>
    <d v="2025-06-11T00:00:00"/>
    <s v="FB"/>
    <s v="Ankit"/>
    <s v="Allahabad"/>
    <s v="Uttar Pradesh"/>
    <x v="0"/>
    <s v="   1,07,000"/>
    <x v="0"/>
  </r>
  <r>
    <s v="EOS0043"/>
    <d v="2025-06-11T00:00:00"/>
    <s v="FB"/>
    <s v="Mitul mevada"/>
    <s v="Ahmedabad"/>
    <s v="Gujarat"/>
    <x v="0"/>
    <s v="   1,07,000"/>
    <x v="0"/>
  </r>
  <r>
    <s v="EOS0044"/>
    <d v="2025-06-11T00:00:00"/>
    <s v="FB"/>
    <s v="𝕯𝖊𝖛𝖊𝖓𝖉𝖗𝖆 𝕾𝖎𝖓𝖌𝖍 𝕾𝖊𝖓𝖉𝖍𝖆𝖛"/>
    <s v="Dewas"/>
    <s v="Madhya Pradesh"/>
    <x v="0"/>
    <s v="   1,07,000"/>
    <x v="0"/>
  </r>
  <r>
    <s v="EOS0045"/>
    <d v="2025-06-11T00:00:00"/>
    <s v="FB"/>
    <s v="Hitesh Parmar"/>
    <s v="Ahmedabad"/>
    <s v="Gujarat"/>
    <x v="0"/>
    <s v="   1,07,000"/>
    <x v="2"/>
  </r>
  <r>
    <s v="EOS0046"/>
    <d v="2025-06-11T00:00:00"/>
    <s v="FB"/>
    <n v="0"/>
    <s v="Kheralu"/>
    <s v="Gujarat"/>
    <x v="0"/>
    <s v="   1,07,000"/>
    <x v="0"/>
  </r>
  <r>
    <s v="EOS0047"/>
    <d v="2025-06-11T00:00:00"/>
    <s v="FB"/>
    <s v="karmrajsinh vadher"/>
    <s v="Jamnagar"/>
    <s v="Gujarat"/>
    <x v="0"/>
    <s v="   1,07,000"/>
    <x v="0"/>
  </r>
  <r>
    <s v="EOS0048"/>
    <d v="2025-06-11T00:00:00"/>
    <s v="FB"/>
    <s v="Vivek Diyora"/>
    <s v="Surat"/>
    <s v="Gujarat"/>
    <x v="0"/>
    <s v="   1,07,000"/>
    <x v="0"/>
  </r>
  <r>
    <s v="EOS0049"/>
    <d v="2025-06-11T00:00:00"/>
    <s v="FB"/>
    <s v="Rajendrasinh Parmar"/>
    <s v="Gandhinagar"/>
    <s v="Gujarat"/>
    <x v="0"/>
    <s v="   1,07,000"/>
    <x v="0"/>
  </r>
  <r>
    <s v="EOS0050"/>
    <d v="2025-06-11T00:00:00"/>
    <s v="FB"/>
    <s v="Gunjan // gp..."/>
    <s v="Patan"/>
    <s v="Gujarat"/>
    <x v="0"/>
    <s v="   1,07,000"/>
    <x v="0"/>
  </r>
  <r>
    <s v="EOS0051"/>
    <d v="2025-06-11T00:00:00"/>
    <s v="FB"/>
    <s v="𝐏 𝐀 𝐑 𝐓 𝐇"/>
    <s v="Surendranagar"/>
    <s v="Gujarat"/>
    <x v="0"/>
    <s v="   1,07,000"/>
    <x v="0"/>
  </r>
  <r>
    <s v="EOS0052"/>
    <d v="2025-06-11T00:00:00"/>
    <s v="FB"/>
    <s v="D.m. Ahir"/>
    <s v="Khambhalia"/>
    <s v="Gujarat"/>
    <x v="0"/>
    <s v="   1,07,000"/>
    <x v="0"/>
  </r>
  <r>
    <s v="EOS0053"/>
    <d v="2025-06-11T00:00:00"/>
    <s v="FB"/>
    <s v="Sandip Solanki "/>
    <s v="Borsad"/>
    <s v="Gujarat"/>
    <x v="0"/>
    <s v="   1,07,000"/>
    <x v="0"/>
  </r>
  <r>
    <s v="EOS0054"/>
    <d v="2025-06-11T00:00:00"/>
    <s v="FB"/>
    <s v="Ammar Vahora"/>
    <s v="Anand"/>
    <s v="Gujarat"/>
    <x v="0"/>
    <s v="   1,07,000"/>
    <x v="4"/>
  </r>
  <r>
    <s v="EOS0055"/>
    <d v="2025-06-11T00:00:00"/>
    <s v="FB"/>
    <s v="Kartik Patel"/>
    <s v="Patan"/>
    <s v="Gujarat"/>
    <x v="0"/>
    <s v="   1,07,000"/>
    <x v="0"/>
  </r>
  <r>
    <s v="EOS0056"/>
    <d v="2025-06-11T00:00:00"/>
    <s v="FB"/>
    <s v="🆂🅳🅷 🅽🅸🆁🆄🅳🅷🆂🅸🅽🅷 🅳"/>
    <s v="Mundra"/>
    <s v="Gujarat"/>
    <x v="0"/>
    <s v="   1,07,000"/>
    <x v="0"/>
  </r>
  <r>
    <s v="EOS0057"/>
    <d v="2025-06-11T00:00:00"/>
    <s v="FB"/>
    <n v="0"/>
    <s v="Talala"/>
    <s v="Gujarat"/>
    <x v="0"/>
    <s v="   1,07,000"/>
    <x v="0"/>
  </r>
  <r>
    <s v="EOS0058"/>
    <d v="2025-06-11T00:00:00"/>
    <s v="FB"/>
    <s v="Asfak Parasara"/>
    <s v="Wankaner"/>
    <s v="Gujarat"/>
    <x v="0"/>
    <s v="   1,07,000"/>
    <x v="0"/>
  </r>
  <r>
    <s v="EOS0059"/>
    <d v="2025-06-11T00:00:00"/>
    <s v="FB"/>
    <s v="Vaibhav Pandey"/>
    <s v="Karwi"/>
    <s v="Uttar pardesh"/>
    <x v="0"/>
    <s v="   1,07,000"/>
    <x v="0"/>
  </r>
  <r>
    <s v="EOS0060"/>
    <d v="2025-06-11T00:00:00"/>
    <s v="FB"/>
    <s v="AVDEEP"/>
    <s v="Rajkot"/>
    <s v="Gujarat"/>
    <x v="0"/>
    <s v="   1,07,000"/>
    <x v="0"/>
  </r>
  <r>
    <s v="EOS0061"/>
    <d v="2025-06-11T00:00:00"/>
    <s v="FB"/>
    <s v="Saumil Mistry"/>
    <s v="Ahmedabad"/>
    <s v="Gujarat"/>
    <x v="0"/>
    <s v="   1,07,000"/>
    <x v="0"/>
  </r>
  <r>
    <s v="EOS0062"/>
    <d v="2025-06-11T00:00:00"/>
    <s v="FB"/>
    <s v="M. P. Joshi Bhudev"/>
    <s v="Tharad"/>
    <s v="Gujarat"/>
    <x v="0"/>
    <s v="   1,07,000"/>
    <x v="0"/>
  </r>
  <r>
    <s v="EOS0063"/>
    <d v="2025-06-11T00:00:00"/>
    <s v="FB"/>
    <s v="રણા વિશ્વજીતસિંહ સુરપાલસિંહ"/>
    <s v="Motisarsan"/>
    <s v="Gujarat"/>
    <x v="0"/>
    <s v="   1,07,000"/>
    <x v="0"/>
  </r>
  <r>
    <s v="EOS0064"/>
    <d v="2025-06-11T00:00:00"/>
    <s v="FB"/>
    <s v="PATHAN"/>
    <s v="Ahmedabad"/>
    <s v="Gujarat"/>
    <x v="0"/>
    <s v="   1,07,000"/>
    <x v="0"/>
  </r>
  <r>
    <s v="EOS0065"/>
    <d v="2025-06-11T00:00:00"/>
    <s v="FB"/>
    <s v="Narendrasinh Parmar"/>
    <s v="Banaskantha"/>
    <s v="Gujarat"/>
    <x v="0"/>
    <s v="   1,07,000"/>
    <x v="0"/>
  </r>
  <r>
    <s v="EOS0066"/>
    <d v="2025-06-11T00:00:00"/>
    <s v="FB"/>
    <s v="Dev Gandhi"/>
    <s v="Ahmedabad"/>
    <s v="Gujarat"/>
    <x v="0"/>
    <s v="   1,29,000"/>
    <x v="0"/>
  </r>
  <r>
    <s v="EOS0067"/>
    <d v="2025-06-11T00:00:00"/>
    <s v="FB"/>
    <s v="Safdar Shaikh"/>
    <s v="MANGROL"/>
    <s v="Gujarat"/>
    <x v="0"/>
    <s v="   1,07,000"/>
    <x v="0"/>
  </r>
  <r>
    <s v="EOS0068"/>
    <d v="2025-06-11T00:00:00"/>
    <s v="FB"/>
    <s v="himanshu Amin"/>
    <s v="Ahmedabad"/>
    <s v="Gujarat"/>
    <x v="0"/>
    <s v="   1,07,000"/>
    <x v="0"/>
  </r>
  <r>
    <s v="EOS0069"/>
    <s v="16/06/2025"/>
    <s v="FB"/>
    <s v="Kaushik Ahir"/>
    <s v="Daman"/>
    <s v="Gujarat"/>
    <x v="0"/>
    <s v="   1,29,000"/>
    <x v="0"/>
  </r>
  <r>
    <s v="EOS0070"/>
    <s v="16/06/2025"/>
    <s v="FB"/>
    <s v="𝙏𝙃𝙀 𝗩𝗔𝗚𝗛𝗘𝗟𝗔 𝗞𝗜𝗦𝗛𝗔𝗡 𝗢𝗙𝗙𝗜𝗖𝗜𝗔𝗟"/>
    <s v="Ahmedabad"/>
    <s v="Gujarat"/>
    <x v="0"/>
    <s v="   1,29,000"/>
    <x v="0"/>
  </r>
  <r>
    <s v="EOS0071"/>
    <s v="16/06/2025"/>
    <s v="FB"/>
    <s v="Nilesh ramavat"/>
    <s v="damnagar"/>
    <s v="Gujarat"/>
    <x v="0"/>
    <s v="   1,07,000"/>
    <x v="0"/>
  </r>
  <r>
    <s v="EOS0072"/>
    <s v="16/06/2025"/>
    <s v="FB"/>
    <s v="Yunus"/>
    <s v="Okha"/>
    <s v="Gujarat"/>
    <x v="0"/>
    <s v="   1,07,000"/>
    <x v="0"/>
  </r>
  <r>
    <s v="EOS0073"/>
    <s v="16/06/2025"/>
    <s v="FB"/>
    <s v="SMIT_____ox"/>
    <s v="Unai"/>
    <s v="Gujarat"/>
    <x v="0"/>
    <s v="   1,07,000"/>
    <x v="5"/>
  </r>
  <r>
    <s v="EOS0074"/>
    <s v="16/06/2025"/>
    <s v="FB"/>
    <s v="Viju sankhat"/>
    <s v="Mahuva"/>
    <s v="Gujarat"/>
    <x v="0"/>
    <s v="   1,07,000"/>
    <x v="0"/>
  </r>
  <r>
    <s v="EOS0075"/>
    <s v="16/06/2025"/>
    <s v="FB"/>
    <s v="Jadeja Harshdipsinhji"/>
    <s v=" Bhavnagar"/>
    <s v="Gujarat"/>
    <x v="0"/>
    <s v="   1,07,000"/>
    <x v="0"/>
  </r>
  <r>
    <s v="EOS0076"/>
    <s v="17/06/2025"/>
    <s v="FB"/>
    <s v="FeNeel Patel &amp; Co."/>
    <s v="Surat"/>
    <s v="Gujarat"/>
    <x v="0"/>
    <s v="   1,29,000"/>
    <x v="0"/>
  </r>
  <r>
    <s v="EOS0077"/>
    <s v="17/06/2025"/>
    <s v="FB"/>
    <s v="Manish Kantibhai Patel"/>
    <s v="Bharuch"/>
    <s v="Gujarat"/>
    <x v="0"/>
    <s v="   1,07,000"/>
    <x v="6"/>
  </r>
  <r>
    <s v="EOS0078"/>
    <s v="17/06/2025"/>
    <s v="FB"/>
    <s v="Akash Kapatel"/>
    <s v="Anand"/>
    <s v="Gujarat"/>
    <x v="0"/>
    <s v="   1,07,000"/>
    <x v="0"/>
  </r>
  <r>
    <s v="EOS0079"/>
    <s v="17/06/2025"/>
    <s v="FB"/>
    <s v="Dhaval"/>
    <s v="Valsad"/>
    <s v="Gujarat"/>
    <x v="0"/>
    <s v="   1,07,000"/>
    <x v="0"/>
  </r>
  <r>
    <s v="EOS0080"/>
    <s v="17/06/2025"/>
    <s v="FB"/>
    <s v="คʀຮhคd 𝐅ɑ𝐫ᵤⲕǐ"/>
    <s v="Patan"/>
    <s v="Gujarat"/>
    <x v="0"/>
    <s v="   1,29,000"/>
    <x v="0"/>
  </r>
  <r>
    <s v="EOS0081"/>
    <s v="18/06/2025"/>
    <s v="FB"/>
    <s v="Omkar Dudharejiya"/>
    <s v="Surat"/>
    <s v="Gujarat"/>
    <x v="0"/>
    <s v="   1,07,000"/>
    <x v="0"/>
  </r>
  <r>
    <s v="EOS0082"/>
    <s v="18/06/2025"/>
    <s v="FB"/>
    <s v="Karan Khatri"/>
    <s v="Surat"/>
    <s v="Gujarat"/>
    <x v="0"/>
    <s v="   1,29,000"/>
    <x v="0"/>
  </r>
  <r>
    <s v="EOS0083"/>
    <s v="18/06/2025"/>
    <s v="FB"/>
    <s v="Nikhil"/>
    <s v="Rajkot"/>
    <s v="Gujarat"/>
    <x v="0"/>
    <s v="   1,07,000"/>
    <x v="0"/>
  </r>
  <r>
    <s v="EOS0084"/>
    <s v="18/06/2025"/>
    <s v="FB"/>
    <s v="Salim bhai"/>
    <s v="Rapar"/>
    <s v="Gujarat"/>
    <x v="0"/>
    <s v="   1,07,000"/>
    <x v="0"/>
  </r>
  <r>
    <s v="EOS0085"/>
    <s v="18/06/2025"/>
    <s v="FB"/>
    <s v="yagnik"/>
    <s v="Mehsana"/>
    <s v="Gujarat"/>
    <x v="0"/>
    <s v="   1,07,000"/>
    <x v="0"/>
  </r>
  <r>
    <s v="EOS0086"/>
    <s v="18/06/2025"/>
    <s v="FB"/>
    <s v="Raj"/>
    <s v="Palghar"/>
    <s v="Maharastra"/>
    <x v="0"/>
    <s v="   1,07,000"/>
    <x v="0"/>
  </r>
  <r>
    <s v="EOS0087"/>
    <d v="2025-06-07T00:00:00"/>
    <s v="FB"/>
    <s v="chaudhary nik"/>
    <s v="Gandhinagar"/>
    <s v="Gujarat"/>
    <x v="0"/>
    <s v="   3,08,000"/>
    <x v="0"/>
  </r>
  <r>
    <s v="EOS0088"/>
    <d v="2025-06-07T00:00:00"/>
    <s v="FB"/>
    <s v="Kaushik"/>
    <s v="Ahmedabad"/>
    <s v="Gujarat"/>
    <x v="0"/>
    <s v="   1,07,000"/>
    <x v="0"/>
  </r>
  <r>
    <s v="EOS0089"/>
    <d v="2025-06-07T00:00:00"/>
    <s v="FB"/>
    <s v="Parth Patel"/>
    <s v="Surat"/>
    <s v="Gujarat"/>
    <x v="0"/>
    <s v="   1,07,000"/>
    <x v="0"/>
  </r>
  <r>
    <s v="EOS0090"/>
    <d v="2025-06-09T00:00:00"/>
    <s v="FB"/>
    <s v="RAJPUROHIT LOONSINGH"/>
    <s v="Vadodara"/>
    <s v="Gujarat"/>
    <x v="0"/>
    <s v="   1,07,000"/>
    <x v="0"/>
  </r>
  <r>
    <s v="EOS0091"/>
    <d v="2025-06-11T00:00:00"/>
    <s v="FB"/>
    <n v="0"/>
    <s v="Porbandar"/>
    <s v="Gujarat"/>
    <x v="0"/>
    <s v="   1,29,000"/>
    <x v="0"/>
  </r>
  <r>
    <s v="EOS0092"/>
    <d v="2025-06-11T00:00:00"/>
    <s v="FB"/>
    <s v="Vikram Rabari"/>
    <s v="Vinchhiya"/>
    <s v="Gujarat"/>
    <x v="0"/>
    <s v="   1,07,000"/>
    <x v="0"/>
  </r>
  <r>
    <s v="EOS0093"/>
    <d v="2025-06-11T00:00:00"/>
    <s v="FB"/>
    <s v="Mr. Collection"/>
    <s v="Vadodara"/>
    <s v="Gujarat"/>
    <x v="0"/>
    <s v="   1,07,000"/>
    <x v="0"/>
  </r>
  <r>
    <s v="EOS0094"/>
    <d v="2025-06-12T00:00:00"/>
    <s v="FB"/>
    <s v="ibrahim_shekha"/>
    <s v="surat"/>
    <s v="Gujarat"/>
    <x v="0"/>
    <s v="   5,31,000"/>
    <x v="7"/>
  </r>
  <r>
    <s v="EOS0095"/>
    <s v="13/06/2025"/>
    <s v="FB"/>
    <s v="Sandhya Prajapati"/>
    <s v="Ahmedabad"/>
    <s v="Gujarat"/>
    <x v="0"/>
    <s v="   1,07,000"/>
    <x v="0"/>
  </r>
  <r>
    <s v="EOS0096"/>
    <s v="13/06/2025"/>
    <s v="FB"/>
    <s v="Montu Rathod"/>
    <s v="Jetpur"/>
    <s v="Gujarat"/>
    <x v="0"/>
    <s v="   1,07,000"/>
    <x v="0"/>
  </r>
  <r>
    <s v="EOS0097"/>
    <s v="14/06/2025"/>
    <s v="FB"/>
    <s v="Raeesh Shaikh"/>
    <s v="Rajkot"/>
    <s v="Gujarat"/>
    <x v="0"/>
    <s v="   5,31,000"/>
    <x v="0"/>
  </r>
  <r>
    <s v="EOS0098"/>
    <s v="14/06/2025"/>
    <s v="FB"/>
    <s v="Jaydeep Devda"/>
    <s v="Fatepura"/>
    <s v="Gujarat"/>
    <x v="0"/>
    <s v="   1,77,000"/>
    <x v="0"/>
  </r>
  <r>
    <s v="EOS0099"/>
    <s v="14/06/2025"/>
    <s v="FB"/>
    <s v="Sohil Barchha"/>
    <s v="Rajkot"/>
    <s v="Gujarat"/>
    <x v="0"/>
    <s v="   5,31,000"/>
    <x v="0"/>
  </r>
  <r>
    <s v="EOS0100"/>
    <s v="16/06/2025"/>
    <s v="FB"/>
    <s v="Mihir P Machhi"/>
    <s v="Rajpipla"/>
    <s v="Gujarat"/>
    <x v="0"/>
    <s v="   1,07,000"/>
    <x v="0"/>
  </r>
  <r>
    <s v="EOS0101"/>
    <s v="16/06/2025"/>
    <s v="FB"/>
    <s v="Timir Shah"/>
    <s v="Bhuj"/>
    <s v="Gujarat"/>
    <x v="0"/>
    <s v="   1,07,000"/>
    <x v="0"/>
  </r>
  <r>
    <s v="EOS0102"/>
    <s v="16/06/2025"/>
    <s v="FB"/>
    <s v="Ahir Umesh Barad"/>
    <s v="Rajkot"/>
    <s v="Gujarat"/>
    <x v="0"/>
    <s v="   1,07,000"/>
    <x v="0"/>
  </r>
  <r>
    <s v="EOS0103"/>
    <s v="18/06/2025"/>
    <s v="FB"/>
    <s v="નટખટ મારો કાનો"/>
    <s v="Surat"/>
    <s v="Gujarat"/>
    <x v="0"/>
    <s v="   1,07,000"/>
    <x v="0"/>
  </r>
  <r>
    <s v="EOS0104"/>
    <s v="18/06/2025"/>
    <s v="FB"/>
    <s v="bhagirath Singh Rathore"/>
    <s v="sankhara"/>
    <s v="Rajasthan"/>
    <x v="0"/>
    <s v="   1,07,000"/>
    <x v="0"/>
  </r>
  <r>
    <s v="EOS0105"/>
    <s v="18/06/2025"/>
    <s v="FB"/>
    <s v="Mihir"/>
    <s v="Porbandar"/>
    <s v="Gujarat"/>
    <x v="0"/>
    <s v="   1,07,000"/>
    <x v="8"/>
  </r>
  <r>
    <s v="EOS0106"/>
    <s v="18/06/2025"/>
    <s v="FB"/>
    <s v="Amit Patel"/>
    <s v="Narsinghpur"/>
    <s v="Madhya Pradesh"/>
    <x v="0"/>
    <s v="   1,07,000"/>
    <x v="0"/>
  </r>
  <r>
    <s v="EOS0107"/>
    <s v="18/06/2025"/>
    <s v="FB"/>
    <s v="Noor alam"/>
    <s v="Bahraich"/>
    <s v="Uttar Pradesh"/>
    <x v="0"/>
    <s v="   1,07,000"/>
    <x v="0"/>
  </r>
  <r>
    <s v="EOS0108"/>
    <s v="18/06/2025"/>
    <s v="FB"/>
    <s v="Harsh"/>
    <s v="Prayagaraj"/>
    <s v="Uttar Pradesh"/>
    <x v="0"/>
    <s v="   1,07,000"/>
    <x v="0"/>
  </r>
  <r>
    <s v="EOS0109"/>
    <s v="18/06/2025"/>
    <s v="FB"/>
    <s v="Rajesh Rabari"/>
    <s v="Gandhidham"/>
    <s v="Gujarat"/>
    <x v="0"/>
    <s v="   1,07,000"/>
    <x v="0"/>
  </r>
  <r>
    <s v="EOS0110"/>
    <s v="18/06/2025"/>
    <s v="FB"/>
    <s v="Boghara parth"/>
    <s v="Surat"/>
    <s v="Gujarat"/>
    <x v="0"/>
    <s v="   1,07,000"/>
    <x v="0"/>
  </r>
  <r>
    <s v="EOS0111"/>
    <s v="18/06/2025"/>
    <s v="FB"/>
    <s v="Aakash Caterers"/>
    <s v="Jamnagar"/>
    <s v="Gujarat"/>
    <x v="0"/>
    <s v="   1,07,000"/>
    <x v="0"/>
  </r>
  <r>
    <s v="EOS0112"/>
    <s v="18/06/2025"/>
    <s v="FB"/>
    <s v="𝐕𝐚𝐠𝐡𝐞𝐥𝐚 𝐘𝐚𝐬𝐡𝐫𝐚𝐣𝐬𝐢𝐧𝐡"/>
    <s v="Sanand"/>
    <s v="Gujarat"/>
    <x v="0"/>
    <s v="   1,77,000"/>
    <x v="0"/>
  </r>
  <r>
    <s v="EOS0113"/>
    <s v="18/06/2025"/>
    <s v="FB"/>
    <s v="Vishal Rajgor"/>
    <s v="Rajkot"/>
    <s v="Gujarat"/>
    <x v="0"/>
    <s v="   1,07,000"/>
    <x v="0"/>
  </r>
  <r>
    <s v="EOS0114"/>
    <s v="18/06/2025"/>
    <s v="FB"/>
    <s v="દિવ્યરાજસિંહ વાઘેલા"/>
    <s v="Jamnagar"/>
    <s v="Gujarat"/>
    <x v="0"/>
    <s v="   1,29,000"/>
    <x v="0"/>
  </r>
  <r>
    <s v="EOS0115"/>
    <s v="18/06/2025"/>
    <s v="FB"/>
    <s v="𝐌𝐚𝐧𝐢𝐬𝐡 𝐜𝐡𝐚𝐮𝐡𝐚𝐧"/>
    <s v="Noida"/>
    <s v="Uttar Pradesh"/>
    <x v="0"/>
    <s v="   1,07,000"/>
    <x v="0"/>
  </r>
  <r>
    <s v="EOS0116"/>
    <s v="18/06/2025"/>
    <s v="FB"/>
    <s v="Mahesh Sahu"/>
    <s v="Mau Ranipur"/>
    <s v="Uttar Pradesh"/>
    <x v="0"/>
    <s v="   1,07,000"/>
    <x v="0"/>
  </r>
  <r>
    <s v="EOS0117"/>
    <s v="18/06/2025"/>
    <s v="FB"/>
    <s v="M Arsh"/>
    <s v="Delhi"/>
    <s v="Delhi "/>
    <x v="0"/>
    <s v="   1,07,000"/>
    <x v="0"/>
  </r>
  <r>
    <s v="EOS0118"/>
    <s v="18/06/2025"/>
    <s v="FB"/>
    <s v="Manoj Malik"/>
    <s v="Ghaziabad"/>
    <s v="Uttar Pradesh"/>
    <x v="0"/>
    <s v="   1,07,000"/>
    <x v="0"/>
  </r>
  <r>
    <s v="EOS0119"/>
    <s v="18/06/2025"/>
    <s v="FB"/>
    <s v="𝚁𝚘𝚗𝚒𝚝 𝙲𝚑𝚊𝚗𝚍el"/>
    <s v="Meerut"/>
    <s v="Uttar Pradesh"/>
    <x v="0"/>
    <s v="   1,07,000"/>
    <x v="0"/>
  </r>
  <r>
    <s v="EOS0120"/>
    <s v="18/06/2025"/>
    <s v="FB"/>
    <s v="Rangesh Kumar"/>
    <s v="Khagaria"/>
    <s v="Bihar"/>
    <x v="0"/>
    <s v="   1,07,000"/>
    <x v="0"/>
  </r>
  <r>
    <s v="EOS0121"/>
    <s v="18/06/2025"/>
    <s v="FB"/>
    <s v="Meet Patadiya"/>
    <s v="Ahmedabad"/>
    <s v="Gujarat"/>
    <x v="0"/>
    <s v="   1,29,000"/>
    <x v="0"/>
  </r>
  <r>
    <s v="EOS0122"/>
    <s v="18/06/2025"/>
    <s v="FB"/>
    <s v="chauhan jayant"/>
    <s v="Rajkot"/>
    <s v="Gujarat"/>
    <x v="0"/>
    <s v="   1,07,000"/>
    <x v="0"/>
  </r>
  <r>
    <s v="EOS0123"/>
    <s v="18/06/2025"/>
    <s v="FB"/>
    <s v="Akash Aggarwal"/>
    <s v="Ghaziabad"/>
    <s v="Uttar Pradesh"/>
    <x v="0"/>
    <s v="   1,07,000"/>
    <x v="0"/>
  </r>
  <r>
    <s v="EOS0124"/>
    <s v="18/06/2025"/>
    <s v="FB"/>
    <s v="Arshad Khan"/>
    <s v="Baikunthpur"/>
    <s v="Chattisgarh"/>
    <x v="0"/>
    <s v="   1,29,000"/>
    <x v="0"/>
  </r>
  <r>
    <s v="EOS0125"/>
    <s v="18/06/2025"/>
    <s v="FB"/>
    <s v="Samad"/>
    <s v="Kanpur"/>
    <s v="Uttar Pradesh"/>
    <x v="1"/>
    <s v="   1,07,000"/>
    <x v="1"/>
  </r>
  <r>
    <s v="EOS0126"/>
    <s v="18/06/2025"/>
    <s v="FB"/>
    <s v="Avakesh Vaghela"/>
    <s v="Gandhinagar"/>
    <s v="Gujarat"/>
    <x v="0"/>
    <s v="   1,07,000"/>
    <x v="0"/>
  </r>
  <r>
    <s v="EOS0127"/>
    <s v="19/06/2025"/>
    <s v="FB"/>
    <s v="Ranjitsinh Thakor"/>
    <s v="Vadnagar"/>
    <s v="Gujarat"/>
    <x v="0"/>
    <s v="   3,08,000"/>
    <x v="0"/>
  </r>
  <r>
    <s v="EOS0128"/>
    <s v="19/06/2025"/>
    <s v="FB"/>
    <s v="Pravinsinh"/>
    <s v="Chadasna"/>
    <s v="Gujarat"/>
    <x v="0"/>
    <s v="   1,07,000"/>
    <x v="0"/>
  </r>
  <r>
    <s v="EOS0129"/>
    <s v="19/06/2025"/>
    <s v="FB"/>
    <s v="Rajesh"/>
    <s v=" Bhavnagar"/>
    <s v="Gujarat"/>
    <x v="0"/>
    <s v="   1,07,000"/>
    <x v="0"/>
  </r>
  <r>
    <s v="EOS0130"/>
    <s v="19/06/2025"/>
    <s v="FB"/>
    <s v="Dev Jariwala"/>
    <s v="Surat"/>
    <s v="Gujarat"/>
    <x v="0"/>
    <s v="   1,29,000"/>
    <x v="9"/>
  </r>
  <r>
    <s v="EOS0131"/>
    <s v="20/06/2025"/>
    <s v="FB"/>
    <s v="Nikunj Patel"/>
    <s v="VALSAD"/>
    <s v="Gujarat"/>
    <x v="0"/>
    <s v="   1,07,000"/>
    <x v="0"/>
  </r>
  <r>
    <s v="EOS0132"/>
    <s v="20/06/2025"/>
    <s v="FB"/>
    <s v="ↁ卄尺ㄩƔ P A T E L"/>
    <s v="Nadiad"/>
    <s v="Gujarat"/>
    <x v="0"/>
    <s v="   1,07,000"/>
    <x v="0"/>
  </r>
  <r>
    <s v="EOS0133"/>
    <s v="23/06/2025"/>
    <s v="FB"/>
    <s v="MD AMIR HAMZA"/>
    <m/>
    <s v="Assam"/>
    <x v="0"/>
    <s v="   1,07,000"/>
    <x v="0"/>
  </r>
  <r>
    <s v="EOS0134"/>
    <s v="23/06/2025"/>
    <s v="FB"/>
    <s v="monu kumar"/>
    <s v="Bettiah"/>
    <s v="Bihar"/>
    <x v="0"/>
    <s v="   1,07,000"/>
    <x v="0"/>
  </r>
  <r>
    <s v="EOS0135"/>
    <s v="23/06/2025"/>
    <s v="FB"/>
    <s v="RAHUL_PINJANI_24"/>
    <s v=" Bhavnagar"/>
    <s v="Gujarat"/>
    <x v="0"/>
    <s v="   1,07,000"/>
    <x v="0"/>
  </r>
  <r>
    <s v="EOS0136"/>
    <s v="23/06/2025"/>
    <s v="FB"/>
    <s v="☬꧂ ɢǟʊʀǟʋ քʀǟʝǟքǟȶɨ ☬꧂"/>
    <s v="Rajkot"/>
    <s v="Gujarat"/>
    <x v="0"/>
    <s v="   1,07,000"/>
    <x v="0"/>
  </r>
  <r>
    <s v="EOS0137"/>
    <s v="23/06/2025"/>
    <s v="FB"/>
    <s v="Vivek_vadodariya2601"/>
    <s v="Surat"/>
    <s v="Gujarat"/>
    <x v="0"/>
    <s v="   1,07,000"/>
    <x v="0"/>
  </r>
  <r>
    <s v="EOS0138"/>
    <s v="23/06/2025"/>
    <s v="FB"/>
    <s v="Dharmesh Zakheliya"/>
    <s v="Rajkot"/>
    <s v="Gujarat"/>
    <x v="0"/>
    <s v="   5,31,000"/>
    <x v="0"/>
  </r>
  <r>
    <s v="EOS0139"/>
    <s v="23/06/2025"/>
    <s v="FB"/>
    <s v="Sun Shaine Imran Lihar"/>
    <s v="Modasa"/>
    <s v="Gujarat"/>
    <x v="0"/>
    <s v="   5,31,000"/>
    <x v="0"/>
  </r>
  <r>
    <s v="EOS0140"/>
    <s v="23/06/2025"/>
    <s v="FB"/>
    <s v="jayesh gauswami"/>
    <s v="Adipur"/>
    <s v="Gujarat"/>
    <x v="0"/>
    <s v="   1,07,000"/>
    <x v="0"/>
  </r>
  <r>
    <s v="EOS0141"/>
    <s v="23/06/2025"/>
    <s v="FB"/>
    <s v="Danidhariya Vipul"/>
    <s v=" Bhavnagar"/>
    <s v="Gujarat"/>
    <x v="0"/>
    <s v="   1,07,000"/>
    <x v="0"/>
  </r>
  <r>
    <s v="EOS0142"/>
    <s v="23/06/2025"/>
    <s v="FB"/>
    <s v="ʀ ᴀ ʜ ᴜ ʟ ࿇ м ᴀ ᴋ ᴠ ᴀ ɴ ᴀ"/>
    <s v="Surat"/>
    <s v="Gujarat"/>
    <x v="0"/>
    <s v="   5,31,000"/>
    <x v="0"/>
  </r>
  <r>
    <s v="EOS0143"/>
    <s v="23/06/2025"/>
    <s v="FB"/>
    <s v="Jinesh Joshi"/>
    <s v="Rajkot"/>
    <s v="Gujarat"/>
    <x v="0"/>
    <s v="   1,29,000"/>
    <x v="0"/>
  </r>
  <r>
    <s v="EOS0144"/>
    <s v="23/06/2025"/>
    <s v="FB"/>
    <s v="Prajapati Yogesh"/>
    <s v="Ankleshwar"/>
    <s v="Gujarat"/>
    <x v="0"/>
    <s v="   1,77,000"/>
    <x v="0"/>
  </r>
  <r>
    <s v="EOS0145"/>
    <s v="23/06/2025"/>
    <s v="FB"/>
    <s v="Modan Bhaijan Modan"/>
    <s v=" Bhavnagar"/>
    <s v="Gujarat"/>
    <x v="0"/>
    <s v="   1,07,000"/>
    <x v="0"/>
  </r>
  <r>
    <s v="EOS0146"/>
    <s v="23/06/2025"/>
    <s v="FB"/>
    <s v="Dhruv 1137"/>
    <s v="Mehsana"/>
    <s v="Gujarat"/>
    <x v="0"/>
    <s v="   1,77,000"/>
    <x v="0"/>
  </r>
  <r>
    <s v="EOS0147"/>
    <s v="23/06/2025"/>
    <s v="FB"/>
    <s v="Gopal Sadhu"/>
    <s v="SURAT"/>
    <s v="Gujarat"/>
    <x v="0"/>
    <s v="   5,31,000"/>
    <x v="0"/>
  </r>
  <r>
    <s v="EOS0148"/>
    <s v="23/06/2025"/>
    <s v="FB"/>
    <n v="1"/>
    <s v="Jhalod"/>
    <s v="Gujarat"/>
    <x v="0"/>
    <s v="   1,07,000"/>
    <x v="0"/>
  </r>
  <r>
    <s v="EOS0149"/>
    <s v="23/06/2025"/>
    <s v="FB"/>
    <s v="Mahir Andheri"/>
    <s v="Nadiad"/>
    <s v="Gujarat"/>
    <x v="0"/>
    <s v="   1,29,000"/>
    <x v="0"/>
  </r>
  <r>
    <s v="EOS0150"/>
    <s v="23/06/2025"/>
    <s v="FB"/>
    <s v="……."/>
    <s v="Jamnagar"/>
    <s v="Gujarat"/>
    <x v="0"/>
    <s v="   1,77,000"/>
    <x v="0"/>
  </r>
  <r>
    <s v="EOS0151"/>
    <s v="23/06/2025"/>
    <s v="FB"/>
    <s v="SANDIPSINH RAJPUT"/>
    <s v="Vav"/>
    <s v="Gujarat"/>
    <x v="0"/>
    <s v="   1,07,000"/>
    <x v="0"/>
  </r>
  <r>
    <s v="EOS0152"/>
    <s v="23/06/2025"/>
    <s v="FB"/>
    <s v="JATIN GUJARIYA"/>
    <s v="Mahuva Bandar"/>
    <s v="Gujarat"/>
    <x v="0"/>
    <s v="   1,07,000"/>
    <x v="0"/>
  </r>
  <r>
    <s v="EOS0153"/>
    <s v="23/06/2025"/>
    <s v="FB"/>
    <s v="P N Jadeja"/>
    <s v="Gandhidham"/>
    <s v="Gujarat"/>
    <x v="1"/>
    <s v="   1,29,000"/>
    <x v="1"/>
  </r>
  <r>
    <s v="EOS0154"/>
    <s v="23/06/2025"/>
    <s v="FB"/>
    <s v="Riyaz Pathan"/>
    <s v="Veraval"/>
    <s v="Gujarat"/>
    <x v="0"/>
    <s v="   1,77,000"/>
    <x v="0"/>
  </r>
  <r>
    <s v="EOS0155"/>
    <s v="23/06/2025"/>
    <s v="FB"/>
    <s v="SOLANKI MITESH"/>
    <s v="Dhangdhra"/>
    <s v="Gujarat"/>
    <x v="0"/>
    <s v="   1,07,000"/>
    <x v="0"/>
  </r>
  <r>
    <s v="EOS0156"/>
    <s v="23/06/2025"/>
    <s v="FB"/>
    <s v="Shishupal Bishnoi"/>
    <s v="Ahmedabad"/>
    <s v="Gujarat"/>
    <x v="0"/>
    <s v="   1,07,000"/>
    <x v="0"/>
  </r>
  <r>
    <s v="EOS0157"/>
    <s v="23/06/2025"/>
    <s v="FB"/>
    <s v="Jigar Ramanbhai Patel"/>
    <s v="Mehsana"/>
    <s v="Gujarat"/>
    <x v="0"/>
    <s v="   1,07,000"/>
    <x v="0"/>
  </r>
  <r>
    <s v="EOS0158"/>
    <s v="23/06/2025"/>
    <s v="FB"/>
    <s v="Sahebaz Shaikh"/>
    <s v="Nadiad"/>
    <s v="Gujarat"/>
    <x v="0"/>
    <s v="   1,07,000"/>
    <x v="0"/>
  </r>
  <r>
    <s v="EOS0159"/>
    <s v="23/06/2025"/>
    <s v="FB"/>
    <s v="Khalid Mandha"/>
    <s v="Jamnagar"/>
    <s v="Gujarat"/>
    <x v="0"/>
    <s v="   1,07,000"/>
    <x v="0"/>
  </r>
  <r>
    <s v="EOS0160"/>
    <s v="23/06/2025"/>
    <s v="FB"/>
    <s v="BhaRat ChauDhary"/>
    <s v="Dhanera"/>
    <s v="Gujarat"/>
    <x v="0"/>
    <s v="   1,29,000"/>
    <x v="0"/>
  </r>
  <r>
    <s v="EOS0161"/>
    <s v="23/06/2025"/>
    <s v="FB"/>
    <s v="Hiren"/>
    <s v="Ankleshwar"/>
    <s v="Gujarat"/>
    <x v="1"/>
    <s v="   1,07,000"/>
    <x v="1"/>
  </r>
  <r>
    <s v="EOS0162"/>
    <s v="23/06/2025"/>
    <s v="FB"/>
    <s v="Rakesh Parmar"/>
    <s v="Ahmedabad"/>
    <s v="Gujarat"/>
    <x v="0"/>
    <s v="   1,07,000"/>
    <x v="0"/>
  </r>
  <r>
    <s v="EOS0163"/>
    <d v="2025-06-26T00:00:00"/>
    <s v="FB"/>
    <s v="jatin "/>
    <s v="Mahuva "/>
    <s v="Gujarat"/>
    <x v="1"/>
    <s v="   1,07,000"/>
    <x v="1"/>
  </r>
  <r>
    <s v="EOS0164"/>
    <s v="26/06/2025"/>
    <s v="FB"/>
    <s v="Udaysinh"/>
    <s v="Rajkot"/>
    <s v="Gujarat"/>
    <x v="0"/>
    <s v="   3,08,000"/>
    <x v="0"/>
  </r>
  <r>
    <s v="EOS0165"/>
    <s v="26/06/2025"/>
    <s v="FB"/>
    <s v="Vikram Rajput"/>
    <s v="Vadodara"/>
    <s v="Gujarat"/>
    <x v="0"/>
    <s v="   1,07,000"/>
    <x v="0"/>
  </r>
  <r>
    <s v="EOS0166"/>
    <s v="26/06/2025"/>
    <s v="FB"/>
    <s v="Rajsee Pandey"/>
    <s v="Lucknow"/>
    <s v="Uttar Pradesh"/>
    <x v="0"/>
    <s v="   1,07,000"/>
    <x v="0"/>
  </r>
  <r>
    <s v="EOS0167"/>
    <s v="26/06/2025"/>
    <s v="FB"/>
    <s v="Anowar Hossain"/>
    <s v=" Cooch behar"/>
    <s v="West Bengal"/>
    <x v="0"/>
    <s v="   1,07,000"/>
    <x v="0"/>
  </r>
  <r>
    <s v="EOS0168"/>
    <s v="26/06/2025"/>
    <s v="FB"/>
    <s v="Alok"/>
    <s v="Surat"/>
    <s v="Gujarat"/>
    <x v="0"/>
    <s v="   1,07,000"/>
    <x v="0"/>
  </r>
  <r>
    <s v="EOS0169"/>
    <s v="27/06/2025"/>
    <s v="FB"/>
    <s v="ꜱᴏʜɪʟ ʙɪʟᴀᴋʜɪʏᴀ"/>
    <s v="Palitana"/>
    <s v="Gujarat"/>
    <x v="0"/>
    <s v="   1,29,000"/>
    <x v="0"/>
  </r>
  <r>
    <s v="EOS0170"/>
    <s v="27/06/2025"/>
    <s v="FB"/>
    <s v="Amit Rana"/>
    <s v="surat"/>
    <s v="Gujarat"/>
    <x v="0"/>
    <n v="59000"/>
    <x v="0"/>
  </r>
  <r>
    <s v="EOS0171"/>
    <s v="27/06/2025"/>
    <s v="FB"/>
    <s v="Vaibhav Joshi"/>
    <s v="surat"/>
    <s v="Gujarat"/>
    <x v="0"/>
    <s v="   1,07,000"/>
    <x v="0"/>
  </r>
  <r>
    <s v="EOS0172"/>
    <s v="27/06/2025"/>
    <s v="FB"/>
    <s v="Narendrasinh Zala"/>
    <s v=" Bhavnagar"/>
    <s v="Gujarat"/>
    <x v="0"/>
    <s v="   1,07,000"/>
    <x v="0"/>
  </r>
  <r>
    <s v="EOS0173"/>
    <s v="27/06/2025"/>
    <s v="FB"/>
    <s v="Thakkar Mahesh Anubhai"/>
    <s v="Nadiad"/>
    <s v="Gujarat"/>
    <x v="0"/>
    <s v="   1,07,000"/>
    <x v="0"/>
  </r>
  <r>
    <s v="EOS0174"/>
    <s v="27/06/2025"/>
    <s v="FB"/>
    <s v="Galathiya Parth"/>
    <s v="Savarkundla"/>
    <s v="Gujarat"/>
    <x v="0"/>
    <s v="   1,07,000"/>
    <x v="0"/>
  </r>
  <r>
    <s v="EOS0175"/>
    <s v="27/06/2025"/>
    <s v="FB"/>
    <s v="Kritika singh"/>
    <s v="Beohari"/>
    <s v="Madhya Pradesh"/>
    <x v="0"/>
    <s v="   1,07,000"/>
    <x v="0"/>
  </r>
  <r>
    <s v="EOS0176"/>
    <s v="28/06/2025"/>
    <s v="FB"/>
    <s v="Samad Agwan."/>
    <s v="veraval"/>
    <s v="Gujarat"/>
    <x v="0"/>
    <s v="   1,07,000"/>
    <x v="0"/>
  </r>
  <r>
    <s v="EOS0177"/>
    <s v="28/06/2025"/>
    <s v="FB"/>
    <s v="𝐀𝐕𝐄𝐒𝐇 𝐕𝐀𝐃𝐀𝐃𝐀𝐑𝐈𝐘𝐀"/>
    <s v="Surendranagar"/>
    <s v="Gujarat"/>
    <x v="0"/>
    <s v="   1,07,000"/>
    <x v="0"/>
  </r>
  <r>
    <s v="EOS0178"/>
    <s v="28/06/2025"/>
    <s v="FB"/>
    <s v="Raju Kumar Sah"/>
    <s v="Godda"/>
    <s v="jharkhand"/>
    <x v="0"/>
    <s v="   1,07,000"/>
    <x v="0"/>
  </r>
  <r>
    <s v="EOS0179"/>
    <s v="28/06/2025"/>
    <s v="FB"/>
    <s v="Tanmay adhikari"/>
    <m/>
    <s v="West Bengal"/>
    <x v="0"/>
    <s v="   1,07,000"/>
    <x v="0"/>
  </r>
  <r>
    <s v="EOS0180"/>
    <s v="28/06/2025"/>
    <s v="FB"/>
    <s v="GOPAL"/>
    <s v="Rajkot"/>
    <s v="Gujarat"/>
    <x v="0"/>
    <s v="   1,07,000"/>
    <x v="10"/>
  </r>
  <r>
    <s v="EOS0181"/>
    <s v="29/06/2025"/>
    <s v="FB"/>
    <s v="Mayur"/>
    <s v="Rajkot"/>
    <s v="Gujarat"/>
    <x v="0"/>
    <s v="   1,07,000"/>
    <x v="0"/>
  </r>
  <r>
    <s v="EOS0182"/>
    <s v="29/06/2025"/>
    <s v="FB"/>
    <s v="Gita.k"/>
    <s v="Lakhamipur"/>
    <s v="Bihar"/>
    <x v="0"/>
    <s v="   1,07,000"/>
    <x v="0"/>
  </r>
  <r>
    <s v="EOS0183"/>
    <s v="29/06/2025"/>
    <s v="FB"/>
    <s v="Ravi Prajapati"/>
    <s v="Wankaner"/>
    <s v="Gujarat"/>
    <x v="0"/>
    <s v="   1,07,000"/>
    <x v="0"/>
  </r>
  <r>
    <s v="EOS0184"/>
    <s v="29/06/2025"/>
    <s v="FB"/>
    <s v="Raviraj Bhagat"/>
    <s v="Thangadh"/>
    <s v="Gujarat"/>
    <x v="0"/>
    <s v="   1,07,000"/>
    <x v="0"/>
  </r>
  <r>
    <s v="EOS0185"/>
    <s v="30/06/2025"/>
    <s v="FB"/>
    <s v="NA"/>
    <s v="Adesar"/>
    <s v="Gujarat"/>
    <x v="0"/>
    <s v="   1,07,000"/>
    <x v="0"/>
  </r>
  <r>
    <s v="EOS0186"/>
    <s v="30/06/2025"/>
    <s v="FB"/>
    <s v="RAJA"/>
    <s v="Ahmedabad"/>
    <s v="Gujarat"/>
    <x v="0"/>
    <s v="   1,07,000"/>
    <x v="0"/>
  </r>
  <r>
    <s v="EOS0187"/>
    <s v="30/06/2025"/>
    <s v="FB"/>
    <s v="Jethava Bhavdip"/>
    <s v="Ahmedabad"/>
    <s v="Gujarat"/>
    <x v="0"/>
    <s v="   1,07,000"/>
    <x v="0"/>
  </r>
  <r>
    <s v="EOS0188"/>
    <s v="30/06/2025"/>
    <s v="FB"/>
    <s v="Jayraj Sinh Vaghela"/>
    <s v="Ahmedabad"/>
    <s v="Gujarat"/>
    <x v="0"/>
    <s v="   1,77,000"/>
    <x v="0"/>
  </r>
  <r>
    <s v="EOS0189"/>
    <s v="30/06/2025"/>
    <s v="FB"/>
    <s v="hirenbhai upadhyay"/>
    <s v="MAHUVA"/>
    <s v="Gujarat"/>
    <x v="0"/>
    <s v="   1,77,000"/>
    <x v="0"/>
  </r>
  <r>
    <s v="EOS0190"/>
    <s v="30/06/2025"/>
    <s v="FB"/>
    <s v="jay"/>
    <s v="Ahmedabad"/>
    <s v="Gujarat"/>
    <x v="0"/>
    <s v="   1,07,000"/>
    <x v="0"/>
  </r>
  <r>
    <s v="EOS0191"/>
    <s v="30/06/2025"/>
    <s v="FB"/>
    <s v="Vikas Nayak"/>
    <s v="Ahmedabad"/>
    <s v="Gujarat"/>
    <x v="0"/>
    <s v="   1,77,000"/>
    <x v="0"/>
  </r>
  <r>
    <s v="EOS0192"/>
    <s v="30/06/2025"/>
    <s v="FB"/>
    <s v="NA"/>
    <s v="Bhuj"/>
    <s v="Gujarat"/>
    <x v="0"/>
    <s v="   1,07,000"/>
    <x v="0"/>
  </r>
  <r>
    <s v="EOS0193"/>
    <s v="30/06/2025"/>
    <s v="FB"/>
    <s v="atul_ahir_3204"/>
    <s v="Jamnagar"/>
    <s v="Gujarat"/>
    <x v="0"/>
    <s v="   1,29,000"/>
    <x v="0"/>
  </r>
  <r>
    <s v="EOS0194"/>
    <s v="30/06/2025"/>
    <s v="FB"/>
    <s v="Rahul Chavhan"/>
    <s v="Amravati"/>
    <s v="Maharastra"/>
    <x v="0"/>
    <s v="   1,07,000"/>
    <x v="0"/>
  </r>
  <r>
    <s v="EOS0195"/>
    <s v="30/06/2025"/>
    <s v="FB"/>
    <s v="Anand Suryavanshi"/>
    <s v="Patna"/>
    <s v="Madhya Pradesh"/>
    <x v="0"/>
    <s v="   1,07,000"/>
    <x v="0"/>
  </r>
  <r>
    <s v="EOS0196"/>
    <d v="2025-07-01T00:00:00"/>
    <s v="FB"/>
    <s v="Arman Pathan"/>
    <s v="Palitana"/>
    <s v="Gujarat"/>
    <x v="0"/>
    <s v="   1,07,000"/>
    <x v="0"/>
  </r>
  <r>
    <s v="EOS0197"/>
    <d v="2025-07-01T00:00:00"/>
    <s v="FB"/>
    <s v="Salman Vohra"/>
    <s v="Anand"/>
    <s v="Gujarat"/>
    <x v="0"/>
    <s v="   1,07,000"/>
    <x v="0"/>
  </r>
  <r>
    <s v="EOS0198"/>
    <d v="2025-07-01T00:00:00"/>
    <s v="FB"/>
    <s v="Deep wadera"/>
    <s v="Ahmedabad"/>
    <s v="Gujarat"/>
    <x v="0"/>
    <s v="   1,07,000"/>
    <x v="0"/>
  </r>
  <r>
    <s v="EOS0199"/>
    <d v="2025-07-01T00:00:00"/>
    <s v="FB"/>
    <s v="kihala"/>
    <s v="Rajkot"/>
    <s v="Gujarat"/>
    <x v="0"/>
    <s v="   1,07,000"/>
    <x v="0"/>
  </r>
  <r>
    <s v="EOS0200"/>
    <d v="2025-07-01T00:00:00"/>
    <s v="FB"/>
    <s v="Shubham chaudhary"/>
    <s v="Kheralu"/>
    <s v="Gujarat"/>
    <x v="0"/>
    <s v="   1,07,000"/>
    <x v="0"/>
  </r>
  <r>
    <s v="EOS0201"/>
    <d v="2025-07-01T00:00:00"/>
    <s v="FB"/>
    <s v="Rishabh Verma"/>
    <s v="Barabanki"/>
    <s v="Uttar Pradesh"/>
    <x v="0"/>
    <n v="59000"/>
    <x v="0"/>
  </r>
  <r>
    <s v="EOS0202"/>
    <d v="2025-07-01T00:00:00"/>
    <s v="FB"/>
    <s v="manish"/>
    <s v="Rudrapur"/>
    <s v="Uttrakhand"/>
    <x v="0"/>
    <n v="59000"/>
    <x v="0"/>
  </r>
  <r>
    <s v="EOS0203"/>
    <d v="2025-07-01T00:00:00"/>
    <s v="FB"/>
    <s v="Sanjoy Das"/>
    <s v="sodepure"/>
    <s v="West Bengal"/>
    <x v="0"/>
    <s v="   1,07,000"/>
    <x v="0"/>
  </r>
  <r>
    <s v="EOS0204"/>
    <d v="2025-07-01T00:00:00"/>
    <s v="FB"/>
    <s v="SUBHAN KHAN"/>
    <s v="Baisi"/>
    <s v="Bihar"/>
    <x v="0"/>
    <s v="   1,07,000"/>
    <x v="0"/>
  </r>
  <r>
    <s v="EOS0205"/>
    <d v="2025-07-01T00:00:00"/>
    <s v="FB"/>
    <s v="Bhavesh Khamal"/>
    <s v="vertez"/>
    <s v="Gujarat"/>
    <x v="0"/>
    <s v="   1,07,000"/>
    <x v="0"/>
  </r>
  <r>
    <s v="EOS0206"/>
    <d v="2025-07-02T00:00:00"/>
    <s v="FB"/>
    <s v="Chandresh Raval"/>
    <s v="Panva"/>
    <s v="Gujarat"/>
    <x v="0"/>
    <s v="   1,07,000"/>
    <x v="0"/>
  </r>
  <r>
    <s v="EOS0207"/>
    <d v="2025-07-02T00:00:00"/>
    <s v="FB"/>
    <s v="Dhumadiya Vishal S"/>
    <s v="Palitana"/>
    <s v="Gujarat"/>
    <x v="0"/>
    <s v="   1,07,000"/>
    <x v="0"/>
  </r>
  <r>
    <s v="EOS0208"/>
    <d v="2025-07-02T00:00:00"/>
    <s v="FB"/>
    <s v="Govind rabari"/>
    <s v="Tharad"/>
    <s v="Gujarat"/>
    <x v="0"/>
    <s v="   1,07,000"/>
    <x v="0"/>
  </r>
  <r>
    <s v="EOS0209"/>
    <d v="2025-07-02T00:00:00"/>
    <s v="FB"/>
    <s v="༒ ⁂𝐌𝐔𝐊𝐄𝐒𝐇_चौधरी༆⁂ ༒(M.P)"/>
    <s v="Tharad"/>
    <s v="Gujarat"/>
    <x v="0"/>
    <s v="   1,07,000"/>
    <x v="0"/>
  </r>
  <r>
    <s v="EOS0210"/>
    <d v="2025-07-02T00:00:00"/>
    <s v="FB"/>
    <s v="Prakashsinh Rajput"/>
    <s v="Surendranagar"/>
    <s v="Gujarat"/>
    <x v="0"/>
    <s v="   1,07,000"/>
    <x v="11"/>
  </r>
  <r>
    <s v="EOS0211"/>
    <d v="2025-07-02T00:00:00"/>
    <s v="FB"/>
    <s v="Riyaz"/>
    <s v="Ahmedabad"/>
    <s v="Gujarat"/>
    <x v="0"/>
    <s v="   1,07,000"/>
    <x v="0"/>
  </r>
  <r>
    <s v="EOS0212"/>
    <d v="2025-07-02T00:00:00"/>
    <s v="FB"/>
    <s v="*જय દ્વ།ཞક།धिश*"/>
    <s v="Vaso"/>
    <s v="Gujarat"/>
    <x v="0"/>
    <s v="   1,77,000"/>
    <x v="0"/>
  </r>
  <r>
    <s v="EOS0213"/>
    <d v="2025-07-02T00:00:00"/>
    <s v="FB"/>
    <s v="Jatin Goswami"/>
    <s v="Rajkot"/>
    <s v="Gujarat"/>
    <x v="0"/>
    <s v="   1,07,000"/>
    <x v="0"/>
  </r>
  <r>
    <s v="EOS0214"/>
    <d v="2025-07-02T00:00:00"/>
    <s v="FB"/>
    <s v="Sanjaysinh Chavada"/>
    <s v="Mansa"/>
    <s v="Gujarat"/>
    <x v="0"/>
    <s v="   1,07,000"/>
    <x v="0"/>
  </r>
  <r>
    <s v="EOS0215"/>
    <d v="2025-07-02T00:00:00"/>
    <s v="FB"/>
    <s v="Mustafa"/>
    <s v="Palanpur"/>
    <s v="Gujarat"/>
    <x v="0"/>
    <s v="   1,07,000"/>
    <x v="0"/>
  </r>
  <r>
    <s v="EOS0216"/>
    <d v="2025-07-02T00:00:00"/>
    <s v="FB"/>
    <s v="Shivam Singh Bhadauria"/>
    <s v="Mainpuri"/>
    <s v="Uttar Pradesh"/>
    <x v="0"/>
    <s v="   1,07,000"/>
    <x v="0"/>
  </r>
  <r>
    <s v="EOS0217"/>
    <d v="2025-07-02T00:00:00"/>
    <s v="FB"/>
    <s v="Shahrukh mansuri"/>
    <s v="Shajapur"/>
    <s v="Madhya Pradesh"/>
    <x v="0"/>
    <s v="   1,07,000"/>
    <x v="0"/>
  </r>
  <r>
    <s v="EOS0218"/>
    <d v="2025-07-02T00:00:00"/>
    <s v="FB"/>
    <s v="Rohit Doriwal"/>
    <s v="Jaipur"/>
    <s v="Rajasthan"/>
    <x v="0"/>
    <s v="   1,07,000"/>
    <x v="0"/>
  </r>
  <r>
    <s v="EOS0219"/>
    <d v="2025-07-02T00:00:00"/>
    <s v="FB"/>
    <s v="sourav tamrakar"/>
    <s v="Jamshedpur"/>
    <s v="jharkhand"/>
    <x v="0"/>
    <s v="   1,29,000"/>
    <x v="0"/>
  </r>
  <r>
    <s v="EOS0220"/>
    <d v="2025-07-02T00:00:00"/>
    <s v="FB"/>
    <s v="Sachin Chauhan"/>
    <s v="nehtaur"/>
    <s v="Uttar Pradesh"/>
    <x v="0"/>
    <s v="   1,07,000"/>
    <x v="0"/>
  </r>
  <r>
    <s v="EOS0221"/>
    <d v="2025-07-02T00:00:00"/>
    <s v="FB"/>
    <s v="sᴀᴍᴀᴊɪᴛ ᴍᴏɴᴅᴀʟ"/>
    <s v="Murshidabad"/>
    <s v="West Bengal"/>
    <x v="0"/>
    <s v="   1,29,000"/>
    <x v="0"/>
  </r>
  <r>
    <s v="EOS0222"/>
    <d v="2025-07-02T00:00:00"/>
    <s v="FB"/>
    <s v="Yogesh Poonia"/>
    <s v="Chirawa"/>
    <s v="Rajasthan"/>
    <x v="0"/>
    <s v="   3,08,000"/>
    <x v="0"/>
  </r>
  <r>
    <s v="EOS0223"/>
    <d v="2025-07-03T00:00:00"/>
    <s v="FB"/>
    <s v="Ketan Joshi"/>
    <s v="Ahmedabad"/>
    <s v="Gujarat"/>
    <x v="0"/>
    <s v="   1,07,000"/>
    <x v="0"/>
  </r>
  <r>
    <s v="EOS0224"/>
    <d v="2025-07-03T00:00:00"/>
    <s v="FB"/>
    <s v="Kripalsinh Rajput"/>
    <s v="Wadhwan"/>
    <s v="Gujarat"/>
    <x v="0"/>
    <s v="   1,77,000"/>
    <x v="0"/>
  </r>
  <r>
    <s v="EOS0225"/>
    <d v="2025-07-03T00:00:00"/>
    <s v="FB"/>
    <s v="Ravi Talshaniya"/>
    <s v="Rajkot"/>
    <s v="Gujarat"/>
    <x v="0"/>
    <s v="   1,07,000"/>
    <x v="0"/>
  </r>
  <r>
    <s v="EOS0226"/>
    <d v="2025-07-03T00:00:00"/>
    <s v="FB"/>
    <s v="Sayed Firoz"/>
    <s v="Patan"/>
    <s v="Gujarat"/>
    <x v="0"/>
    <s v="   1,29,000"/>
    <x v="0"/>
  </r>
  <r>
    <s v="EOS0227"/>
    <d v="2025-07-03T00:00:00"/>
    <s v="FB"/>
    <s v="GOHIL_1212_"/>
    <s v=" Bhavnagar"/>
    <s v="Gujarat"/>
    <x v="0"/>
    <s v="   1,07,000"/>
    <x v="0"/>
  </r>
  <r>
    <s v="EOS0228"/>
    <d v="2025-07-03T00:00:00"/>
    <s v="FB"/>
    <s v="Nilesh Chauhan"/>
    <s v="Vadodara"/>
    <s v="Gujarat"/>
    <x v="0"/>
    <s v="   1,07,000"/>
    <x v="0"/>
  </r>
  <r>
    <s v="EOS0229"/>
    <d v="2025-07-03T00:00:00"/>
    <s v="FB"/>
    <s v="Dhaval Pateliya"/>
    <s v="Jetpur"/>
    <s v="Gujarat"/>
    <x v="0"/>
    <s v="   1,07,000"/>
    <x v="0"/>
  </r>
  <r>
    <s v="EOS0230"/>
    <d v="2025-07-03T00:00:00"/>
    <s v="FB"/>
    <s v="AK"/>
    <s v="Jamjodhpur"/>
    <s v="Gujarat"/>
    <x v="0"/>
    <s v="   1,07,000"/>
    <x v="0"/>
  </r>
  <r>
    <s v="EOS0231"/>
    <d v="2025-07-03T00:00:00"/>
    <s v="FB"/>
    <s v="Vaghela Jaydeep Vaghela"/>
    <s v="Rajkot"/>
    <s v="Gujarat"/>
    <x v="0"/>
    <s v="   1,07,000"/>
    <x v="0"/>
  </r>
  <r>
    <s v="EOS0232"/>
    <d v="2025-07-03T00:00:00"/>
    <s v="FB"/>
    <s v="Shaikh kalim"/>
    <s v="Buldana"/>
    <s v="Maharastra"/>
    <x v="0"/>
    <s v="   1,07,000"/>
    <x v="0"/>
  </r>
  <r>
    <s v="EOS0233"/>
    <d v="2025-07-03T00:00:00"/>
    <s v="FB"/>
    <s v="Ashutosh"/>
    <s v="Kanpur"/>
    <s v="Uttar Pradesh"/>
    <x v="0"/>
    <s v="   1,07,000"/>
    <x v="11"/>
  </r>
  <r>
    <s v="EOS0234"/>
    <d v="2025-07-04T00:00:00"/>
    <s v="FB"/>
    <s v="Vimal Chauhan"/>
    <s v="Ahmedabad"/>
    <s v="Gujarat"/>
    <x v="0"/>
    <s v="   1,07,000"/>
    <x v="12"/>
  </r>
  <r>
    <s v="EOS0235"/>
    <d v="2025-07-04T00:00:00"/>
    <s v="FB"/>
    <s v="Jepan Shah"/>
    <s v="Ahmedabad"/>
    <s v="Gujarat"/>
    <x v="0"/>
    <s v="   1,07,000"/>
    <x v="13"/>
  </r>
  <r>
    <s v="EOS0236"/>
    <d v="2025-07-04T00:00:00"/>
    <s v="FB"/>
    <s v="Shiv Chakravati"/>
    <s v="Ahmedabad"/>
    <s v="Gujarat"/>
    <x v="0"/>
    <s v="   1,07,000"/>
    <x v="0"/>
  </r>
  <r>
    <s v="EOS0237"/>
    <d v="2025-07-04T00:00:00"/>
    <s v="FB"/>
    <s v="Bharat Shiyaliya"/>
    <s v="Rajkot"/>
    <s v="Gujarat"/>
    <x v="0"/>
    <s v="   3,08,000"/>
    <x v="0"/>
  </r>
  <r>
    <s v="EOS0238"/>
    <d v="2025-07-04T00:00:00"/>
    <s v="FB"/>
    <s v="Sunil Maldhari"/>
    <s v="Ahmedabad"/>
    <s v="Gujarat"/>
    <x v="0"/>
    <s v="   1,07,000"/>
    <x v="0"/>
  </r>
  <r>
    <s v="EOS0239"/>
    <d v="2025-07-04T00:00:00"/>
    <s v="FB"/>
    <s v="યોગેશ બાબરીયા"/>
    <s v="Surat"/>
    <s v="Gujarat"/>
    <x v="0"/>
    <s v="   1,07,000"/>
    <x v="0"/>
  </r>
  <r>
    <s v="EOS0240"/>
    <d v="2025-07-04T00:00:00"/>
    <s v="FB"/>
    <s v="Raviraj sinh Chauhan"/>
    <s v="Valsad"/>
    <s v="Gujarat"/>
    <x v="0"/>
    <s v="   1,07,000"/>
    <x v="0"/>
  </r>
  <r>
    <s v="EOS0241"/>
    <s v="18/07/2025"/>
    <s v="FB"/>
    <s v="Hushvendra khanuja"/>
    <m/>
    <s v="Gujarat"/>
    <x v="0"/>
    <s v="   1,07,000"/>
    <x v="0"/>
  </r>
  <r>
    <s v="EOS0242"/>
    <d v="2025-07-05T00:00:00"/>
    <s v="FB"/>
    <s v="Rigan Desai"/>
    <s v="Ahmedabad"/>
    <s v="Gujarat"/>
    <x v="0"/>
    <s v="   1,07,000"/>
    <x v="0"/>
  </r>
  <r>
    <s v="EOS0243"/>
    <d v="2025-07-05T00:00:00"/>
    <s v="FB"/>
    <s v="Satyajeetbhai tamaliya"/>
    <s v="Surendranagar"/>
    <s v="Gujarat"/>
    <x v="0"/>
    <s v="   1,07,000"/>
    <x v="0"/>
  </r>
  <r>
    <s v="EOS0244"/>
    <d v="2025-07-05T00:00:00"/>
    <s v="FB"/>
    <s v="Mahesh Vaghela"/>
    <s v="Botad"/>
    <s v="Gujarat"/>
    <x v="0"/>
    <s v="   1,07,000"/>
    <x v="0"/>
  </r>
  <r>
    <s v="EOS0245"/>
    <d v="2025-07-05T00:00:00"/>
    <s v="FB"/>
    <s v="𝐆𝐄𝐃𝐈𝐘𝐀"/>
    <s v="Amreli"/>
    <s v="Gujarat"/>
    <x v="0"/>
    <s v="   1,77,000"/>
    <x v="0"/>
  </r>
  <r>
    <s v="EOS0246"/>
    <d v="2025-07-05T00:00:00"/>
    <s v="FB"/>
    <s v="Lalit Chouhan"/>
    <s v="pilkhuwa"/>
    <s v="Uttar Pradesh"/>
    <x v="0"/>
    <s v="   1,07,000"/>
    <x v="0"/>
  </r>
  <r>
    <s v="EOS0247"/>
    <d v="2025-07-07T00:00:00"/>
    <s v="FB"/>
    <s v="SaiR"/>
    <s v="Anand"/>
    <s v="Gujarat"/>
    <x v="0"/>
    <s v="   1,29,000"/>
    <x v="0"/>
  </r>
  <r>
    <s v="EOS0248"/>
    <d v="2025-07-07T00:00:00"/>
    <s v="FB"/>
    <s v="Mayank Rathod"/>
    <s v="Mehsana"/>
    <s v="Gujarat"/>
    <x v="0"/>
    <s v="   1,29,000"/>
    <x v="0"/>
  </r>
  <r>
    <s v="EOS0249"/>
    <d v="2025-07-07T00:00:00"/>
    <s v="FB"/>
    <s v="Salim kureshi"/>
    <s v="chhottaudepur"/>
    <s v="Gujarat"/>
    <x v="0"/>
    <s v="   1,77,000"/>
    <x v="0"/>
  </r>
  <r>
    <s v="EOS0250"/>
    <d v="2025-07-07T00:00:00"/>
    <s v="FB"/>
    <s v="sajan shah"/>
    <s v="Rajkot"/>
    <s v="Gujarat"/>
    <x v="0"/>
    <s v="   5,31,000"/>
    <x v="0"/>
  </r>
  <r>
    <s v="EOS0251"/>
    <d v="2025-07-07T00:00:00"/>
    <s v="FB"/>
    <s v="bharat sinh solanki"/>
    <s v="Godhra"/>
    <s v="Gujarat"/>
    <x v="0"/>
    <s v="   5,31,000"/>
    <x v="0"/>
  </r>
  <r>
    <s v="EOS0252"/>
    <d v="2025-07-07T00:00:00"/>
    <s v="FB"/>
    <s v="Meet Adatiya"/>
    <s v="Surat"/>
    <s v="Gujarat"/>
    <x v="0"/>
    <s v="   5,31,000"/>
    <x v="0"/>
  </r>
  <r>
    <s v="EOS0253"/>
    <d v="2025-07-07T00:00:00"/>
    <s v="FB"/>
    <s v="Pradipsinh Jadeja Nanimarad"/>
    <s v="Dhoraji"/>
    <s v="Gujarat"/>
    <x v="0"/>
    <s v="   1,77,000"/>
    <x v="14"/>
  </r>
  <r>
    <s v="EOS0254"/>
    <d v="2025-07-07T00:00:00"/>
    <s v="FB"/>
    <s v="Pritesh Narigra"/>
    <s v="Vapi"/>
    <s v="Gujarat"/>
    <x v="0"/>
    <s v="   5,31,000"/>
    <x v="15"/>
  </r>
  <r>
    <s v="EOS0255"/>
    <d v="2025-07-07T00:00:00"/>
    <s v="FB"/>
    <s v="Sohelkhan"/>
    <s v="Junagadh"/>
    <s v="Gujarat"/>
    <x v="0"/>
    <s v="   1,29,000"/>
    <x v="0"/>
  </r>
  <r>
    <s v="EOS0256"/>
    <d v="2025-07-07T00:00:00"/>
    <s v="FB"/>
    <s v="Niraj Gorasia"/>
    <s v=" Bhavnagar"/>
    <s v="Gujarat"/>
    <x v="0"/>
    <s v="   1,07,000"/>
    <x v="0"/>
  </r>
  <r>
    <s v="EOS0257"/>
    <d v="2025-07-07T00:00:00"/>
    <s v="FB"/>
    <s v="Shubham Pandey"/>
    <s v="Khajuria"/>
    <s v="Uttar Pradesh"/>
    <x v="0"/>
    <s v="   1,07,000"/>
    <x v="0"/>
  </r>
  <r>
    <s v="EOS0258"/>
    <d v="2025-07-07T00:00:00"/>
    <s v="FB"/>
    <s v="Sanket Thorat"/>
    <s v="Pune"/>
    <s v="Maharastra"/>
    <x v="0"/>
    <s v="   1,07,000"/>
    <x v="0"/>
  </r>
  <r>
    <s v="EOS0259"/>
    <d v="2025-07-08T00:00:00"/>
    <s v="FB"/>
    <s v="𝐌𝐀𝐍𝐈𝐒𝐇 𝐏𝐀𝐓𝐄𝐋"/>
    <s v=" Bhavnagar"/>
    <s v="Gujarat"/>
    <x v="0"/>
    <s v="   1,07,000"/>
    <x v="0"/>
  </r>
  <r>
    <s v="EOS0260"/>
    <d v="2025-07-08T00:00:00"/>
    <s v="FB"/>
    <s v="Darshil Patel"/>
    <s v="Ahmedabad"/>
    <s v="Gujarat"/>
    <x v="0"/>
    <s v="   1,29,000"/>
    <x v="0"/>
  </r>
  <r>
    <s v="EOS0261"/>
    <d v="2025-07-08T00:00:00"/>
    <s v="FB"/>
    <s v="Saurabh Patel"/>
    <s v="Nadiad"/>
    <s v="Gujarat"/>
    <x v="0"/>
    <s v="   1,07,000"/>
    <x v="16"/>
  </r>
  <r>
    <s v="EOS0262"/>
    <d v="2025-07-08T00:00:00"/>
    <s v="FB"/>
    <s v="Shaikh Mohammed Aakip"/>
    <s v="Ahmedabad"/>
    <s v="Gujarat"/>
    <x v="0"/>
    <s v="   1,07,000"/>
    <x v="0"/>
  </r>
  <r>
    <s v="EOS0263"/>
    <d v="2025-07-08T00:00:00"/>
    <s v="FB"/>
    <s v="Vimesh Panchal"/>
    <s v="Surat"/>
    <s v="Gujarat"/>
    <x v="0"/>
    <s v="   1,07,000"/>
    <x v="17"/>
  </r>
  <r>
    <s v="EOS0264"/>
    <d v="2025-07-08T00:00:00"/>
    <s v="FB"/>
    <s v="Rutvi Chauhan Boradiya"/>
    <s v="Ahmedabad"/>
    <s v="Gujarat"/>
    <x v="0"/>
    <s v="   5,31,000"/>
    <x v="0"/>
  </r>
  <r>
    <s v="EOS0265"/>
    <d v="2025-07-08T00:00:00"/>
    <s v="FB"/>
    <s v="J.P.DOO {અઘરી નોટ}"/>
    <s v="Botad"/>
    <s v="Gujarat"/>
    <x v="0"/>
    <s v="   3,08,000"/>
    <x v="0"/>
  </r>
  <r>
    <s v="EOS0266"/>
    <d v="2025-07-08T00:00:00"/>
    <s v="FB"/>
    <s v="PARTH RAJYGURU"/>
    <s v="bhuvan"/>
    <s v="Gujarat"/>
    <x v="0"/>
    <s v="   1,07,000"/>
    <x v="0"/>
  </r>
  <r>
    <s v="EOS0267"/>
    <d v="2025-07-09T00:00:00"/>
    <s v="FB"/>
    <s v="VR J A D E J A"/>
    <s v="Mandvi"/>
    <s v="Gujarat"/>
    <x v="0"/>
    <s v="   1,07,000"/>
    <x v="0"/>
  </r>
  <r>
    <s v="EOS0268"/>
    <d v="2025-07-09T00:00:00"/>
    <s v="FB"/>
    <s v="Alpesh Bhikadiya"/>
    <s v="Surat"/>
    <s v="Gujarat"/>
    <x v="0"/>
    <s v="   1,07,000"/>
    <x v="0"/>
  </r>
  <r>
    <s v="EOS0269"/>
    <d v="2025-07-09T00:00:00"/>
    <s v="FB"/>
    <s v="Brijesh Sheladiya"/>
    <s v="Rajkot"/>
    <s v="Gujarat"/>
    <x v="0"/>
    <s v="   1,77,000"/>
    <x v="0"/>
  </r>
  <r>
    <s v="EOS0270"/>
    <d v="2025-07-09T00:00:00"/>
    <s v="FB"/>
    <s v="Yadav Yashkumar maheshbhai"/>
    <s v="Botad"/>
    <s v="Gujarat"/>
    <x v="0"/>
    <s v="   1,07,000"/>
    <x v="0"/>
  </r>
  <r>
    <s v="EOS0271"/>
    <d v="1900-01-22T00:00:00"/>
    <s v="FB"/>
    <s v="AJ"/>
    <s v="Ahmedabad"/>
    <s v="Gujarat"/>
    <x v="0"/>
    <s v="   1,29,000"/>
    <x v="0"/>
  </r>
  <r>
    <s v="EOS0272"/>
    <d v="2025-07-10T00:00:00"/>
    <s v="FB"/>
    <s v="Vishal Patel"/>
    <s v="Nadiad"/>
    <s v="Gujarat"/>
    <x v="0"/>
    <s v="   1,07,000"/>
    <x v="0"/>
  </r>
  <r>
    <s v="EOS0273"/>
    <d v="2025-07-10T00:00:00"/>
    <s v="FB"/>
    <s v="Mayuri"/>
    <s v="Surat"/>
    <s v="Gujarat"/>
    <x v="0"/>
    <s v="   1,07,000"/>
    <x v="18"/>
  </r>
  <r>
    <s v="EOS0274"/>
    <d v="2025-07-10T00:00:00"/>
    <s v="FB"/>
    <s v="Amit Gupta"/>
    <s v="Padrauna"/>
    <s v="Uttar Pradesh"/>
    <x v="0"/>
    <s v="   1,29,000"/>
    <x v="0"/>
  </r>
  <r>
    <s v="EOS0275"/>
    <d v="2025-07-10T00:00:00"/>
    <s v="FB"/>
    <s v="Suraj Sharma"/>
    <s v="mathura"/>
    <s v="Uttar Pradesh"/>
    <x v="0"/>
    <s v="   1,07,000"/>
    <x v="0"/>
  </r>
  <r>
    <s v="EOS0276"/>
    <d v="2025-07-10T00:00:00"/>
    <s v="FB"/>
    <s v="Ayush Seth"/>
    <s v="Jhansi"/>
    <s v="Uttar Pradesh"/>
    <x v="0"/>
    <s v="   5,31,000"/>
    <x v="0"/>
  </r>
  <r>
    <s v="EOS0277"/>
    <d v="2025-07-10T00:00:00"/>
    <s v="FB"/>
    <s v="Rajeev Kumar"/>
    <s v="Dehradun"/>
    <s v="Uttrakhand"/>
    <x v="0"/>
    <s v="   1,29,000"/>
    <x v="0"/>
  </r>
  <r>
    <s v="EOS0278"/>
    <d v="2025-07-10T00:00:00"/>
    <s v="FB"/>
    <s v="Sagar"/>
    <s v="latur"/>
    <s v="Maharastra"/>
    <x v="0"/>
    <s v="   1,29,000"/>
    <x v="0"/>
  </r>
  <r>
    <s v="EOS0279"/>
    <d v="2025-07-10T00:00:00"/>
    <s v="FB"/>
    <s v="SANJEEV KUMAR"/>
    <s v="Ajitmal"/>
    <s v="Uttar Pradesh"/>
    <x v="0"/>
    <s v="   1,07,000"/>
    <x v="0"/>
  </r>
  <r>
    <s v="EOS0280"/>
    <d v="2025-07-10T00:00:00"/>
    <s v="FB"/>
    <s v="Dhiraj kumar soni"/>
    <s v="birpara"/>
    <s v="West Bengal"/>
    <x v="0"/>
    <s v="   1,77,000"/>
    <x v="0"/>
  </r>
  <r>
    <s v="EOS0281"/>
    <d v="2025-07-10T00:00:00"/>
    <s v="FB"/>
    <s v="Krishna Kumar"/>
    <s v="kushinagar"/>
    <s v="Uttar Pradesh"/>
    <x v="0"/>
    <s v="   1,07,000"/>
    <x v="0"/>
  </r>
  <r>
    <s v="EOS0282"/>
    <d v="2025-07-10T00:00:00"/>
    <s v="FB"/>
    <s v="Aditya Kumar Raut"/>
    <s v="Dhaka"/>
    <s v="Bihar"/>
    <x v="0"/>
    <s v="   1,29,000"/>
    <x v="0"/>
  </r>
  <r>
    <s v="EOS0283"/>
    <d v="2025-07-10T00:00:00"/>
    <s v="FB"/>
    <s v="Divyanshu Tiwari"/>
    <s v="ballia"/>
    <s v="Uttar pardesh"/>
    <x v="0"/>
    <s v="   1,77,000"/>
    <x v="0"/>
  </r>
  <r>
    <s v="EOS0284"/>
    <d v="2025-07-10T00:00:00"/>
    <s v="FB"/>
    <s v="NA"/>
    <s v="east champaran"/>
    <s v="Bihar"/>
    <x v="0"/>
    <s v="   1,07,000"/>
    <x v="0"/>
  </r>
  <r>
    <s v="EOS0285"/>
    <d v="2025-07-10T00:00:00"/>
    <s v="FB"/>
    <s v="Dangar Raviraj Ahir"/>
    <s v=" Bhavnagar"/>
    <s v="Gujarat"/>
    <x v="0"/>
    <s v="   5,31,000"/>
    <x v="0"/>
  </r>
  <r>
    <s v="EOS0286"/>
    <d v="2025-07-10T00:00:00"/>
    <s v="FB"/>
    <s v="Jagdish Maheshwari"/>
    <s v="Gandhidham"/>
    <s v="Gujarat"/>
    <x v="0"/>
    <s v="   1,07,000"/>
    <x v="0"/>
  </r>
  <r>
    <s v="EOS0287"/>
    <d v="2025-07-11T00:00:00"/>
    <s v="FB"/>
    <s v="MaYaNk PaTeL"/>
    <s v="Patan"/>
    <s v="Gujarat"/>
    <x v="0"/>
    <s v="   1,07,000"/>
    <x v="0"/>
  </r>
  <r>
    <s v="EOS0288"/>
    <d v="2025-07-11T00:00:00"/>
    <s v="FB"/>
    <s v="Afreen Fidahusein Surti"/>
    <s v="Vadodara"/>
    <s v="Gujarat"/>
    <x v="0"/>
    <s v="   1,07,000"/>
    <x v="0"/>
  </r>
  <r>
    <s v="EOS0289"/>
    <d v="2025-07-11T00:00:00"/>
    <s v="FB"/>
    <s v="Dixit Soni"/>
    <s v="Ahmedabad"/>
    <s v="Gujarat"/>
    <x v="0"/>
    <s v="   1,07,000"/>
    <x v="0"/>
  </r>
  <r>
    <s v="EOS0290"/>
    <d v="2025-07-11T00:00:00"/>
    <s v="FB"/>
    <s v="Jay Solanki"/>
    <s v="Delwada"/>
    <s v="Gujarat"/>
    <x v="0"/>
    <s v="   1,29,000"/>
    <x v="0"/>
  </r>
  <r>
    <s v="EOS0291"/>
    <d v="2025-07-11T00:00:00"/>
    <s v="FB"/>
    <s v="🅺🅳 🅷🅸🆁"/>
    <s v=" Bhavnagar"/>
    <s v="Gujarat"/>
    <x v="0"/>
    <s v="   3,08,000"/>
    <x v="0"/>
  </r>
  <r>
    <s v="EOS0292"/>
    <d v="2025-07-11T00:00:00"/>
    <s v="FB"/>
    <s v="Kirtan Patel"/>
    <s v="Vadodara"/>
    <s v="Gujarat"/>
    <x v="0"/>
    <s v="   1,07,000"/>
    <x v="0"/>
  </r>
  <r>
    <s v="EOS0293"/>
    <d v="2025-07-12T00:00:00"/>
    <s v="FB"/>
    <s v="Babu Bariya"/>
    <s v="diu"/>
    <s v="Gujarat"/>
    <x v="0"/>
    <s v="   1,07,000"/>
    <x v="0"/>
  </r>
  <r>
    <s v="EOS0294"/>
    <d v="2025-07-12T00:00:00"/>
    <s v="FB"/>
    <s v="Thakor Sachin"/>
    <s v="Gandhinagar"/>
    <s v="Gujarat"/>
    <x v="0"/>
    <s v="   1,07,000"/>
    <x v="0"/>
  </r>
  <r>
    <s v="EOS0295"/>
    <d v="2025-07-12T00:00:00"/>
    <s v="FB"/>
    <s v="Prakash Solanki"/>
    <s v="Ahmedabad"/>
    <s v="Gujarat"/>
    <x v="0"/>
    <s v="   1,07,000"/>
    <x v="0"/>
  </r>
  <r>
    <s v="EOS0296"/>
    <d v="2025-07-12T00:00:00"/>
    <s v="FB"/>
    <s v="Dhaval Rupareliya"/>
    <s v="Gondal"/>
    <s v="Gujarat"/>
    <x v="0"/>
    <s v="   1,07,000"/>
    <x v="0"/>
  </r>
  <r>
    <s v="EOS0297"/>
    <d v="2025-07-12T00:00:00"/>
    <s v="FB"/>
    <s v="Haris Bangra"/>
    <s v="Mangrol"/>
    <s v="Gujarat"/>
    <x v="0"/>
    <s v="   1,07,000"/>
    <x v="0"/>
  </r>
  <r>
    <s v="EOS0298"/>
    <d v="2025-07-12T00:00:00"/>
    <s v="FB"/>
    <s v="Rohan Padhiyar"/>
    <s v="Vadodara"/>
    <s v="Gujarat"/>
    <x v="0"/>
    <s v="   1,29,000"/>
    <x v="0"/>
  </r>
  <r>
    <s v="EOS0299"/>
    <d v="2025-07-12T00:00:00"/>
    <s v="FB"/>
    <s v="Salman Shah"/>
    <s v="multai"/>
    <s v="Madhya Pradesh"/>
    <x v="0"/>
    <s v="   1,07,000"/>
    <x v="0"/>
  </r>
  <r>
    <s v="EOS0300"/>
    <d v="2025-07-12T00:00:00"/>
    <s v="FB"/>
    <s v="Ravi Chaudhary"/>
    <s v="Raebareli"/>
    <s v="Uttar Pradesh"/>
    <x v="0"/>
    <s v="   1,77,000"/>
    <x v="0"/>
  </r>
  <r>
    <s v="EOS0301"/>
    <s v="14/07/2025"/>
    <s v="FB"/>
    <s v="Ashish Kumar"/>
    <s v="Patna New City"/>
    <s v="Bihar"/>
    <x v="0"/>
    <s v="   5,31,000"/>
    <x v="0"/>
  </r>
  <r>
    <s v="EOS0302"/>
    <s v="14/07/2025"/>
    <s v="FB"/>
    <s v="Deepak Kumar"/>
    <s v="Raxaul"/>
    <s v="Bihar"/>
    <x v="0"/>
    <s v="   5,31,000"/>
    <x v="0"/>
  </r>
  <r>
    <s v="EOS0303"/>
    <s v="14/07/2025"/>
    <s v="FB"/>
    <s v="Arjun kumar"/>
    <s v="Bettiah"/>
    <s v="Bihar"/>
    <x v="0"/>
    <s v="   1,29,000"/>
    <x v="0"/>
  </r>
  <r>
    <s v="EOS0304"/>
    <s v="14/07/2025"/>
    <s v="FB"/>
    <s v="kapilkarena"/>
    <s v="VAPI"/>
    <s v="Gujarat"/>
    <x v="0"/>
    <s v="   1,29,000"/>
    <x v="0"/>
  </r>
  <r>
    <s v="EOS0305"/>
    <s v="14/07/2025"/>
    <s v="FB"/>
    <s v="Dharmarajsinh Chudasama"/>
    <s v=" Bhavnagar"/>
    <s v="Gujarat"/>
    <x v="0"/>
    <s v="   1,07,000"/>
    <x v="0"/>
  </r>
  <r>
    <s v="EOS0306"/>
    <s v="14/07/2025"/>
    <s v="FB"/>
    <s v="Rajesh"/>
    <s v="Surat"/>
    <s v="Gujarat"/>
    <x v="0"/>
    <s v="   1,07,000"/>
    <x v="19"/>
  </r>
  <r>
    <s v="EOS0307"/>
    <s v="14/07/2025"/>
    <s v="FB"/>
    <s v="Jadeja Mahendra Sih"/>
    <s v="Rapar"/>
    <s v="Gujarat"/>
    <x v="0"/>
    <s v="   1,29,000"/>
    <x v="0"/>
  </r>
  <r>
    <s v="EOS0308"/>
    <s v="14/07/2025"/>
    <s v="FB"/>
    <s v="Jatin"/>
    <s v="Ahmedabad"/>
    <s v="Gujarat"/>
    <x v="0"/>
    <s v="   1,07,000"/>
    <x v="0"/>
  </r>
  <r>
    <s v="EOS0309"/>
    <s v="14/07/2025"/>
    <s v="FB"/>
    <s v="Parakramsinh Vaghela"/>
    <s v="Patan"/>
    <s v="Gujarat"/>
    <x v="0"/>
    <s v="   3,08,000"/>
    <x v="0"/>
  </r>
  <r>
    <s v="EOS0310"/>
    <s v="14/07/2025"/>
    <s v="FB"/>
    <s v="Satish Patel"/>
    <s v="Bharuch"/>
    <s v="Gujarat"/>
    <x v="0"/>
    <s v="   5,31,000"/>
    <x v="0"/>
  </r>
  <r>
    <s v="EOS0311"/>
    <s v="14/07/2025"/>
    <s v="FB"/>
    <s v="Sarvan Modi Modi"/>
    <s v="Diyodar"/>
    <s v="Gujarat"/>
    <x v="0"/>
    <s v="   1,07,000"/>
    <x v="0"/>
  </r>
  <r>
    <s v="EOS0312"/>
    <s v="14/07/2025"/>
    <s v="FB"/>
    <s v="Dax Pipaliya"/>
    <s v="Keshod"/>
    <s v="Gujarat"/>
    <x v="0"/>
    <s v="   1,77,000"/>
    <x v="0"/>
  </r>
  <r>
    <s v="EOS0313"/>
    <s v="14/07/2025"/>
    <s v="FB"/>
    <s v="Ajay Rangwal"/>
    <s v="Udgir"/>
    <s v="Maharashtra"/>
    <x v="0"/>
    <s v="   1,77,000"/>
    <x v="0"/>
  </r>
  <r>
    <s v="EOS0314"/>
    <s v="14/07/2025"/>
    <s v="FB"/>
    <s v="Gaurav Nikam Patil"/>
    <s v="Nashik"/>
    <s v="Maharashtra"/>
    <x v="0"/>
    <s v="   1,29,000"/>
    <x v="0"/>
  </r>
  <r>
    <s v="EOS0315"/>
    <s v="14/07/2025"/>
    <s v="FB"/>
    <s v="Anand"/>
    <s v="Shirur"/>
    <s v="Maharashtra"/>
    <x v="0"/>
    <s v="   1,07,000"/>
    <x v="0"/>
  </r>
  <r>
    <s v="EOS0316"/>
    <s v="14/07/2025"/>
    <s v="FB"/>
    <s v="Mitu Swain"/>
    <s v="Cuttck"/>
    <s v="Odish"/>
    <x v="0"/>
    <s v="   1,29,000"/>
    <x v="0"/>
  </r>
  <r>
    <s v="EOS0317"/>
    <s v="14/07/2025"/>
    <s v="FB"/>
    <s v="Aslam khn"/>
    <s v="kuchaman city"/>
    <s v="Rajasthan"/>
    <x v="0"/>
    <s v="   1,07,000"/>
    <x v="0"/>
  </r>
  <r>
    <s v="EOS0318"/>
    <s v="14/07/2025"/>
    <s v="FB"/>
    <s v="shripal"/>
    <s v="meerut"/>
    <s v="Uttar Pradesh"/>
    <x v="0"/>
    <s v="   1,07,000"/>
    <x v="0"/>
  </r>
  <r>
    <s v="EOS0319"/>
    <s v="14/07/2025"/>
    <s v="FB"/>
    <s v="Biseswar Barman"/>
    <s v="Cooch Behar"/>
    <s v="West Bengal"/>
    <x v="0"/>
    <s v="   1,07,000"/>
    <x v="0"/>
  </r>
  <r>
    <s v="EOS0320"/>
    <s v="14/07/2025"/>
    <s v="FB"/>
    <s v="Aniket Yadav"/>
    <s v="BALLIA"/>
    <s v="Uttar Pradesh"/>
    <x v="0"/>
    <s v="   1,07,000"/>
    <x v="0"/>
  </r>
  <r>
    <s v="EOS0321"/>
    <s v="15/07/2025"/>
    <s v="FB"/>
    <s v="naimish jani"/>
    <s v="Rajkot"/>
    <s v="Gujarat"/>
    <x v="0"/>
    <s v="   1,29,000"/>
    <x v="0"/>
  </r>
  <r>
    <s v="EOS0322"/>
    <s v="15/07/2025"/>
    <s v="FB"/>
    <s v="Rushirajsinh Gohil"/>
    <s v=" Bhavnagar"/>
    <s v="Gujarat"/>
    <x v="0"/>
    <s v="   1,07,000"/>
    <x v="0"/>
  </r>
  <r>
    <s v="EOS0323"/>
    <s v="15/07/2025"/>
    <s v="FB"/>
    <s v="NiHal ĀçHàrÿæ"/>
    <s v="Surat"/>
    <s v="Gujarat"/>
    <x v="0"/>
    <s v="   3,08,000"/>
    <x v="0"/>
  </r>
  <r>
    <s v="EOS0324"/>
    <s v="15/07/2025"/>
    <s v="FB"/>
    <s v="°RADHE°°2990°"/>
    <s v="Banaskantha"/>
    <s v="Gujarat"/>
    <x v="0"/>
    <s v="   1,07,000"/>
    <x v="0"/>
  </r>
  <r>
    <s v="EOS0325"/>
    <s v="15/07/2025"/>
    <s v="FB"/>
    <s v="Vijay Kumbhani"/>
    <s v="Vadodara"/>
    <s v="Gujarat"/>
    <x v="0"/>
    <s v="   1,07,000"/>
    <x v="20"/>
  </r>
  <r>
    <s v="EOS0326"/>
    <s v="15/07/2025"/>
    <s v="FB"/>
    <s v="Ravi Dabhi"/>
    <s v="Junagadh"/>
    <s v="Gujarat"/>
    <x v="0"/>
    <s v="   1,07,000"/>
    <x v="0"/>
  </r>
  <r>
    <s v="EOS0327"/>
    <s v="15/07/2025"/>
    <s v="FB"/>
    <s v="haresh gohil"/>
    <s v="Ahmedabad"/>
    <s v="Gujarat"/>
    <x v="0"/>
    <s v="   1,07,000"/>
    <x v="0"/>
  </r>
  <r>
    <s v="EOS0328"/>
    <s v="15/07/2025"/>
    <s v="FB"/>
    <s v="Jayvirbhai Khuman"/>
    <s v="Amreli"/>
    <s v="Gujarat"/>
    <x v="0"/>
    <s v="   1,07,000"/>
    <x v="21"/>
  </r>
  <r>
    <s v="EOS0329"/>
    <s v="15/07/2025"/>
    <s v="FB"/>
    <s v="SuMiTpAnDaV__"/>
    <s v="Surat"/>
    <s v="Gujarat"/>
    <x v="0"/>
    <s v="   1,29,000"/>
    <x v="0"/>
  </r>
  <r>
    <s v="EOS0330"/>
    <s v="15/07/2025"/>
    <s v="FB"/>
    <s v="𝐀𝐤𝐬𝐡𝐚𝐭 𝐏𝐚𝐫𝐦𝐚𝐫"/>
    <s v="Navsari"/>
    <s v="Gujarat"/>
    <x v="0"/>
    <s v="   5,31,000"/>
    <x v="0"/>
  </r>
  <r>
    <s v="EOS0331"/>
    <s v="15/07/2025"/>
    <s v="FB"/>
    <s v="NAYAN SHINGADIYA"/>
    <s v="Rajkot"/>
    <s v="Gujarat"/>
    <x v="0"/>
    <s v="   1,29,000"/>
    <x v="0"/>
  </r>
  <r>
    <s v="EOS0332"/>
    <s v="16/07/2025"/>
    <s v="FB"/>
    <s v="Chovasiya Uttam K"/>
    <s v="Surat"/>
    <s v="Gujarat"/>
    <x v="0"/>
    <s v="   1,29,000"/>
    <x v="0"/>
  </r>
  <r>
    <s v="EOS0333"/>
    <s v="16/07/2025"/>
    <s v="FB"/>
    <s v="Avi Khatri"/>
    <s v="Bhuj"/>
    <s v="Gujarat"/>
    <x v="0"/>
    <s v="   1,07,000"/>
    <x v="0"/>
  </r>
  <r>
    <s v="EOS0334"/>
    <s v="16/07/2025"/>
    <s v="FB"/>
    <s v="Hemant Kumar"/>
    <s v="Khambhat"/>
    <s v="Gujarat"/>
    <x v="0"/>
    <s v="   1,07,000"/>
    <x v="0"/>
  </r>
  <r>
    <s v="EOS0335"/>
    <s v="16/07/2025"/>
    <s v="FB"/>
    <s v="Yagnik Patel"/>
    <s v="himmatnagar"/>
    <s v="Gujarat"/>
    <x v="0"/>
    <s v="   5,31,000"/>
    <x v="0"/>
  </r>
  <r>
    <s v="EOS0336"/>
    <s v="16/07/2025"/>
    <s v="FB"/>
    <s v="Krut"/>
    <s v="Surat"/>
    <s v="Gujarat"/>
    <x v="0"/>
    <s v="   1,77,000"/>
    <x v="0"/>
  </r>
  <r>
    <s v="EOS0337"/>
    <s v="16/07/2025"/>
    <s v="FB"/>
    <s v="Dangar Bhavesh Ahir"/>
    <s v=" Bhavnagar"/>
    <s v="Gujarat"/>
    <x v="0"/>
    <s v="   1,77,000"/>
    <x v="0"/>
  </r>
  <r>
    <s v="EOS0338"/>
    <d v="2025-07-16T00:00:00"/>
    <s v="FB"/>
    <s v="Sidharth Agrawal"/>
    <s v="Indore"/>
    <s v="Madhay pradesh"/>
    <x v="0"/>
    <s v="   1,07,000"/>
    <x v="22"/>
  </r>
  <r>
    <s v="EOS0339"/>
    <s v="16/07/2025"/>
    <s v="FB"/>
    <s v="Navojth Singh "/>
    <s v="Hanumangarh"/>
    <s v="Rajasthan"/>
    <x v="0"/>
    <s v="   1,29,000"/>
    <x v="0"/>
  </r>
  <r>
    <s v="EOS0340"/>
    <s v="16/07/2025"/>
    <s v="FB"/>
    <s v="Utsav Sharma"/>
    <s v="moradabad"/>
    <s v="Uttar Pradesh"/>
    <x v="0"/>
    <s v="   1,07,000"/>
    <x v="0"/>
  </r>
  <r>
    <s v="EOS0341"/>
    <s v="16/07/2025"/>
    <s v="FB"/>
    <s v="Sanjeev kumar bhati"/>
    <s v="Bulandshahr"/>
    <s v="Uttar Pradesh"/>
    <x v="0"/>
    <s v="   1,29,000"/>
    <x v="0"/>
  </r>
  <r>
    <s v="EOS0342"/>
    <s v="16/07/2025"/>
    <s v="FB"/>
    <s v="Pawan Shukla"/>
    <s v="Lucknow"/>
    <s v="Uttar Pradesh"/>
    <x v="0"/>
    <s v="   5,31,000"/>
    <x v="0"/>
  </r>
  <r>
    <s v="EOS0343"/>
    <s v="16/07/2025"/>
    <s v="FB"/>
    <s v="Sachin Mishra"/>
    <s v="Tulsipur"/>
    <s v="Uttar Pradesh"/>
    <x v="0"/>
    <s v="   1,29,000"/>
    <x v="0"/>
  </r>
  <r>
    <s v="EOS0344"/>
    <s v="16/07/2025"/>
    <s v="FB"/>
    <s v="Arif Hossain"/>
    <s v="Rampur Hat"/>
    <s v="West Bengal"/>
    <x v="0"/>
    <s v="   5,31,000"/>
    <x v="0"/>
  </r>
  <r>
    <s v="EOS0345"/>
    <s v="16/07/2025"/>
    <s v="FB"/>
    <s v="Himanshu Bhadoriya"/>
    <s v="Narol"/>
    <s v="Gujarat"/>
    <x v="0"/>
    <s v="   1,07,000"/>
    <x v="0"/>
  </r>
  <r>
    <s v="EOS0346"/>
    <s v="16/07/2025"/>
    <s v="FB"/>
    <s v="Richard Dass"/>
    <s v="Pune"/>
    <s v="Maharastra"/>
    <x v="0"/>
    <s v="   1,07,000"/>
    <x v="0"/>
  </r>
  <r>
    <s v="EOS0347"/>
    <s v="18/07/2025"/>
    <s v="FB"/>
    <s v="Rajesh Damor"/>
    <m/>
    <s v="Gujarat"/>
    <x v="0"/>
    <s v="   1,07,000"/>
    <x v="0"/>
  </r>
  <r>
    <s v="EOS0348"/>
    <s v="16/07/2025"/>
    <s v="FB"/>
    <s v="Rajendrasinh Dabhi"/>
    <s v="Borvai"/>
    <s v="Gujarat"/>
    <x v="0"/>
    <s v="   1,07,000"/>
    <x v="0"/>
  </r>
  <r>
    <s v="EOS0349"/>
    <s v="17/07/2025"/>
    <s v="FB"/>
    <s v="Ketan Swami"/>
    <s v="Vadodara"/>
    <s v="Gujarat"/>
    <x v="0"/>
    <s v="   1,07,000"/>
    <x v="0"/>
  </r>
  <r>
    <s v="EOS0350"/>
    <s v="17/07/2025"/>
    <s v="FB"/>
    <s v="Nimish"/>
    <s v="Ahmedabad"/>
    <s v="Gujarat"/>
    <x v="0"/>
    <s v="   1,07,000"/>
    <x v="0"/>
  </r>
  <r>
    <s v="EOS0351"/>
    <s v="17/07/2025"/>
    <s v="FB"/>
    <s v="Kalpesh Mandaviya"/>
    <s v="Surat"/>
    <s v="Gujarat"/>
    <x v="0"/>
    <s v="   1,07,000"/>
    <x v="0"/>
  </r>
  <r>
    <s v="EOS0352"/>
    <s v="17/07/2025"/>
    <s v="FB"/>
    <s v="Roshan Makwana"/>
    <s v="Khambhat"/>
    <s v="Gujarat"/>
    <x v="0"/>
    <s v="   1,07,000"/>
    <x v="0"/>
  </r>
  <r>
    <s v="EOS0353"/>
    <s v="17/07/2025"/>
    <s v="FB"/>
    <s v="Adv Mo Akil Saiyad"/>
    <s v="vallbhipur"/>
    <s v="Gujarat"/>
    <x v="0"/>
    <s v="   1,07,000"/>
    <x v="0"/>
  </r>
  <r>
    <s v="EOS0354"/>
    <s v="17/07/2025"/>
    <s v="FB"/>
    <s v="Sumit Utwani"/>
    <s v=" Bhavnagar"/>
    <s v="Gujarat"/>
    <x v="0"/>
    <s v="   1,07,000"/>
    <x v="0"/>
  </r>
  <r>
    <s v="EOS0355"/>
    <s v="17/07/2025"/>
    <s v="FB"/>
    <s v="Nandaniya Ashvin"/>
    <s v="Khambhalia"/>
    <s v="Gujarat"/>
    <x v="0"/>
    <s v="   1,07,000"/>
    <x v="0"/>
  </r>
  <r>
    <s v="EOS0356"/>
    <s v="17/07/2025"/>
    <s v="FB"/>
    <s v="atul arya"/>
    <s v="Ghazipur"/>
    <s v="Uttar Pradesh"/>
    <x v="0"/>
    <s v="   1,07,000"/>
    <x v="0"/>
  </r>
  <r>
    <s v="EOS0357"/>
    <s v="17/07/2025"/>
    <s v="FB"/>
    <s v="Abhishek newara"/>
    <m/>
    <s v="Madhay pradesh"/>
    <x v="0"/>
    <s v="   1,07,000"/>
    <x v="0"/>
  </r>
  <r>
    <s v="EOS0358"/>
    <s v="18/07/2025"/>
    <s v="FB"/>
    <s v="Naranbhai Patel"/>
    <s v="himmatnagar"/>
    <s v="Gujarat"/>
    <x v="0"/>
    <s v="   1,07,000"/>
    <x v="0"/>
  </r>
  <r>
    <s v="EOS0359"/>
    <s v="18/07/2025"/>
    <s v="FB"/>
    <s v="KIRANBHAI VIRASH"/>
    <s v="Surat"/>
    <s v="Gujarat"/>
    <x v="0"/>
    <s v="   1,07,000"/>
    <x v="0"/>
  </r>
  <r>
    <s v="EOS0360"/>
    <s v="18/07/2025"/>
    <s v="FB"/>
    <s v="Rajesh Prajapati"/>
    <s v="Bhachau"/>
    <s v="Gujarat"/>
    <x v="0"/>
    <s v="   1,07,000"/>
    <x v="0"/>
  </r>
  <r>
    <s v="EOS0361"/>
    <s v="18/07/2025"/>
    <s v="FB"/>
    <s v="Sakil Mansuri"/>
    <s v="Vadnagar"/>
    <s v="Gujarat"/>
    <x v="0"/>
    <s v="   1,07,000"/>
    <x v="0"/>
  </r>
  <r>
    <s v="EOS0362"/>
    <s v="18/07/2025"/>
    <s v="FB"/>
    <s v="Vahora Sohil"/>
    <s v="anand"/>
    <s v="Gujarat"/>
    <x v="0"/>
    <s v="   1,07,000"/>
    <x v="0"/>
  </r>
  <r>
    <s v="EOS0363"/>
    <s v="18/07/2025"/>
    <s v="FB"/>
    <s v="Raju Sarvaiya"/>
    <s v="Jamnagar"/>
    <s v="Gujarat"/>
    <x v="0"/>
    <s v="   1,07,000"/>
    <x v="0"/>
  </r>
  <r>
    <s v="EOS0364"/>
    <s v="18/07/2025"/>
    <s v="FB"/>
    <s v="𓄂𝙈𝘼𝙃𝙀𝙎𝙃𝙎𝙄𝙉𝙃__𝘽𝘼𝙉𝙉𝘼__"/>
    <s v="Banaskantha"/>
    <s v="Gujarat"/>
    <x v="0"/>
    <s v="   1,07,000"/>
    <x v="0"/>
  </r>
  <r>
    <s v="EOS0365"/>
    <s v="18/07/2025"/>
    <s v="FB"/>
    <s v="Jaydip B"/>
    <s v="Kodinar"/>
    <s v="Gujarat"/>
    <x v="0"/>
    <s v="   1,07,000"/>
    <x v="0"/>
  </r>
  <r>
    <s v="EOS0366"/>
    <s v="19/07/2025"/>
    <s v="FB"/>
    <s v="Riyan M"/>
    <s v="Mehsana"/>
    <s v="Gujarat"/>
    <x v="0"/>
    <s v="   1,07,000"/>
    <x v="0"/>
  </r>
  <r>
    <s v="EOS0367"/>
    <s v="19/07/2025"/>
    <s v="FB"/>
    <s v="JAYVEERSINH M JADEJA"/>
    <s v="Rajkot"/>
    <s v="Gujarat"/>
    <x v="0"/>
    <s v="   1,07,000"/>
    <x v="0"/>
  </r>
  <r>
    <s v="EOS0368"/>
    <s v="19/07/2025"/>
    <s v="FB"/>
    <s v="Haresh Patel"/>
    <s v="Palanpur"/>
    <s v="Gujarat"/>
    <x v="0"/>
    <s v="   1,07,000"/>
    <x v="0"/>
  </r>
  <r>
    <s v="EOS0369"/>
    <s v="19/07/2025"/>
    <s v="FB"/>
    <s v="sunil"/>
    <s v="Jetpur"/>
    <s v="Gujarat"/>
    <x v="0"/>
    <s v="   1,07,000"/>
    <x v="0"/>
  </r>
  <r>
    <s v="EOS0370"/>
    <s v="19/07/2025"/>
    <s v="FB"/>
    <s v="Dhruv Patel"/>
    <s v="Kadi"/>
    <s v="Gujarat"/>
    <x v="0"/>
    <s v="   1,07,000"/>
    <x v="23"/>
  </r>
  <r>
    <s v="EOS0371"/>
    <s v="19/07/2025"/>
    <s v="FB"/>
    <s v="PâTu PâTêl"/>
    <s v="Daman"/>
    <s v="Gujarat"/>
    <x v="0"/>
    <s v="   1,07,000"/>
    <x v="0"/>
  </r>
  <r>
    <s v="EOS0372"/>
    <s v="19/07/2025"/>
    <s v="FB"/>
    <s v="Siddharth Sonkar"/>
    <s v="Lucknow"/>
    <s v="Uttar Pradesh"/>
    <x v="0"/>
    <s v="   1,07,000"/>
    <x v="0"/>
  </r>
  <r>
    <s v="EOS0373"/>
    <s v="19/07/2025"/>
    <s v="FB"/>
    <s v="shahnawaz khan"/>
    <s v="Olpad"/>
    <s v="Gujarat"/>
    <x v="0"/>
    <s v="   1,07,000"/>
    <x v="0"/>
  </r>
  <r>
    <s v="EOS0374"/>
    <s v="20/07/2025"/>
    <s v="FB"/>
    <s v="Md rahim"/>
    <s v="varanasi"/>
    <s v="Uttar Pradesh"/>
    <x v="0"/>
    <s v="   1,07,000"/>
    <x v="0"/>
  </r>
  <r>
    <s v="EOS0375"/>
    <s v="21/07/2025"/>
    <s v="FB"/>
    <s v="Jitendra Chauhan"/>
    <s v="Paatan"/>
    <s v="Gujarat"/>
    <x v="0"/>
    <s v="   1,07,000"/>
    <x v="0"/>
  </r>
  <r>
    <s v="EOS0376"/>
    <s v="21/07/2025"/>
    <s v="FB"/>
    <s v="Mukesh Prajapati"/>
    <s v="Palanpur"/>
    <s v="Gujarat"/>
    <x v="0"/>
    <s v="   1,07,000"/>
    <x v="24"/>
  </r>
  <r>
    <s v="EOS0377"/>
    <s v="21/07/2025"/>
    <s v="FB"/>
    <s v="Gautam Patel"/>
    <s v="Surat"/>
    <s v="Gujarat"/>
    <x v="0"/>
    <s v="   1,07,000"/>
    <x v="25"/>
  </r>
  <r>
    <s v="EOS0378"/>
    <s v="21/07/2025"/>
    <s v="FB"/>
    <s v="Mds Officially"/>
    <s v="Deesa"/>
    <s v="Gujarat"/>
    <x v="0"/>
    <s v="   1,07,000"/>
    <x v="0"/>
  </r>
  <r>
    <s v="EOS0379"/>
    <s v="21/07/2025"/>
    <s v="FB"/>
    <s v="AK Stationery"/>
    <s v="Wankaner"/>
    <s v="Gujarat"/>
    <x v="0"/>
    <s v="   1,07,000"/>
    <x v="0"/>
  </r>
  <r>
    <s v="EOS0380"/>
    <s v="21/07/2025"/>
    <s v="FB"/>
    <s v="ᴀʟʟᴀʀᴀᴋʜᴀ sᴜʀᴛɪ"/>
    <s v="Vadodara"/>
    <s v="Gujarat"/>
    <x v="0"/>
    <s v="   1,07,000"/>
    <x v="0"/>
  </r>
  <r>
    <s v="EOS0381"/>
    <s v="21/07/2025"/>
    <s v="FB"/>
    <s v="bhumip_1404"/>
    <s v="Ahmedabad"/>
    <s v="Gujarat"/>
    <x v="0"/>
    <s v="   1,07,000"/>
    <x v="0"/>
  </r>
  <r>
    <s v="EOS0382"/>
    <s v="21/07/2025"/>
    <s v="FB"/>
    <s v="| 𝐉𝐈𝐓𝐄𝐍𝐃𝐑𝐀 |"/>
    <s v="JunaDeesa"/>
    <s v="Gujarat"/>
    <x v="0"/>
    <s v="   1,07,000"/>
    <x v="0"/>
  </r>
  <r>
    <s v="EOS0383"/>
    <s v="21/07/2025"/>
    <s v="FB"/>
    <s v="Ram kumar"/>
    <s v="Ahmedabad"/>
    <s v="Gujarat"/>
    <x v="0"/>
    <s v="   1,07,000"/>
    <x v="0"/>
  </r>
  <r>
    <s v="EOS0384"/>
    <s v="21/07/2025"/>
    <s v="FB"/>
    <s v="Mihir Bapodra"/>
    <s v="Porbandar"/>
    <s v="Gujarat"/>
    <x v="0"/>
    <s v="   1,07,000"/>
    <x v="0"/>
  </r>
  <r>
    <s v="EOS0385"/>
    <s v="21/07/2025"/>
    <s v="FB"/>
    <s v="Riyaz"/>
    <s v="Kodinar"/>
    <s v="Gujarat"/>
    <x v="0"/>
    <s v="   1,07,000"/>
    <x v="0"/>
  </r>
  <r>
    <s v="EOS0386"/>
    <s v="21/07/2025"/>
    <s v="FB"/>
    <s v="Md rahim"/>
    <s v="varanasi"/>
    <s v="Uttar Pradesh"/>
    <x v="0"/>
    <s v="   1,07,000"/>
    <x v="0"/>
  </r>
  <r>
    <s v="EOS0387"/>
    <s v="21/07/2025"/>
    <s v="FB"/>
    <s v="Madhusudam sharma"/>
    <s v="Alwasa"/>
    <s v="Madhya Pradesh"/>
    <x v="0"/>
    <s v="   1,07,000"/>
    <x v="0"/>
  </r>
  <r>
    <s v="EOS0388"/>
    <s v="21/07/2025"/>
    <s v="FB"/>
    <s v="Rohit"/>
    <s v="Tejlav"/>
    <s v="Gujarat"/>
    <x v="0"/>
    <s v="   1,07,000"/>
    <x v="0"/>
  </r>
  <r>
    <s v="EOS0389"/>
    <s v="21/07/2025"/>
    <s v="FB"/>
    <s v="Khatri tejkaran Govardhanbhai"/>
    <s v="Surat"/>
    <s v="Gujarat"/>
    <x v="0"/>
    <s v="   1,07,000"/>
    <x v="0"/>
  </r>
  <r>
    <s v="EOS0390"/>
    <s v="21/07/2025"/>
    <s v="FB"/>
    <s v="Anil Kumar"/>
    <m/>
    <m/>
    <x v="0"/>
    <s v="   1,07,000"/>
    <x v="0"/>
  </r>
  <r>
    <s v="EOS0391"/>
    <s v="22/07/2025"/>
    <s v="FB"/>
    <s v="Ramniklal Gokaldas Vaghela"/>
    <s v="Baroda"/>
    <s v="Gujarat"/>
    <x v="0"/>
    <s v="   1,07,000"/>
    <x v="0"/>
  </r>
  <r>
    <s v="EOS0392"/>
    <s v="22/07/2025"/>
    <s v="FB"/>
    <s v="Pavan Gadhiya"/>
    <s v="Surat "/>
    <s v="Gujarat"/>
    <x v="0"/>
    <s v="   1,07,000"/>
    <x v="0"/>
  </r>
  <r>
    <s v="EOS0393"/>
    <s v="22/07/2025"/>
    <s v="FB"/>
    <s v="Nikhil"/>
    <s v="Rajkot"/>
    <s v="Gujarat"/>
    <x v="0"/>
    <s v="   1,07,000"/>
    <x v="0"/>
  </r>
  <r>
    <s v="EOS0394"/>
    <s v="22/07/2025"/>
    <s v="FB"/>
    <s v="Viral"/>
    <s v="Surat"/>
    <s v="Gujarat"/>
    <x v="0"/>
    <s v="   1,07,000"/>
    <x v="0"/>
  </r>
  <r>
    <s v="EOS0395"/>
    <s v="22/07/2025"/>
    <s v="FB"/>
    <s v="SAGARO_BHARVAD"/>
    <s v="Ahmedabad"/>
    <s v="Gujarat"/>
    <x v="0"/>
    <s v="   1,07,000"/>
    <x v="0"/>
  </r>
  <r>
    <s v="EOS0396"/>
    <s v="22/07/2025"/>
    <s v="FB"/>
    <s v="Aarya"/>
    <s v="Surat"/>
    <s v="Gujarat"/>
    <x v="0"/>
    <s v="   1,07,000"/>
    <x v="0"/>
  </r>
  <r>
    <s v="EOS0397"/>
    <s v="22/07/2025"/>
    <s v="FB"/>
    <s v="sorathiya sagar"/>
    <s v="Ankleshwar"/>
    <s v="Gujarat"/>
    <x v="0"/>
    <s v="   1,07,000"/>
    <x v="0"/>
  </r>
  <r>
    <s v="EOS0398"/>
    <s v="22/07/2025"/>
    <s v="FB"/>
    <s v="JAY BAROT"/>
    <s v="Modasa"/>
    <s v="Gujarat"/>
    <x v="0"/>
    <s v="   1,07,000"/>
    <x v="0"/>
  </r>
  <r>
    <s v="EOS0399"/>
    <s v="22/07/2025"/>
    <s v="FB"/>
    <s v="Bhushan Ramesh sonwane"/>
    <s v="Surat"/>
    <s v="Gujarat"/>
    <x v="0"/>
    <s v="   1,07,000"/>
    <x v="0"/>
  </r>
  <r>
    <s v="EOS0400"/>
    <s v="22/07/2025"/>
    <s v="FB"/>
    <s v="Jignesh Patel"/>
    <s v="Ahmedabad"/>
    <s v="Gujarat"/>
    <x v="0"/>
    <s v="   1,07,000"/>
    <x v="0"/>
  </r>
  <r>
    <s v="EOS0401"/>
    <s v="22/07/2025"/>
    <s v="FB"/>
    <s v="Adv Mo Akil"/>
    <s v="Dhandhuka"/>
    <s v="Gujarat"/>
    <x v="0"/>
    <s v="   1,07,000"/>
    <x v="0"/>
  </r>
  <r>
    <s v="EOS0402"/>
    <s v="22/07/2025"/>
    <s v="FB"/>
    <s v="Bindiya Sharma"/>
    <s v="Surat"/>
    <s v="Gujarat"/>
    <x v="0"/>
    <s v="   1,07,000"/>
    <x v="0"/>
  </r>
  <r>
    <s v="EOS0403"/>
    <s v="22/07/2025"/>
    <s v="FB"/>
    <s v="Trilok"/>
    <s v="Indore"/>
    <s v="Madhya Pradesh"/>
    <x v="0"/>
    <s v="   1,07,000"/>
    <x v="0"/>
  </r>
  <r>
    <s v="EOS0404"/>
    <s v="22/07/2025"/>
    <s v="FB"/>
    <s v="Ronak"/>
    <m/>
    <s v="Gujarat"/>
    <x v="0"/>
    <s v="   1,07,000"/>
    <x v="0"/>
  </r>
  <r>
    <s v="EOS0405"/>
    <s v="23/07/2025"/>
    <s v="FB"/>
    <s v="Vrundav Gamit"/>
    <s v="Vyara"/>
    <s v="Gujarat"/>
    <x v="0"/>
    <s v="   1,07,000"/>
    <x v="0"/>
  </r>
  <r>
    <s v="EOS0406"/>
    <s v="23/07/2025"/>
    <s v="FB"/>
    <s v="Solat Tejas"/>
    <s v="Vadodara"/>
    <s v="Gujarat"/>
    <x v="0"/>
    <s v="   1,07,000"/>
    <x v="0"/>
  </r>
  <r>
    <s v="EOS0407"/>
    <s v="23/07/2025"/>
    <s v="FB"/>
    <s v="Salim Madaam"/>
    <s v="Junagadh"/>
    <s v="Gujarat"/>
    <x v="0"/>
    <s v="   1,07,000"/>
    <x v="0"/>
  </r>
  <r>
    <s v="EOS0408"/>
    <s v="23/07/2025"/>
    <s v="FB"/>
    <s v="piyush Dave"/>
    <s v="Rajkot"/>
    <s v="Gujarat"/>
    <x v="0"/>
    <s v="   1,07,000"/>
    <x v="0"/>
  </r>
  <r>
    <s v="EOS0409"/>
    <s v="23/07/2025"/>
    <s v="FB"/>
    <s v="HK Ahir"/>
    <s v="Surat"/>
    <s v="Gujarat"/>
    <x v="0"/>
    <s v="   1,07,000"/>
    <x v="0"/>
  </r>
  <r>
    <s v="EOS0410"/>
    <s v="23/07/2025"/>
    <s v="FB"/>
    <s v="Ninama Purshottam"/>
    <s v="Limkheda"/>
    <s v="Gujarat"/>
    <x v="0"/>
    <s v="   1,07,000"/>
    <x v="26"/>
  </r>
  <r>
    <s v="EOS0411"/>
    <s v="23/07/2025"/>
    <s v="FB"/>
    <s v="Yuvraj Yuvraj"/>
    <s v="Mansa"/>
    <s v="Gujarat"/>
    <x v="0"/>
    <s v="   1,07,000"/>
    <x v="0"/>
  </r>
  <r>
    <s v="EOS0412"/>
    <s v="23/07/2025"/>
    <s v="FB"/>
    <s v="Nagabhai meramanbhai parmar"/>
    <s v="Junagadh"/>
    <s v="Gujarat"/>
    <x v="0"/>
    <s v="   1,07,000"/>
    <x v="27"/>
  </r>
  <r>
    <s v="EOS0413"/>
    <s v="23/07/2025"/>
    <s v="FB"/>
    <s v="Yogesh kidecha"/>
    <s v="Ahmedabad"/>
    <s v="Gujarat"/>
    <x v="0"/>
    <s v="   1,07,000"/>
    <x v="0"/>
  </r>
  <r>
    <s v="EOS0414"/>
    <s v="23/07/2025"/>
    <s v="FB"/>
    <s v="S.M.I.T.R.A.J"/>
    <s v="Surendranagar"/>
    <s v="Gujarat"/>
    <x v="0"/>
    <s v="   1,07,000"/>
    <x v="28"/>
  </r>
  <r>
    <s v="EOS0415"/>
    <s v="23/07/2025"/>
    <s v="FB"/>
    <s v="Rahul"/>
    <m/>
    <s v="Rajasthan"/>
    <x v="0"/>
    <s v="   1,07,000"/>
    <x v="0"/>
  </r>
  <r>
    <s v="EOS0416"/>
    <s v="23/07/2025"/>
    <s v="FB"/>
    <s v="Gopal das"/>
    <s v="ALIPURDUAR"/>
    <s v="West Bengal"/>
    <x v="0"/>
    <s v="   1,07,000"/>
    <x v="0"/>
  </r>
  <r>
    <s v="EOS0417"/>
    <s v="23/07/2025"/>
    <s v="FB"/>
    <s v="vikarm Singh"/>
    <s v="Ganganagar"/>
    <s v="Rajasthan"/>
    <x v="0"/>
    <s v="   1,07,000"/>
    <x v="0"/>
  </r>
  <r>
    <s v="EOS0418"/>
    <s v="24/07/2025"/>
    <s v="FB"/>
    <s v="Krishu Gauswami"/>
    <s v="Una"/>
    <s v="Gujarat"/>
    <x v="0"/>
    <s v="   1,07,000"/>
    <x v="29"/>
  </r>
  <r>
    <s v="EOS0419"/>
    <s v="28/07/2025"/>
    <s v="FB"/>
    <s v="Parmar Dipesh"/>
    <s v=" Bhavnagar"/>
    <s v="Gujarat"/>
    <x v="0"/>
    <s v="   1,07,000"/>
    <x v="24"/>
  </r>
  <r>
    <s v="EOS0420"/>
    <d v="2025-07-24T00:00:00"/>
    <s v="FB"/>
    <s v="Kvin Raghuvanshi"/>
    <s v="Rajkot"/>
    <s v="Gujarat"/>
    <x v="0"/>
    <s v="   1,07,000"/>
    <x v="0"/>
  </r>
  <r>
    <s v="EOS0421"/>
    <s v="24/07/2025"/>
    <s v="FB"/>
    <s v="Magnani Jitu"/>
    <s v="Surat"/>
    <s v="Gujarat"/>
    <x v="0"/>
    <s v="   1,07,000"/>
    <x v="0"/>
  </r>
  <r>
    <s v="EOS0422"/>
    <s v="24/07/2025"/>
    <s v="FB"/>
    <s v="Hasan"/>
    <s v="Una"/>
    <s v="Gujarat"/>
    <x v="0"/>
    <s v="   1,07,000"/>
    <x v="0"/>
  </r>
  <r>
    <s v="EOS0423"/>
    <s v="24/07/2025"/>
    <s v="FB"/>
    <s v="Shabir Barejiya"/>
    <s v="Visavadar"/>
    <s v="Gujarat"/>
    <x v="0"/>
    <s v="   1,07,000"/>
    <x v="30"/>
  </r>
  <r>
    <s v="EOS0424"/>
    <s v="24/07/2025"/>
    <s v="FB"/>
    <s v="Brijesh Vahan"/>
    <s v="Talala"/>
    <s v="Gujarat"/>
    <x v="0"/>
    <s v="   1,07,000"/>
    <x v="31"/>
  </r>
  <r>
    <s v="EOS0425"/>
    <s v="24/07/2025"/>
    <s v="FB"/>
    <s v="Makwana Viral"/>
    <s v="Jambusar"/>
    <s v="Gujarat"/>
    <x v="0"/>
    <s v="   1,07,000"/>
    <x v="32"/>
  </r>
  <r>
    <s v="EOS0426"/>
    <s v="24/07/2025"/>
    <s v="FB"/>
    <s v="Sunil dhangar"/>
    <s v="Bardoli"/>
    <s v="Gujarat"/>
    <x v="0"/>
    <s v="   1,07,000"/>
    <x v="0"/>
  </r>
  <r>
    <s v="EOS0427"/>
    <s v="24/07/2025"/>
    <s v="FB"/>
    <s v="Malataj Bagiwala"/>
    <s v="Anand"/>
    <s v="Gujarat"/>
    <x v="0"/>
    <s v="   1,07,000"/>
    <x v="24"/>
  </r>
  <r>
    <s v="EOS0428"/>
    <s v="24/07/2025"/>
    <s v="FB"/>
    <s v="Jatin dudharejiya"/>
    <s v="Junagadh"/>
    <s v="Gujarat"/>
    <x v="0"/>
    <s v="   1,07,000"/>
    <x v="31"/>
  </r>
  <r>
    <s v="EOS0429"/>
    <s v="24/07/2025"/>
    <s v="FB"/>
    <s v="Kishan Maru"/>
    <s v="Amreli"/>
    <s v="Gujarat"/>
    <x v="0"/>
    <s v="   1,07,000"/>
    <x v="24"/>
  </r>
  <r>
    <s v="EOS0430"/>
    <s v="24/07/2025"/>
    <s v="FB"/>
    <s v="Pratik"/>
    <s v="Porbandar"/>
    <s v="Gujarat"/>
    <x v="0"/>
    <s v="   1,07,000"/>
    <x v="33"/>
  </r>
  <r>
    <s v="EOS0431"/>
    <s v="24/07/2025"/>
    <s v="FB"/>
    <s v="PIYUSH"/>
    <s v="Navsari"/>
    <s v="Gujarat"/>
    <x v="2"/>
    <s v="   1,07,000"/>
    <x v="34"/>
  </r>
  <r>
    <s v="EOS0432"/>
    <s v="24/07/2025"/>
    <s v="FB"/>
    <s v="Kiran Parmar"/>
    <s v="Vadodara"/>
    <s v="Gujarat"/>
    <x v="0"/>
    <s v="   1,07,000"/>
    <x v="0"/>
  </r>
  <r>
    <s v="EOS0433"/>
    <s v="24/07/2025"/>
    <s v="WA"/>
    <s v="Mayur"/>
    <s v="Ratanpada"/>
    <s v="Gujarat"/>
    <x v="0"/>
    <s v="   1,07,000"/>
    <x v="0"/>
  </r>
  <r>
    <s v="EOS0434"/>
    <s v="25/07/2025"/>
    <s v="FB"/>
    <s v="Nazir Dhanani"/>
    <s v=" Bhavnagar"/>
    <s v="Gujarat"/>
    <x v="0"/>
    <s v="   1,07,000"/>
    <x v="0"/>
  </r>
  <r>
    <s v="EOS0435"/>
    <s v="25/07/2025"/>
    <s v="FB"/>
    <s v="dipraj"/>
    <s v="Surat"/>
    <s v="Gujarat"/>
    <x v="0"/>
    <s v="   1,07,000"/>
    <x v="24"/>
  </r>
  <r>
    <s v="EOS0436"/>
    <s v="25/07/2025"/>
    <s v="FB"/>
    <s v="Shaishav Kapadia"/>
    <s v="Surat"/>
    <s v="Gujarat"/>
    <x v="0"/>
    <s v="   1,07,000"/>
    <x v="31"/>
  </r>
  <r>
    <s v="EOS0437"/>
    <s v="25/07/2025"/>
    <s v="FB"/>
    <s v="Rushil Patel"/>
    <s v="Junagadh"/>
    <s v="Gujarat"/>
    <x v="0"/>
    <s v="   1,07,000"/>
    <x v="0"/>
  </r>
  <r>
    <s v="EOS0438"/>
    <s v="25/07/2025"/>
    <s v="FB"/>
    <s v="Nirmit Patel"/>
    <s v="Vadodara"/>
    <s v="Gujarat"/>
    <x v="0"/>
    <s v="   1,07,000"/>
    <x v="0"/>
  </r>
  <r>
    <s v="EOS0439"/>
    <s v="25/07/2025"/>
    <s v="FB"/>
    <s v="Dhranga Rajdeep"/>
    <s v="Rajkot"/>
    <s v="Gujarat"/>
    <x v="0"/>
    <s v="   1,07,000"/>
    <x v="35"/>
  </r>
  <r>
    <s v="EOS0440"/>
    <s v="25/07/2025"/>
    <s v="FB"/>
    <s v="ᴀꜱʜɪꜱʜ_ᴍɪꜱᴛʀy"/>
    <s v="Palitana"/>
    <s v="Gujarat"/>
    <x v="0"/>
    <s v="   1,07,000"/>
    <x v="36"/>
  </r>
  <r>
    <s v="EOS0441"/>
    <s v="25/07/2025"/>
    <s v="FB"/>
    <s v="PRÃKÅSH RĀVÄL"/>
    <s v="Ahmedabad"/>
    <s v="Gujarat"/>
    <x v="0"/>
    <s v="   1,07,000"/>
    <x v="0"/>
  </r>
  <r>
    <s v="EOS0442"/>
    <s v="25/07/2025"/>
    <s v="FB"/>
    <s v="Dharmesh"/>
    <s v="Rajkot"/>
    <s v="Gujarat"/>
    <x v="0"/>
    <s v="   1,07,000"/>
    <x v="0"/>
  </r>
  <r>
    <s v="EOS0443"/>
    <s v="25/07/2025"/>
    <s v="FB"/>
    <s v="Jay Mali"/>
    <s v="Deesa"/>
    <s v="Gujarat"/>
    <x v="0"/>
    <s v="   1,07,000"/>
    <x v="0"/>
  </r>
  <r>
    <s v="EOS0444"/>
    <s v="25/07/2025"/>
    <s v="FB"/>
    <s v="Parmar Vivek"/>
    <s v="Surat"/>
    <s v="Gujarat"/>
    <x v="0"/>
    <s v="   1,07,000"/>
    <x v="0"/>
  </r>
  <r>
    <s v="EOS0445"/>
    <s v="26/07/2025"/>
    <s v="FB"/>
    <s v="Ramsinh Zala"/>
    <s v="Gandhinagar"/>
    <s v="Gujarat"/>
    <x v="0"/>
    <s v="   1,07,000"/>
    <x v="0"/>
  </r>
  <r>
    <s v="EOS0446"/>
    <s v="26/07/2025"/>
    <s v="FB"/>
    <s v="Mustufa Mansuri"/>
    <s v="Gandhinagar"/>
    <s v="Gujarat"/>
    <x v="0"/>
    <s v="   1,07,000"/>
    <x v="0"/>
  </r>
  <r>
    <s v="EOS0447"/>
    <s v="26/07/2025"/>
    <s v="FB"/>
    <s v="Abhijitt solanki"/>
    <s v="Dharampur"/>
    <s v="Gujarat"/>
    <x v="0"/>
    <s v="   1,07,000"/>
    <x v="31"/>
  </r>
  <r>
    <s v="EOS0448"/>
    <s v="26/07/2025"/>
    <s v="FB"/>
    <s v="Patel Ravi"/>
    <s v="surat"/>
    <s v="Gujarat"/>
    <x v="0"/>
    <s v="   1,07,000"/>
    <x v="0"/>
  </r>
  <r>
    <s v="EOS0449"/>
    <s v="26/07/2025"/>
    <s v="FB"/>
    <s v="sam"/>
    <s v="surat"/>
    <s v="Gujarat"/>
    <x v="0"/>
    <s v="   1,07,000"/>
    <x v="37"/>
  </r>
  <r>
    <s v="EOS0450"/>
    <s v="26/07/2025"/>
    <s v="FB"/>
    <s v="Soyab Pathan"/>
    <s v="Kodinar"/>
    <s v="Gujarat"/>
    <x v="0"/>
    <s v="   1,07,000"/>
    <x v="38"/>
  </r>
  <r>
    <s v="EOS0451"/>
    <s v="26/07/2025"/>
    <s v="FB"/>
    <s v="prince"/>
    <s v="Ahmedabad"/>
    <s v="Gujarat"/>
    <x v="0"/>
    <s v="   1,07,000"/>
    <x v="39"/>
  </r>
  <r>
    <s v="EOS0452"/>
    <s v="26/07/2025"/>
    <s v="FB"/>
    <s v="DISHANT DARJI"/>
    <s v="Mehsana"/>
    <s v="Gujarat"/>
    <x v="0"/>
    <s v="   1,07,000"/>
    <x v="40"/>
  </r>
  <r>
    <s v="EOS0453"/>
    <s v="26/07/2025"/>
    <s v="FB"/>
    <s v="Uravish Chudasama"/>
    <s v="Surat"/>
    <s v="Gujarat"/>
    <x v="0"/>
    <s v="   1,07,000"/>
    <x v="41"/>
  </r>
  <r>
    <s v="EOS0454"/>
    <s v="26/07/2025"/>
    <s v="WA"/>
    <s v="Avdhesh Singh"/>
    <s v="Deodar"/>
    <s v="Rajasthan"/>
    <x v="0"/>
    <s v="   1,07,000"/>
    <x v="42"/>
  </r>
  <r>
    <s v="EOS0455"/>
    <s v="26/07/2025"/>
    <s v="WA"/>
    <s v="Chudasama URVISH"/>
    <s v="Surat"/>
    <s v="Gujarat"/>
    <x v="0"/>
    <s v="   1,07,000"/>
    <x v="42"/>
  </r>
  <r>
    <s v="EOS0456"/>
    <s v="27/07/2025"/>
    <s v="WA"/>
    <s v="RATHOD RANJITSINH SHANABHAI"/>
    <s v="Vadodara"/>
    <s v="Gujarat"/>
    <x v="0"/>
    <s v="   1,07,000"/>
    <x v="43"/>
  </r>
  <r>
    <s v="EOS0457"/>
    <s v="27/07/2025"/>
    <s v="WA"/>
    <s v="Patel Umang"/>
    <s v="Bilasiya"/>
    <s v="Gujarat"/>
    <x v="0"/>
    <s v="   1,07,000"/>
    <x v="0"/>
  </r>
  <r>
    <s v="EOS0458"/>
    <s v="27/07/2025"/>
    <s v="WA"/>
    <s v="ABUKHIZAR Ansari"/>
    <s v="Ahmedabad"/>
    <s v="Gujarat"/>
    <x v="0"/>
    <s v="   1,07,000"/>
    <x v="0"/>
  </r>
  <r>
    <s v="EOS0459"/>
    <s v="28/07/2025"/>
    <s v="FB"/>
    <s v="Ravi Pandre"/>
    <s v="Silvassa"/>
    <s v="Gujarat"/>
    <x v="0"/>
    <s v="   1,07,000"/>
    <x v="0"/>
  </r>
  <r>
    <s v="EOS0460"/>
    <s v="28/07/2025"/>
    <s v="FB"/>
    <s v="Divu"/>
    <s v="Amreli"/>
    <s v="Gujarat"/>
    <x v="0"/>
    <s v="   1,07,000"/>
    <x v="44"/>
  </r>
  <r>
    <s v="EOS0461"/>
    <s v="28/07/2025"/>
    <s v="FB"/>
    <s v="kirti Raj"/>
    <s v="Surat"/>
    <s v="Gujarat"/>
    <x v="0"/>
    <s v="   1,07,000"/>
    <x v="0"/>
  </r>
  <r>
    <s v="EOS0462"/>
    <s v="28/07/2025"/>
    <s v="FB"/>
    <s v="Mr_Yogesh Senghani"/>
    <s v="Ahmedabad"/>
    <s v="Gujarat"/>
    <x v="0"/>
    <s v="   1,07,000"/>
    <x v="45"/>
  </r>
  <r>
    <s v="EOS0463"/>
    <s v="28/07/2025"/>
    <s v="FB"/>
    <s v="Jeetubhai"/>
    <s v="Dhanera"/>
    <s v="Gujarat"/>
    <x v="0"/>
    <s v="   1,07,000"/>
    <x v="46"/>
  </r>
  <r>
    <s v="EOS0464"/>
    <s v="28/07/2025"/>
    <s v="FB"/>
    <s v="Alfaz Barkat"/>
    <s v="Keshod"/>
    <s v="Gujarat"/>
    <x v="0"/>
    <s v="   1,07,000"/>
    <x v="0"/>
  </r>
  <r>
    <s v="EOS0465"/>
    <s v="28/07/2025"/>
    <s v="FB"/>
    <s v="Rutu Patel"/>
    <s v="Ahmedabad"/>
    <s v="Gujarat"/>
    <x v="0"/>
    <s v="   1,07,000"/>
    <x v="0"/>
  </r>
  <r>
    <s v="EOS0466"/>
    <s v="28/07/2025"/>
    <s v="WA"/>
    <s v="Amit"/>
    <s v="Godhra"/>
    <s v="Gujarat"/>
    <x v="0"/>
    <s v="   1,07,000"/>
    <x v="0"/>
  </r>
  <r>
    <s v="EOS0467"/>
    <s v="29/07/2025"/>
    <s v="WA"/>
    <s v="Lalit Kumar Goyal"/>
    <m/>
    <s v="Gujarat"/>
    <x v="0"/>
    <s v="   1,07,000"/>
    <x v="47"/>
  </r>
  <r>
    <s v="EOS0468"/>
    <s v="29/07/2025"/>
    <s v="WA"/>
    <s v="Soaeb malek"/>
    <m/>
    <s v="Maharastra"/>
    <x v="0"/>
    <s v="   1,07,000"/>
    <x v="0"/>
  </r>
  <r>
    <s v="EOS0469"/>
    <s v="30/07/2025"/>
    <s v="FB"/>
    <s v="Dharmesh poptani"/>
    <s v="Amreli"/>
    <s v="Gujarat"/>
    <x v="0"/>
    <s v="   1,07,000"/>
    <x v="31"/>
  </r>
  <r>
    <s v="EOS0470"/>
    <s v="30/07/2025"/>
    <s v="FB"/>
    <s v="Dave Milan Dave"/>
    <s v="Ahmedabad"/>
    <s v="Gujarat"/>
    <x v="0"/>
    <s v="   1,07,000"/>
    <x v="48"/>
  </r>
  <r>
    <s v="EOS0471"/>
    <s v="30/07/2025"/>
    <s v="FB"/>
    <s v="𝕄𝕣. 𝔸𝕝𝕚 𝔻𝕖𝕝𝕒 علي"/>
    <s v="Rajkot"/>
    <s v="Gujarat"/>
    <x v="0"/>
    <s v="   1,07,000"/>
    <x v="0"/>
  </r>
  <r>
    <s v="EOS0472"/>
    <s v="30/07/2025"/>
    <s v="FB"/>
    <s v="Ritesh Patel"/>
    <s v="Ahmedabad"/>
    <s v="Gujarat"/>
    <x v="0"/>
    <s v="   1,07,000"/>
    <x v="0"/>
  </r>
  <r>
    <s v="EOS0473"/>
    <s v="30/07/2025"/>
    <s v="FB"/>
    <s v="Bhanu Bharwad"/>
    <s v="Surat"/>
    <s v="Gujarat"/>
    <x v="0"/>
    <s v="   1,07,000"/>
    <x v="0"/>
  </r>
  <r>
    <s v="EOS0474"/>
    <s v="30/07/2025"/>
    <s v="FB"/>
    <s v="Rahul"/>
    <s v="Halvad"/>
    <s v="Gujarat"/>
    <x v="0"/>
    <s v="   1,07,000"/>
    <x v="49"/>
  </r>
  <r>
    <s v="EOS0475"/>
    <s v="30/07/2025"/>
    <s v="WA"/>
    <s v="Prakash J Rathva"/>
    <s v="Vadodara"/>
    <s v="Gujarat"/>
    <x v="0"/>
    <s v="   1,07,000"/>
    <x v="0"/>
  </r>
  <r>
    <s v="EOS0476"/>
    <s v="30/07/2025"/>
    <s v="WA"/>
    <s v="arati tigga"/>
    <s v="Rourkela"/>
    <s v="Odisha"/>
    <x v="0"/>
    <s v="   1,07,000"/>
    <x v="24"/>
  </r>
  <r>
    <s v="EOS0477"/>
    <s v="31/07/2025"/>
    <s v="FB"/>
    <s v="Nikunj Niks Patel"/>
    <s v="Ahmedabad"/>
    <s v="Gujarat"/>
    <x v="0"/>
    <s v="   1,07,000"/>
    <x v="0"/>
  </r>
  <r>
    <s v="EOS0478"/>
    <s v="31/07/2025"/>
    <s v="WA"/>
    <s v="Shenva Dhaval"/>
    <s v="Navagam"/>
    <s v="Gujarat"/>
    <x v="0"/>
    <s v="   1,07,000"/>
    <x v="0"/>
  </r>
  <r>
    <s v="EOS0479"/>
    <s v="31/07/2025"/>
    <s v="WA"/>
    <s v="Ajay"/>
    <m/>
    <s v="Gujarat"/>
    <x v="0"/>
    <s v="   1,07,000"/>
    <x v="50"/>
  </r>
  <r>
    <s v="EOS0480"/>
    <d v="2025-08-01T00:00:00"/>
    <s v="WA"/>
    <s v="Deepak Vaishnav"/>
    <s v="korba"/>
    <s v="Chattisgarh"/>
    <x v="0"/>
    <s v="   1,07,000"/>
    <x v="51"/>
  </r>
  <r>
    <s v="EOS0481"/>
    <d v="2025-08-04T00:00:00"/>
    <s v="WA"/>
    <s v="Adarsh Darji "/>
    <m/>
    <s v="Gujarat"/>
    <x v="0"/>
    <s v="   1,29,000"/>
    <x v="24"/>
  </r>
  <r>
    <s v="EOS0482"/>
    <d v="2025-08-04T00:00:00"/>
    <s v="WA"/>
    <s v="Asif"/>
    <m/>
    <s v="Rajasthan"/>
    <x v="0"/>
    <s v="   1,07,000"/>
    <x v="42"/>
  </r>
  <r>
    <s v="EOS0483"/>
    <d v="2025-08-05T00:00:00"/>
    <s v="WA"/>
    <s v="Prince Joseph Kalacherry"/>
    <s v="Thane "/>
    <s v="Maharashtra"/>
    <x v="0"/>
    <s v="   1,07,000"/>
    <x v="52"/>
  </r>
  <r>
    <s v="EOS0484"/>
    <d v="2025-08-06T00:00:00"/>
    <s v="FB"/>
    <s v="JOSHI"/>
    <m/>
    <s v="Gujarat"/>
    <x v="0"/>
    <s v="   1,07,000"/>
    <x v="0"/>
  </r>
  <r>
    <s v="EOS0485"/>
    <d v="2025-08-06T00:00:00"/>
    <s v="FB"/>
    <s v="Rahul Zinzuvadiya"/>
    <s v="Kalavad"/>
    <s v="Gujarat"/>
    <x v="0"/>
    <s v="   1,07,000"/>
    <x v="0"/>
  </r>
  <r>
    <s v="EOS0486"/>
    <d v="2025-08-06T00:00:00"/>
    <s v="FB"/>
    <s v="Nileshkumar Prajapati"/>
    <s v="Viramgam"/>
    <s v="Gujarat"/>
    <x v="0"/>
    <s v="   1,07,000"/>
    <x v="0"/>
  </r>
  <r>
    <s v="EOS0487"/>
    <d v="2025-08-06T00:00:00"/>
    <s v="FB"/>
    <s v="_chin jamanpuriya"/>
    <s v="patan"/>
    <s v="Gujarat"/>
    <x v="0"/>
    <s v="   1,07,000"/>
    <x v="0"/>
  </r>
  <r>
    <s v="EOS0488"/>
    <d v="2025-08-06T00:00:00"/>
    <s v="FB"/>
    <s v="Mayank  Patel"/>
    <s v="Kalol"/>
    <s v="Gujarat"/>
    <x v="0"/>
    <s v="   1,07,000"/>
    <x v="0"/>
  </r>
  <r>
    <s v="EOS0489"/>
    <d v="2025-08-06T00:00:00"/>
    <s v="FB"/>
    <s v="Gaurav pawar"/>
    <s v="Surat"/>
    <s v="Gujarat"/>
    <x v="0"/>
    <s v="   1,07,000"/>
    <x v="24"/>
  </r>
  <r>
    <s v="EOS0490"/>
    <d v="2025-08-06T00:00:00"/>
    <s v="WA"/>
    <s v="MOHMMED TAUKIR"/>
    <m/>
    <s v="Gujarat"/>
    <x v="0"/>
    <s v="   1,07,000"/>
    <x v="0"/>
  </r>
  <r>
    <s v="EOS0491"/>
    <d v="2025-08-06T00:00:00"/>
    <s v="WA"/>
    <s v="Shaikh azazahemad mahmmadyunus"/>
    <m/>
    <s v="Gujarat"/>
    <x v="0"/>
    <s v="   1,07,000"/>
    <x v="49"/>
  </r>
  <r>
    <s v="EOS0492"/>
    <d v="2025-08-06T00:00:00"/>
    <s v="WA"/>
    <s v="Bhatiya Rameshbhai nathabhai"/>
    <s v="Palanpur"/>
    <s v="Gujarat"/>
    <x v="2"/>
    <s v="   1,07,000"/>
    <x v="53"/>
  </r>
  <r>
    <s v="EOS0493"/>
    <d v="2025-08-06T00:00:00"/>
    <s v="WA"/>
    <s v="MANDHARA SAHIL SALEMAN"/>
    <m/>
    <s v="Gujarat"/>
    <x v="0"/>
    <s v="   1,07,000"/>
    <x v="0"/>
  </r>
  <r>
    <s v="EOS0494"/>
    <d v="2025-08-07T00:00:00"/>
    <s v="FB"/>
    <s v="Viral Patel"/>
    <s v="VALSAD"/>
    <s v="Gujarat"/>
    <x v="0"/>
    <s v="   1,07,000"/>
    <x v="0"/>
  </r>
  <r>
    <s v="EOS0495"/>
    <d v="2025-08-07T00:00:00"/>
    <s v="FB"/>
    <s v="Vinay Parmar"/>
    <s v="Anand"/>
    <s v="Gujarat"/>
    <x v="0"/>
    <s v="   1,07,000"/>
    <x v="0"/>
  </r>
  <r>
    <s v="EOS0496"/>
    <d v="2025-08-07T00:00:00"/>
    <s v="FB"/>
    <s v="Sunil Dalvani"/>
    <s v="Jamnagar"/>
    <s v="Gujarat"/>
    <x v="0"/>
    <s v="   1,07,000"/>
    <x v="0"/>
  </r>
  <r>
    <s v="EOS0497"/>
    <d v="2025-08-07T00:00:00"/>
    <s v="FB"/>
    <s v="Teju"/>
    <m/>
    <s v="Gujarat"/>
    <x v="0"/>
    <s v="   1,07,000"/>
    <x v="0"/>
  </r>
  <r>
    <s v="EOS0498"/>
    <d v="2025-08-07T00:00:00"/>
    <s v="FB"/>
    <s v="Mushtaq kapadia"/>
    <s v="Surat "/>
    <s v="Gujarat"/>
    <x v="0"/>
    <s v="   1,07,000"/>
    <x v="54"/>
  </r>
  <r>
    <s v="EOS0499"/>
    <d v="2025-08-07T00:00:00"/>
    <s v="FB"/>
    <s v="Dilip Thakor"/>
    <s v="Kadol"/>
    <s v="Gujarat"/>
    <x v="0"/>
    <s v="   1,07,000"/>
    <x v="0"/>
  </r>
  <r>
    <s v="EOS0500"/>
    <d v="2025-08-07T00:00:00"/>
    <s v="FB"/>
    <s v="Sagar Vasava"/>
    <s v="uchaal "/>
    <s v="Gujarat"/>
    <x v="0"/>
    <s v="   1,07,000"/>
    <x v="55"/>
  </r>
  <r>
    <s v="EOS0501"/>
    <d v="2025-08-07T00:00:00"/>
    <s v="FB"/>
    <s v="Ajay Sinhar"/>
    <s v="Vadodara"/>
    <s v="Gujarat"/>
    <x v="0"/>
    <s v="   1,07,000"/>
    <x v="24"/>
  </r>
  <r>
    <s v="EOS0502"/>
    <d v="2025-08-07T00:00:00"/>
    <s v="FB"/>
    <s v="Dharmagna Acharya"/>
    <s v="Jamnagar"/>
    <s v="Gujarat"/>
    <x v="0"/>
    <s v="   1,07,000"/>
    <x v="24"/>
  </r>
  <r>
    <s v="EOS0503"/>
    <d v="2025-08-07T00:00:00"/>
    <s v="FB"/>
    <s v="Fenil"/>
    <s v="Surat"/>
    <s v="Gujarat"/>
    <x v="0"/>
    <s v="   1,07,000"/>
    <x v="24"/>
  </r>
  <r>
    <s v="EOS0504"/>
    <d v="2025-08-08T00:00:00"/>
    <s v="FB"/>
    <s v="Devaraj Bharaj"/>
    <s v="Upetla "/>
    <s v="Gujarat"/>
    <x v="0"/>
    <s v="   1,07,000"/>
    <x v="0"/>
  </r>
  <r>
    <s v="EOS0505"/>
    <d v="2025-08-08T00:00:00"/>
    <s v="FB"/>
    <s v="Ahir Sagar Bhopala"/>
    <m/>
    <s v="Gujarat"/>
    <x v="0"/>
    <s v="   1,07,000"/>
    <x v="0"/>
  </r>
  <r>
    <s v="EOS0506"/>
    <d v="2025-08-08T00:00:00"/>
    <s v="FB"/>
    <s v="Sheikh Adnan"/>
    <m/>
    <s v="Gujarat"/>
    <x v="0"/>
    <s v="   1,07,000"/>
    <x v="56"/>
  </r>
  <r>
    <s v="EOS0507"/>
    <d v="2025-08-08T00:00:00"/>
    <s v="FB"/>
    <s v="Kishor"/>
    <m/>
    <s v="Gujarat"/>
    <x v="0"/>
    <s v="   1,07,000"/>
    <x v="0"/>
  </r>
  <r>
    <s v="EOS0508"/>
    <d v="2025-08-08T00:00:00"/>
    <s v="FB"/>
    <s v="parmarnikhil"/>
    <m/>
    <s v="Gujarat"/>
    <x v="0"/>
    <s v="   1,07,000"/>
    <x v="0"/>
  </r>
  <r>
    <s v="EOS0509"/>
    <d v="2025-08-08T00:00:00"/>
    <s v="FB"/>
    <s v="Bhavik Chauhan"/>
    <m/>
    <s v="Gujarat"/>
    <x v="0"/>
    <s v="   1,07,000"/>
    <x v="0"/>
  </r>
  <r>
    <s v="EOS0510"/>
    <d v="2025-08-08T00:00:00"/>
    <s v="FB"/>
    <s v="Rahul parmar"/>
    <m/>
    <s v="Gujarat"/>
    <x v="0"/>
    <s v="   1,07,000"/>
    <x v="0"/>
  </r>
  <r>
    <s v="EOS0511"/>
    <d v="2025-08-08T00:00:00"/>
    <s v="FB"/>
    <s v="Ankit Patel"/>
    <m/>
    <s v="Gujarat"/>
    <x v="0"/>
    <s v="   1,07,000"/>
    <x v="49"/>
  </r>
  <r>
    <s v="EOS0512"/>
    <d v="2025-08-08T00:00:00"/>
    <s v="FB"/>
    <s v="Taliya Harun"/>
    <m/>
    <s v="Gujarat"/>
    <x v="0"/>
    <s v="   1,07,000"/>
    <x v="0"/>
  </r>
  <r>
    <s v="EOS0513"/>
    <d v="2025-08-08T00:00:00"/>
    <s v="FB"/>
    <s v="Akshay Thakor"/>
    <m/>
    <s v="Gujarat"/>
    <x v="0"/>
    <s v="   1,07,000"/>
    <x v="57"/>
  </r>
  <r>
    <s v="EOS0514"/>
    <d v="2025-08-08T00:00:00"/>
    <s v="WA"/>
    <s v="Akshay patanvadiya"/>
    <m/>
    <s v="Gujarat"/>
    <x v="0"/>
    <s v="   1,07,000"/>
    <x v="0"/>
  </r>
  <r>
    <s v="EOS0515"/>
    <d v="2025-08-09T00:00:00"/>
    <s v="FB"/>
    <s v="D@shrath_D@bhi_!"/>
    <m/>
    <s v="Gujarat"/>
    <x v="0"/>
    <s v="   1,07,000"/>
    <x v="0"/>
  </r>
  <r>
    <s v="EOS0516"/>
    <d v="2025-08-09T00:00:00"/>
    <s v="FB"/>
    <s v="SOHIL"/>
    <m/>
    <s v="Gujarat"/>
    <x v="0"/>
    <s v="   1,07,000"/>
    <x v="58"/>
  </r>
  <r>
    <s v="EOS0517"/>
    <d v="2025-08-09T00:00:00"/>
    <s v="FB"/>
    <s v="Juned Andhi"/>
    <m/>
    <s v="Gujarat"/>
    <x v="0"/>
    <s v="   1,07,000"/>
    <x v="0"/>
  </r>
  <r>
    <s v="EOS0518"/>
    <d v="2025-08-09T00:00:00"/>
    <s v="FB"/>
    <s v="mahendrajit"/>
    <m/>
    <s v="Gujarat"/>
    <x v="0"/>
    <s v="   1,07,000"/>
    <x v="59"/>
  </r>
  <r>
    <s v="EOS0519"/>
    <d v="2025-08-09T00:00:00"/>
    <s v="FB"/>
    <s v="Naren Rajput"/>
    <m/>
    <s v="Gujarat"/>
    <x v="0"/>
    <s v="   1,07,000"/>
    <x v="60"/>
  </r>
  <r>
    <s v="EOS0520"/>
    <d v="2025-08-09T00:00:00"/>
    <s v="FB"/>
    <s v="Mangalu Lakhnotran"/>
    <m/>
    <s v="Gujarat"/>
    <x v="0"/>
    <s v="   1,07,000"/>
    <x v="61"/>
  </r>
  <r>
    <s v="EOS0521"/>
    <d v="2025-08-09T00:00:00"/>
    <s v="FB"/>
    <s v="Pulkit Pathak"/>
    <m/>
    <s v="Gujarat"/>
    <x v="0"/>
    <s v="   1,07,000"/>
    <x v="62"/>
  </r>
  <r>
    <s v="EOS0522"/>
    <d v="2025-08-09T00:00:00"/>
    <s v="FB"/>
    <s v="Nirav Upadhyay"/>
    <m/>
    <s v="Gujarat"/>
    <x v="0"/>
    <s v="   1,29,000"/>
    <x v="24"/>
  </r>
  <r>
    <s v="EOS0523"/>
    <d v="2025-08-09T00:00:00"/>
    <s v="FB"/>
    <s v="Hitesh Chandegara"/>
    <m/>
    <s v="Gujarat"/>
    <x v="0"/>
    <s v="   1,07,000"/>
    <x v="63"/>
  </r>
  <r>
    <s v="EOS0524"/>
    <d v="2025-08-09T00:00:00"/>
    <s v="FB"/>
    <s v="Bikash"/>
    <m/>
    <s v="Gujarat"/>
    <x v="0"/>
    <s v="   1,07,000"/>
    <x v="0"/>
  </r>
  <r>
    <s v="EOS0525"/>
    <d v="2025-08-11T00:00:00"/>
    <s v="FB"/>
    <s v="Shah Varnit"/>
    <m/>
    <s v="Gujarat"/>
    <x v="0"/>
    <s v="   1,07,000"/>
    <x v="0"/>
  </r>
  <r>
    <s v="EOS0526"/>
    <d v="2025-08-11T00:00:00"/>
    <s v="FB"/>
    <s v="Minapara Akram"/>
    <m/>
    <s v="Gujarat"/>
    <x v="0"/>
    <s v="   1,07,000"/>
    <x v="0"/>
  </r>
  <r>
    <s v="EOS0527"/>
    <d v="2025-08-11T00:00:00"/>
    <s v="FB"/>
    <s v="Anil"/>
    <m/>
    <s v="Gujarat"/>
    <x v="0"/>
    <s v="   1,29,000"/>
    <x v="24"/>
  </r>
  <r>
    <s v="EOS0528"/>
    <d v="2025-08-11T00:00:00"/>
    <s v="FB"/>
    <s v="Paawan Namkeen"/>
    <m/>
    <s v="Gujarat"/>
    <x v="0"/>
    <s v="   1,07,000"/>
    <x v="24"/>
  </r>
  <r>
    <s v="EOS0529"/>
    <d v="2025-08-11T00:00:00"/>
    <s v="FB"/>
    <s v="YAsh Shah"/>
    <m/>
    <s v="Gujarat"/>
    <x v="0"/>
    <s v="   1,07,000"/>
    <x v="0"/>
  </r>
  <r>
    <s v="EOS0530"/>
    <d v="2025-08-11T00:00:00"/>
    <s v="FB"/>
    <s v="Hasmukh Trambadiya"/>
    <s v="Palanpur"/>
    <s v="Gujarat"/>
    <x v="0"/>
    <s v="   1,07,000"/>
    <x v="0"/>
  </r>
  <r>
    <s v="EOS0531"/>
    <d v="2025-08-11T00:00:00"/>
    <s v="FB"/>
    <s v="Sharma Bharat"/>
    <m/>
    <s v="Gujarat"/>
    <x v="0"/>
    <s v="   1,07,000"/>
    <x v="24"/>
  </r>
  <r>
    <s v="EOS0532"/>
    <d v="2025-08-11T00:00:00"/>
    <s v="FB"/>
    <s v="Manoj Biswal"/>
    <s v="Surat"/>
    <s v="Gujarat"/>
    <x v="0"/>
    <s v="   1,07,000"/>
    <x v="64"/>
  </r>
  <r>
    <s v="EOS0533"/>
    <d v="2025-08-11T00:00:00"/>
    <s v="FB"/>
    <s v="A. k. khedut mol"/>
    <m/>
    <s v="Gujarat"/>
    <x v="0"/>
    <s v="   1,07,000"/>
    <x v="24"/>
  </r>
  <r>
    <s v="EOS0534"/>
    <d v="2025-08-11T00:00:00"/>
    <s v="FB"/>
    <s v="SOHIL BABARIYA"/>
    <s v="Ahmedabad"/>
    <s v="Gujarat"/>
    <x v="0"/>
    <s v="   1,07,000"/>
    <x v="65"/>
  </r>
  <r>
    <s v="EOS0535"/>
    <d v="2025-08-11T00:00:00"/>
    <s v="FB"/>
    <s v="AZEEM SHAIKH"/>
    <m/>
    <s v="Gujarat"/>
    <x v="0"/>
    <s v="   1,07,000"/>
    <x v="66"/>
  </r>
  <r>
    <s v="EOS0536"/>
    <d v="2025-08-11T00:00:00"/>
    <s v="WA"/>
    <s v="Shanu mehta"/>
    <m/>
    <s v="Gujarat"/>
    <x v="0"/>
    <s v="   1,07,000"/>
    <x v="66"/>
  </r>
  <r>
    <s v="EOS0537"/>
    <d v="2025-08-11T00:00:00"/>
    <s v="WA"/>
    <s v="Panchal smit hareshbhai"/>
    <m/>
    <s v="Gujarat"/>
    <x v="0"/>
    <s v="   1,07,000"/>
    <x v="65"/>
  </r>
  <r>
    <s v="EOS0538"/>
    <d v="2025-08-12T00:00:00"/>
    <s v="FB"/>
    <s v="Jayanti gar g goswami"/>
    <m/>
    <s v="Gujarat"/>
    <x v="0"/>
    <s v="   1,07,000"/>
    <x v="31"/>
  </r>
  <r>
    <s v="EOS0539"/>
    <d v="2025-08-12T00:00:00"/>
    <s v="FB"/>
    <s v="Jack Barry"/>
    <s v="Vyara"/>
    <s v="Gujarat"/>
    <x v="0"/>
    <s v="   1,07,000"/>
    <x v="67"/>
  </r>
  <r>
    <s v="EOS0540"/>
    <d v="2025-08-12T00:00:00"/>
    <s v="FB"/>
    <s v="Sagar Shrimali"/>
    <m/>
    <s v="Gujarat"/>
    <x v="0"/>
    <s v="   1,07,000"/>
    <x v="66"/>
  </r>
  <r>
    <s v="EOS0541"/>
    <d v="2025-08-12T00:00:00"/>
    <s v="FB"/>
    <s v="Ramesh Parmar"/>
    <m/>
    <s v="Gujarat"/>
    <x v="0"/>
    <s v="   1,07,000"/>
    <x v="0"/>
  </r>
  <r>
    <s v="EOS0542"/>
    <d v="2025-08-12T00:00:00"/>
    <s v="FB"/>
    <s v="kalpesh parmar"/>
    <m/>
    <s v="Gujarat"/>
    <x v="0"/>
    <s v="   1,07,000"/>
    <x v="0"/>
  </r>
  <r>
    <s v="EOS0543"/>
    <d v="2025-08-12T00:00:00"/>
    <s v="WA"/>
    <s v="shilpa Alpesh Shah"/>
    <m/>
    <s v="Gujarat"/>
    <x v="0"/>
    <s v="   1,07,000"/>
    <x v="24"/>
  </r>
  <r>
    <s v="EOS0544"/>
    <d v="2025-08-12T00:00:00"/>
    <s v="WA"/>
    <s v="Yogesh parmar"/>
    <m/>
    <s v="Gujarat"/>
    <x v="0"/>
    <s v="   1,07,000"/>
    <x v="0"/>
  </r>
  <r>
    <s v="EOS0545"/>
    <d v="2025-08-13T00:00:00"/>
    <s v="FB"/>
    <s v="Shish kamali"/>
    <s v="godhra"/>
    <s v="Gujarat"/>
    <x v="0"/>
    <s v="   1,07,000"/>
    <x v="0"/>
  </r>
  <r>
    <s v="EOS0546"/>
    <d v="2025-08-13T00:00:00"/>
    <s v="FB"/>
    <s v="Moin"/>
    <m/>
    <s v="Gujarat"/>
    <x v="0"/>
    <s v="   1,07,000"/>
    <x v="0"/>
  </r>
  <r>
    <s v="EOS0547"/>
    <d v="2025-08-13T00:00:00"/>
    <s v="FB"/>
    <s v="Na"/>
    <m/>
    <s v="Gujarat"/>
    <x v="0"/>
    <s v="   1,07,000"/>
    <x v="24"/>
  </r>
  <r>
    <s v="EOS0548"/>
    <d v="2025-08-13T00:00:00"/>
    <s v="FB"/>
    <s v="Paresh Suthar"/>
    <m/>
    <s v="Gujarat"/>
    <x v="0"/>
    <s v="   1,07,000"/>
    <x v="42"/>
  </r>
  <r>
    <s v="EOS0549"/>
    <d v="2025-08-13T00:00:00"/>
    <s v="FB"/>
    <s v="Na"/>
    <m/>
    <s v="Gujarat"/>
    <x v="0"/>
    <s v="   1,07,000"/>
    <x v="0"/>
  </r>
  <r>
    <s v="EOS0550"/>
    <d v="2025-08-13T00:00:00"/>
    <s v="FB"/>
    <s v="Niraj Patej"/>
    <s v="Khambhat"/>
    <s v="Gujarat"/>
    <x v="0"/>
    <s v="   1,29,000"/>
    <x v="68"/>
  </r>
  <r>
    <s v="EOS0551"/>
    <d v="2025-08-13T00:00:00"/>
    <s v="WA"/>
    <s v="Vishal patel"/>
    <s v="unja "/>
    <s v="Gujarat"/>
    <x v="0"/>
    <s v="   1,29,000"/>
    <x v="24"/>
  </r>
  <r>
    <s v="EOS0552"/>
    <d v="2025-08-14T00:00:00"/>
    <s v="FB"/>
    <s v="tushar_4xvr"/>
    <m/>
    <s v="Gujarat"/>
    <x v="0"/>
    <s v="   1,07,000"/>
    <x v="0"/>
  </r>
  <r>
    <s v="EOS0553"/>
    <d v="2025-08-14T00:00:00"/>
    <s v="FB"/>
    <s v="Chauhan Nik"/>
    <m/>
    <s v="Gujarat"/>
    <x v="0"/>
    <s v="   1,07,000"/>
    <x v="69"/>
  </r>
  <r>
    <s v="EOS0554"/>
    <d v="2025-08-14T00:00:00"/>
    <s v="FB"/>
    <s v="R.V. Odedra"/>
    <s v="porbandar "/>
    <s v="Gujarat"/>
    <x v="0"/>
    <s v="   1,07,000"/>
    <x v="70"/>
  </r>
  <r>
    <s v="EOS0555"/>
    <d v="2025-08-14T00:00:00"/>
    <s v="FB"/>
    <s v="Paras Mehta"/>
    <m/>
    <s v="Gujarat"/>
    <x v="0"/>
    <s v="   1,07,000"/>
    <x v="0"/>
  </r>
  <r>
    <s v="EOS0556"/>
    <d v="2025-08-14T00:00:00"/>
    <s v="WA"/>
    <s v="Dhamecha Vijay"/>
    <m/>
    <s v="Gujarat"/>
    <x v="0"/>
    <s v="   1,07,000"/>
    <x v="71"/>
  </r>
  <r>
    <s v="EOS0557"/>
    <d v="2025-08-16T00:00:00"/>
    <s v="FB"/>
    <s v="Firdosh Khan Jat Malek"/>
    <s v="radhanpur"/>
    <s v="Gujarat"/>
    <x v="0"/>
    <s v="   1,07,000"/>
    <x v="0"/>
  </r>
  <r>
    <s v="EOS0558"/>
    <d v="2025-08-16T00:00:00"/>
    <s v="FB"/>
    <s v="Patel Meet"/>
    <m/>
    <s v="Gujarat"/>
    <x v="0"/>
    <s v="   1,07,000"/>
    <x v="72"/>
  </r>
  <r>
    <s v="EOS0559"/>
    <d v="2025-08-16T00:00:00"/>
    <s v="FB"/>
    <s v="Tokir Teli"/>
    <s v="Ahmedabad"/>
    <s v="Gujarat"/>
    <x v="0"/>
    <s v="   1,07,000"/>
    <x v="73"/>
  </r>
  <r>
    <s v="EOS0560"/>
    <d v="2025-08-16T00:00:00"/>
    <s v="FB"/>
    <s v="Jimish Sharma"/>
    <m/>
    <s v="Gujarat"/>
    <x v="0"/>
    <s v="   1,07,000"/>
    <x v="74"/>
  </r>
  <r>
    <s v="EOS0561"/>
    <d v="2025-08-16T00:00:00"/>
    <s v="FB"/>
    <s v="Vipul Soni"/>
    <m/>
    <s v="Gujarat"/>
    <x v="0"/>
    <s v="   1,07,000"/>
    <x v="66"/>
  </r>
  <r>
    <s v="EOS0562"/>
    <d v="2025-08-16T00:00:00"/>
    <s v="FB"/>
    <s v="Saurabh Patel"/>
    <m/>
    <s v="Gujarat"/>
    <x v="0"/>
    <s v="   1,07,000"/>
    <x v="75"/>
  </r>
  <r>
    <s v="EOS0563"/>
    <d v="2025-08-16T00:00:00"/>
    <s v="FB"/>
    <s v="Jiten"/>
    <m/>
    <s v="Gujarat"/>
    <x v="0"/>
    <s v="   1,07,000"/>
    <x v="76"/>
  </r>
  <r>
    <s v="EOS0564"/>
    <d v="2025-08-16T00:00:00"/>
    <s v="FB"/>
    <s v="C. J Jadav"/>
    <m/>
    <s v="Gujarat"/>
    <x v="0"/>
    <s v="   1,07,000"/>
    <x v="0"/>
  </r>
  <r>
    <s v="EOS0565"/>
    <d v="2025-08-16T00:00:00"/>
    <s v="FB"/>
    <s v="Kirti Patel"/>
    <m/>
    <s v="Gujarat"/>
    <x v="0"/>
    <s v="   1,07,000"/>
    <x v="0"/>
  </r>
  <r>
    <s v="EOS0566"/>
    <d v="2025-08-16T00:00:00"/>
    <s v="FB"/>
    <s v="India Voice"/>
    <m/>
    <s v="Gujarat"/>
    <x v="0"/>
    <s v="   1,07,000"/>
    <x v="77"/>
  </r>
  <r>
    <s v="EOS0567"/>
    <d v="2025-08-16T00:00:00"/>
    <s v="FB"/>
    <s v="Makrani Sahid"/>
    <m/>
    <s v="Gujarat"/>
    <x v="0"/>
    <s v="   1,07,000"/>
    <x v="61"/>
  </r>
  <r>
    <s v="EOS0568"/>
    <d v="2025-08-16T00:00:00"/>
    <s v="FB"/>
    <s v="Dhruvesh Parekh"/>
    <s v="Vadodara"/>
    <s v="Gujarat"/>
    <x v="0"/>
    <s v="   1,29,000"/>
    <x v="67"/>
  </r>
  <r>
    <s v="EOS0569"/>
    <d v="2025-08-16T00:00:00"/>
    <s v="FB"/>
    <s v="a b.malek.3051"/>
    <m/>
    <s v="Gujarat"/>
    <x v="0"/>
    <s v="   1,07,000"/>
    <x v="0"/>
  </r>
  <r>
    <s v="EOS0570"/>
    <d v="2025-08-16T00:00:00"/>
    <s v="FB"/>
    <s v="rathod bittu"/>
    <m/>
    <s v="Gujarat"/>
    <x v="0"/>
    <s v="   1,07,000"/>
    <x v="0"/>
  </r>
  <r>
    <s v="EOS0571"/>
    <d v="2025-08-16T00:00:00"/>
    <s v="WA"/>
    <s v="Rajiv sain"/>
    <m/>
    <s v="Gujarat"/>
    <x v="0"/>
    <s v="   1,07,000"/>
    <x v="0"/>
  </r>
  <r>
    <s v="EOS0572"/>
    <d v="2025-08-16T00:00:00"/>
    <s v="FB"/>
    <s v="Vishal Chauhan"/>
    <s v="surat"/>
    <s v="Gujarat"/>
    <x v="0"/>
    <s v="   1,07,000"/>
    <x v="78"/>
  </r>
  <r>
    <s v="EOS0573"/>
    <d v="2025-08-16T00:00:00"/>
    <s v="WA"/>
    <s v="Rajat Kaushal"/>
    <m/>
    <s v="Gujarat"/>
    <x v="0"/>
    <s v="   1,07,000"/>
    <x v="3"/>
  </r>
  <r>
    <s v="EOS0574"/>
    <d v="2025-08-16T00:00:00"/>
    <s v="WA"/>
    <s v="Pathan akbarkhan"/>
    <m/>
    <s v="Gujarat"/>
    <x v="0"/>
    <s v="   1,07,000"/>
    <x v="79"/>
  </r>
  <r>
    <s v="EOS0575"/>
    <d v="2025-08-16T00:00:00"/>
    <s v="WA"/>
    <s v="Safayat Ali"/>
    <s v="Maheshpur"/>
    <s v="Bihar"/>
    <x v="0"/>
    <s v="   1,07,000"/>
    <x v="24"/>
  </r>
  <r>
    <s v="EOS0576"/>
    <d v="2025-08-16T00:00:00"/>
    <s v="FB"/>
    <s v="Kuldip Patel"/>
    <s v=" Bhavnagar"/>
    <s v="Gujarat"/>
    <x v="0"/>
    <s v="   1,07,000"/>
    <x v="3"/>
  </r>
  <r>
    <s v="EOS0577"/>
    <d v="2025-08-16T00:00:00"/>
    <s v="FB"/>
    <s v="Bharatsinh solanki"/>
    <s v="godhra"/>
    <s v="Gujarat"/>
    <x v="0"/>
    <s v="   1,07,000"/>
    <x v="80"/>
  </r>
  <r>
    <s v="EOS0578"/>
    <d v="2025-08-16T00:00:00"/>
    <s v="FB"/>
    <s v="Meer Ramabhai"/>
    <m/>
    <s v="Gujarat"/>
    <x v="0"/>
    <s v="   1,07,000"/>
    <x v="72"/>
  </r>
  <r>
    <s v="EOS0579"/>
    <d v="2025-08-16T00:00:00"/>
    <s v="FB"/>
    <s v="Patel Prince"/>
    <m/>
    <s v="Gujarat"/>
    <x v="0"/>
    <s v="   1,07,000"/>
    <x v="81"/>
  </r>
  <r>
    <s v="EOS0580"/>
    <d v="2025-08-18T00:00:00"/>
    <s v="FB"/>
    <s v="Hardik "/>
    <m/>
    <s v="Gujarat"/>
    <x v="0"/>
    <s v="   1,07,000"/>
    <x v="24"/>
  </r>
  <r>
    <s v="EOS0581"/>
    <d v="2025-08-18T00:00:00"/>
    <s v="FB"/>
    <s v="Talha Shaikh"/>
    <s v="Valsad"/>
    <s v="Gujarat"/>
    <x v="0"/>
    <s v="   1,29,000"/>
    <x v="0"/>
  </r>
  <r>
    <s v="EOS0582"/>
    <d v="2025-08-18T00:00:00"/>
    <s v="FB"/>
    <s v="Mohitt G Maru"/>
    <s v="Rajkot"/>
    <s v="Gujarat"/>
    <x v="0"/>
    <s v="   1,07,000"/>
    <x v="82"/>
  </r>
  <r>
    <s v="EOS0583"/>
    <d v="2025-08-18T00:00:00"/>
    <s v="FB"/>
    <s v="Kishore M Maganani"/>
    <m/>
    <s v="Gujarat"/>
    <x v="0"/>
    <s v="   1,07,000"/>
    <x v="0"/>
  </r>
  <r>
    <s v="EOS0584"/>
    <d v="2025-08-18T00:00:00"/>
    <s v="WA"/>
    <s v="Ashish Ladua"/>
    <s v="Veraval "/>
    <s v="Gujarat"/>
    <x v="0"/>
    <s v="   1,07,000"/>
    <x v="83"/>
  </r>
  <r>
    <s v="EOS0585"/>
    <d v="2025-08-19T00:00:00"/>
    <s v="WA"/>
    <s v="Adnan Ansari"/>
    <s v="Ahmedabad"/>
    <s v="Gujarat"/>
    <x v="0"/>
    <s v="   1,07,000"/>
    <x v="0"/>
  </r>
  <r>
    <s v="EOS0586"/>
    <d v="2025-08-19T00:00:00"/>
    <s v="WA"/>
    <s v="Samir patel"/>
    <m/>
    <s v="Gujarat"/>
    <x v="0"/>
    <s v="   1,07,000"/>
    <x v="84"/>
  </r>
  <r>
    <s v="EOS0587"/>
    <d v="2025-08-19T00:00:00"/>
    <s v="WA"/>
    <s v="Shravanbhai kevabhai"/>
    <m/>
    <s v="Gujarat "/>
    <x v="0"/>
    <s v="   1,07,000"/>
    <x v="0"/>
  </r>
  <r>
    <s v="EOS0588"/>
    <d v="2025-08-19T00:00:00"/>
    <s v="WA"/>
    <s v="Govind Rastogi"/>
    <m/>
    <s v="Gujarat "/>
    <x v="0"/>
    <s v="   1,07,000"/>
    <x v="0"/>
  </r>
  <r>
    <s v="EOS0589"/>
    <d v="2025-08-19T00:00:00"/>
    <s v="WA"/>
    <s v="Satya Ranjan Nayak"/>
    <m/>
    <s v="Gujarat "/>
    <x v="0"/>
    <s v="   1,07,000"/>
    <x v="0"/>
  </r>
  <r>
    <s v="EOS0590"/>
    <d v="2025-08-19T00:00:00"/>
    <s v="WA"/>
    <s v="milan "/>
    <m/>
    <s v="Gujarat "/>
    <x v="0"/>
    <s v="   1,07,000"/>
    <x v="0"/>
  </r>
  <r>
    <s v="EOS0591"/>
    <d v="2025-08-19T00:00:00"/>
    <s v="WA"/>
    <s v="DHIREN"/>
    <m/>
    <s v="Gujarat "/>
    <x v="0"/>
    <s v="   1,07,000"/>
    <x v="85"/>
  </r>
  <r>
    <s v="EOS0592"/>
    <d v="2025-08-19T00:00:00"/>
    <s v="WA"/>
    <s v="Paresh Patel"/>
    <m/>
    <s v="Gujarat "/>
    <x v="0"/>
    <s v="   1,07,000"/>
    <x v="3"/>
  </r>
  <r>
    <s v="EOS0593"/>
    <d v="2025-08-20T00:00:00"/>
    <s v="FB"/>
    <s v="Raja Malik"/>
    <s v="Vadodara"/>
    <s v="Gujarat"/>
    <x v="0"/>
    <s v="   1,07,000"/>
    <x v="86"/>
  </r>
  <r>
    <s v="EOS0594"/>
    <d v="2025-08-20T00:00:00"/>
    <s v="FB"/>
    <s v="Ayaan"/>
    <m/>
    <s v="Gujarat"/>
    <x v="0"/>
    <s v="   1,07,000"/>
    <x v="87"/>
  </r>
  <r>
    <s v="EOS0595"/>
    <d v="2025-08-20T00:00:00"/>
    <s v="FB"/>
    <s v="Aand Sodha"/>
    <m/>
    <s v="Gujarat"/>
    <x v="0"/>
    <s v="   1,07,000"/>
    <x v="31"/>
  </r>
  <r>
    <s v="EOS0596"/>
    <d v="2025-08-20T00:00:00"/>
    <s v="FB"/>
    <s v="Jitubhai Makwana"/>
    <s v=" Bhavnagar"/>
    <s v="Gujarat "/>
    <x v="0"/>
    <s v="   1,07,000"/>
    <x v="3"/>
  </r>
  <r>
    <s v="EOS0597"/>
    <d v="2025-08-20T00:00:00"/>
    <s v="FB"/>
    <s v="hemang nathani"/>
    <s v="Ahmedabad"/>
    <s v="Gujarat "/>
    <x v="0"/>
    <s v="   1,07,000"/>
    <x v="88"/>
  </r>
  <r>
    <s v="EOS0598"/>
    <d v="2025-08-20T00:00:00"/>
    <s v="FB"/>
    <s v="Jasani Suresh "/>
    <m/>
    <s v="Gujarat"/>
    <x v="0"/>
    <s v="   1,07,000"/>
    <x v="31"/>
  </r>
  <r>
    <s v="EOS0599"/>
    <d v="2025-08-20T00:00:00"/>
    <s v="FB"/>
    <s v="Savan Ahir"/>
    <m/>
    <s v="Gujarat"/>
    <x v="0"/>
    <s v="   1,07,000"/>
    <x v="0"/>
  </r>
  <r>
    <s v="EOS0600"/>
    <d v="2025-08-20T00:00:00"/>
    <s v="FB"/>
    <s v="Janak "/>
    <m/>
    <s v="Gujarat"/>
    <x v="0"/>
    <s v="   1,07,000"/>
    <x v="89"/>
  </r>
  <r>
    <s v="EOS0601"/>
    <d v="2025-08-20T00:00:00"/>
    <s v="FB"/>
    <s v="kateshiya_vijay"/>
    <s v="Rajkot"/>
    <s v="Gujarat"/>
    <x v="0"/>
    <s v="   1,07,000"/>
    <x v="0"/>
  </r>
  <r>
    <s v="EOS0602"/>
    <d v="2025-08-20T00:00:00"/>
    <s v="FB"/>
    <s v="Rajni Bharai"/>
    <s v="Jamnagar"/>
    <s v="Gujarat"/>
    <x v="0"/>
    <s v="   1,07,000"/>
    <x v="90"/>
  </r>
  <r>
    <s v="EOS0603"/>
    <d v="2025-08-20T00:00:00"/>
    <s v="FB"/>
    <s v="Hari"/>
    <m/>
    <m/>
    <x v="0"/>
    <s v="   1,07,000"/>
    <x v="24"/>
  </r>
  <r>
    <s v="EOS0604"/>
    <d v="2025-08-20T00:00:00"/>
    <s v="FB"/>
    <s v="Sagathiya BJ"/>
    <m/>
    <s v="Punjab"/>
    <x v="0"/>
    <s v="   1,07,000"/>
    <x v="0"/>
  </r>
  <r>
    <s v="EOS0605"/>
    <d v="2025-08-20T00:00:00"/>
    <s v="FB"/>
    <s v="Sambhu Singh Rajput"/>
    <s v="Ahmedabad"/>
    <s v="Gujarat"/>
    <x v="0"/>
    <s v="   1,07,000"/>
    <x v="0"/>
  </r>
  <r>
    <s v="EOS0606"/>
    <d v="2025-08-20T00:00:00"/>
    <s v="WA"/>
    <s v="shalini maurya"/>
    <m/>
    <s v="Gujarat"/>
    <x v="0"/>
    <s v="   1,07,000"/>
    <x v="31"/>
  </r>
  <r>
    <s v="EOS0607"/>
    <d v="2025-08-20T00:00:00"/>
    <s v="WA"/>
    <s v="Anil Kumar yadav"/>
    <s v="Bereli"/>
    <s v="Uttar Pradesh"/>
    <x v="0"/>
    <s v="   1,07,000"/>
    <x v="91"/>
  </r>
  <r>
    <s v="EOS0608"/>
    <d v="2025-08-20T00:00:00"/>
    <s v="WA"/>
    <s v="DHIREN"/>
    <m/>
    <m/>
    <x v="0"/>
    <s v="   1,07,000"/>
    <x v="92"/>
  </r>
  <r>
    <s v="EOS0609"/>
    <d v="2025-08-21T00:00:00"/>
    <s v="FB"/>
    <s v="Sanjay Thakor"/>
    <s v="Mehsana"/>
    <s v="Gujarat"/>
    <x v="0"/>
    <s v="   1,07,000"/>
    <x v="31"/>
  </r>
  <r>
    <s v="EOS0610"/>
    <d v="2025-08-21T00:00:00"/>
    <s v="FB"/>
    <s v="Zala "/>
    <s v="Balasinor"/>
    <s v="Gujarat"/>
    <x v="0"/>
    <s v="   1,07,000"/>
    <x v="93"/>
  </r>
  <r>
    <s v="EOS0611"/>
    <d v="2025-08-22T00:00:00"/>
    <s v="WA"/>
    <s v=" ANIL"/>
    <m/>
    <m/>
    <x v="0"/>
    <s v="   1,07,000"/>
    <x v="0"/>
  </r>
  <r>
    <s v="EOS0612"/>
    <d v="2025-08-22T00:00:00"/>
    <s v="WA"/>
    <s v="Arun Kumar Rathor"/>
    <m/>
    <s v="Uttar Pradesh "/>
    <x v="0"/>
    <s v="   1,07,000"/>
    <x v="94"/>
  </r>
  <r>
    <s v="EOS0613"/>
    <n v="9825557584"/>
    <s v="WA"/>
    <s v="Manishkumar mistry"/>
    <m/>
    <s v="Gujarat"/>
    <x v="0"/>
    <s v="   1,77,000"/>
    <x v="95"/>
  </r>
  <r>
    <s v="EOS0614"/>
    <d v="2025-08-22T00:00:00"/>
    <s v="FB"/>
    <s v="na"/>
    <m/>
    <s v="Gujarat"/>
    <x v="0"/>
    <s v="   1,07,000"/>
    <x v="0"/>
  </r>
  <r>
    <s v="EOS0615"/>
    <d v="2025-08-22T00:00:00"/>
    <s v="FB"/>
    <s v="lala Bharwad "/>
    <m/>
    <s v="Gujarat"/>
    <x v="0"/>
    <s v="   1,07,000"/>
    <x v="96"/>
  </r>
  <r>
    <s v="EOS0616"/>
    <d v="2025-08-23T00:00:00"/>
    <s v="WA"/>
    <s v="Mahavir Jain"/>
    <s v="Ahmedabad"/>
    <s v="Gujarat"/>
    <x v="0"/>
    <s v="   1,07,000"/>
    <x v="24"/>
  </r>
  <r>
    <s v="EOS0617"/>
    <d v="2025-08-25T00:00:00"/>
    <s v="FB"/>
    <s v="Keyur Paghdal"/>
    <m/>
    <s v="Gujarat"/>
    <x v="0"/>
    <s v="   1,07,000"/>
    <x v="97"/>
  </r>
  <r>
    <s v="EOS0618"/>
    <d v="2025-08-25T00:00:00"/>
    <s v="FB"/>
    <s v="Yogesh nai"/>
    <s v="Surat "/>
    <s v="Gujarat"/>
    <x v="0"/>
    <s v="   1,77,000"/>
    <x v="98"/>
  </r>
  <r>
    <s v="EOS0619"/>
    <d v="2025-08-25T00:00:00"/>
    <s v="FB"/>
    <s v="Naim Noor"/>
    <m/>
    <s v="Gujarat"/>
    <x v="0"/>
    <s v="   1,07,000"/>
    <x v="24"/>
  </r>
  <r>
    <s v="EOS0620"/>
    <d v="2025-08-25T00:00:00"/>
    <s v="FB"/>
    <s v="sajid sakhidas"/>
    <m/>
    <s v="Gujarat"/>
    <x v="0"/>
    <s v="   1,07,000"/>
    <x v="0"/>
  </r>
  <r>
    <s v="EOS0621"/>
    <d v="2025-08-25T00:00:00"/>
    <s v="FB"/>
    <s v="Jayesh Parmar"/>
    <s v="vaah "/>
    <s v="Gujarat"/>
    <x v="0"/>
    <s v="   1,07,000"/>
    <x v="99"/>
  </r>
  <r>
    <s v="EOS0622"/>
    <d v="2025-08-25T00:00:00"/>
    <s v="WA"/>
    <s v="Dayabhai"/>
    <m/>
    <s v="Gujarat"/>
    <x v="0"/>
    <s v="   1,07,000"/>
    <x v="31"/>
  </r>
  <r>
    <s v="EOS0623"/>
    <d v="2025-08-25T00:00:00"/>
    <s v="WA"/>
    <s v="Ganesh Mahato"/>
    <m/>
    <s v="Gujarat"/>
    <x v="0"/>
    <s v="   1,07,000"/>
    <x v="100"/>
  </r>
  <r>
    <s v="EOS0624"/>
    <d v="2025-08-25T00:00:00"/>
    <s v="WA"/>
    <s v="Bhargav Mehra"/>
    <m/>
    <s v="Gujarat"/>
    <x v="0"/>
    <s v="   1,07,000"/>
    <x v="31"/>
  </r>
  <r>
    <s v="EOS0625"/>
    <d v="2025-08-25T00:00:00"/>
    <s v="WA"/>
    <s v="Gopal porwal"/>
    <m/>
    <s v="Gujarat"/>
    <x v="0"/>
    <s v="   1,07,000"/>
    <x v="31"/>
  </r>
  <r>
    <s v="EOS0626"/>
    <d v="2025-08-25T00:00:00"/>
    <s v="FB"/>
    <s v="Kazi Faisal"/>
    <s v="Kadi"/>
    <s v="Gujarat"/>
    <x v="0"/>
    <s v="   1,07,000"/>
    <x v="101"/>
  </r>
  <r>
    <s v="EOS0627"/>
    <d v="2025-08-25T00:00:00"/>
    <s v="FB"/>
    <s v="Precision Telecom"/>
    <s v="Amreli"/>
    <s v="Gujarat"/>
    <x v="0"/>
    <s v="   1,07,000"/>
    <x v="0"/>
  </r>
  <r>
    <s v="EOS0628"/>
    <d v="2025-08-25T00:00:00"/>
    <s v="FB"/>
    <s v="SANJAY ALGOTAR"/>
    <m/>
    <s v="Gujarat"/>
    <x v="0"/>
    <s v="   1,07,000"/>
    <x v="0"/>
  </r>
  <r>
    <s v="EOS0629"/>
    <d v="2025-08-25T00:00:00"/>
    <s v="WA"/>
    <s v="Haresh H Nihalani"/>
    <m/>
    <s v="Gujarat"/>
    <x v="0"/>
    <s v="   1,07,000"/>
    <x v="0"/>
  </r>
  <r>
    <s v="EOS0630"/>
    <d v="2025-08-25T00:00:00"/>
    <s v="WA"/>
    <s v="Pratyush sahani"/>
    <s v="Gorakhpur"/>
    <s v="Uttar Pradesh "/>
    <x v="0"/>
    <s v="   1,07,000"/>
    <x v="0"/>
  </r>
  <r>
    <s v="EOS0631"/>
    <d v="2025-08-27T00:00:00"/>
    <s v="WA"/>
    <s v="Rahul Gujar"/>
    <m/>
    <s v="Gujarat"/>
    <x v="0"/>
    <s v="   1,07,000"/>
    <x v="0"/>
  </r>
  <r>
    <s v="EOS0632"/>
    <d v="2025-08-28T00:00:00"/>
    <s v="FB"/>
    <s v="Jayesh R Tarasriya"/>
    <m/>
    <s v="Gujarat"/>
    <x v="0"/>
    <s v="   1,77,000"/>
    <x v="0"/>
  </r>
  <r>
    <s v="EOS0633"/>
    <d v="2025-08-28T00:00:00"/>
    <s v="WA"/>
    <s v="Arjun Mata"/>
    <s v="Bharuch"/>
    <s v="Gujarat "/>
    <x v="0"/>
    <s v="   1,07,000"/>
    <x v="0"/>
  </r>
  <r>
    <s v="EOS0634"/>
    <d v="2025-08-28T00:00:00"/>
    <s v="WA"/>
    <s v="Vipul jain"/>
    <m/>
    <s v="Gujarat "/>
    <x v="0"/>
    <s v="   1,07,000"/>
    <x v="102"/>
  </r>
  <r>
    <s v="EOS0635"/>
    <d v="2025-08-28T00:00:00"/>
    <s v="WA"/>
    <s v="Ankit BHADORIYA"/>
    <m/>
    <s v="Gujarat "/>
    <x v="0"/>
    <s v="   1,07,000"/>
    <x v="0"/>
  </r>
  <r>
    <s v="EOS0636"/>
    <d v="2025-08-28T00:00:00"/>
    <s v="FB"/>
    <s v="Tejash Gohil"/>
    <m/>
    <s v="Gujarat "/>
    <x v="0"/>
    <s v="   1,07,000"/>
    <x v="103"/>
  </r>
  <r>
    <s v="EOS0637"/>
    <d v="2025-08-28T00:00:00"/>
    <s v="FB"/>
    <s v="Mogal Cris"/>
    <s v="Gondal "/>
    <s v="Gujarat "/>
    <x v="0"/>
    <s v="   1,07,000"/>
    <x v="0"/>
  </r>
  <r>
    <s v="EOS0638"/>
    <d v="2025-08-28T00:00:00"/>
    <s v="FB"/>
    <s v="Dhaval Dasadiya"/>
    <s v="Surendranagar"/>
    <s v="Gujarat "/>
    <x v="0"/>
    <s v="   1,77,000"/>
    <x v="0"/>
  </r>
  <r>
    <s v="EOS0639"/>
    <d v="2025-08-28T00:00:00"/>
    <s v="FB"/>
    <s v="Faishal yakubbhai patel"/>
    <m/>
    <s v="Gujarat "/>
    <x v="0"/>
    <s v="   1,07,000"/>
    <x v="0"/>
  </r>
  <r>
    <s v="EOS0640"/>
    <d v="2025-08-28T00:00:00"/>
    <s v="FB"/>
    <s v="SADHU YASH"/>
    <m/>
    <s v="Gujarat "/>
    <x v="0"/>
    <s v="   1,07,000"/>
    <x v="0"/>
  </r>
  <r>
    <s v="EOS0641"/>
    <d v="2025-08-28T00:00:00"/>
    <s v="FB"/>
    <s v="Hitesh Shah"/>
    <m/>
    <s v="Gujarat "/>
    <x v="0"/>
    <s v="   1,07,000"/>
    <x v="31"/>
  </r>
  <r>
    <s v="EOS0642"/>
    <d v="2025-08-28T00:00:00"/>
    <s v="FB"/>
    <s v="Mohammed hafiz"/>
    <m/>
    <s v="Gujarat "/>
    <x v="0"/>
    <s v="   1,07,000"/>
    <x v="0"/>
  </r>
  <r>
    <s v="EOS0643"/>
    <d v="2025-08-28T00:00:00"/>
    <s v="FB"/>
    <s v="Amardeepsinh Rajput"/>
    <m/>
    <s v="Gujarat "/>
    <x v="0"/>
    <s v="   1,07,000"/>
    <x v="0"/>
  </r>
  <r>
    <s v="EOS0644"/>
    <d v="2025-08-28T00:00:00"/>
    <s v="FB"/>
    <s v="Belim Rizwan"/>
    <s v="Palanpur"/>
    <s v="Gujarat "/>
    <x v="0"/>
    <s v="   1,07,000"/>
    <x v="66"/>
  </r>
  <r>
    <s v="EOS0645"/>
    <d v="2025-08-28T00:00:00"/>
    <s v="FB"/>
    <s v="dhruvil "/>
    <m/>
    <s v="Gujarat "/>
    <x v="0"/>
    <s v="   1,07,000"/>
    <x v="24"/>
  </r>
  <r>
    <s v="EOS0646"/>
    <d v="2025-08-28T00:00:00"/>
    <s v="FB"/>
    <s v="Bhuva Rushik"/>
    <s v="Rajkot"/>
    <s v="Gujarat "/>
    <x v="0"/>
    <s v="   1,07,000"/>
    <x v="102"/>
  </r>
  <r>
    <s v="EOS0647"/>
    <d v="2025-08-28T00:00:00"/>
    <s v="WA"/>
    <s v="Rahul Gujar"/>
    <m/>
    <s v="Madhya Pradesh"/>
    <x v="0"/>
    <s v="   1,07,000"/>
    <x v="104"/>
  </r>
  <r>
    <s v="EOS0648"/>
    <d v="2025-08-28T00:00:00"/>
    <s v="WA"/>
    <s v="Utsav sharma"/>
    <s v="Sehore"/>
    <s v="Gujarat "/>
    <x v="0"/>
    <s v="   1,07,000"/>
    <x v="0"/>
  </r>
  <r>
    <s v="EOS0649"/>
    <d v="2025-08-28T00:00:00"/>
    <s v="WA"/>
    <s v="Sharad Harishchandra dave"/>
    <s v="Surat "/>
    <s v="Gujarat "/>
    <x v="0"/>
    <s v="   1,77,000"/>
    <x v="24"/>
  </r>
  <r>
    <s v="EOS0650"/>
    <d v="2025-08-28T00:00:00"/>
    <s v="FB"/>
    <s v="Akshay Vaghela"/>
    <m/>
    <s v="Gujarat "/>
    <x v="0"/>
    <s v="   1,07,000"/>
    <x v="0"/>
  </r>
  <r>
    <s v="EOS0651"/>
    <d v="2025-08-29T00:00:00"/>
    <s v="FB"/>
    <s v="Dillip Senapati"/>
    <m/>
    <m/>
    <x v="0"/>
    <s v="   1,07,000"/>
    <x v="0"/>
  </r>
  <r>
    <s v="EOS0652"/>
    <d v="2025-08-29T00:00:00"/>
    <s v="WA"/>
    <s v="Soumen bhowmik"/>
    <m/>
    <s v="West Bengal"/>
    <x v="0"/>
    <s v="   1,77,000"/>
    <x v="0"/>
  </r>
  <r>
    <s v="EOS0653"/>
    <d v="2025-08-29T00:00:00"/>
    <s v="WA"/>
    <s v="Md.Safi Shah"/>
    <s v="Gotat"/>
    <s v="Gujarat"/>
    <x v="0"/>
    <s v="   1,07,000"/>
    <x v="105"/>
  </r>
  <r>
    <s v="EOS0654"/>
    <d v="2025-08-30T00:00:00"/>
    <s v="WA"/>
    <s v="Sameer "/>
    <m/>
    <s v="Uttar Pradesh "/>
    <x v="0"/>
    <s v="   1,07,000"/>
    <x v="106"/>
  </r>
  <r>
    <s v="EOS0655"/>
    <d v="2025-08-30T00:00:00"/>
    <s v="FB"/>
    <s v="Sameer "/>
    <s v="jashi"/>
    <s v="Uttar Pradesh "/>
    <x v="0"/>
    <s v="   1,07,000"/>
    <x v="107"/>
  </r>
  <r>
    <s v="EOS0656"/>
    <d v="2025-08-30T00:00:00"/>
    <s v="FB"/>
    <s v="Bharat"/>
    <m/>
    <s v="Gujarat"/>
    <x v="0"/>
    <s v="   1,07,000"/>
    <x v="0"/>
  </r>
  <r>
    <s v="EOS0657"/>
    <d v="2025-08-30T00:00:00"/>
    <s v="FB"/>
    <s v="Pankaj D Parmar"/>
    <m/>
    <s v="Gujarat"/>
    <x v="0"/>
    <s v="   1,07,000"/>
    <x v="0"/>
  </r>
  <r>
    <s v="EOS0658"/>
    <d v="2025-08-30T00:00:00"/>
    <s v="FB"/>
    <s v="Dinesh Shah"/>
    <m/>
    <s v="Gujarat"/>
    <x v="0"/>
    <s v="   1,07,000"/>
    <x v="108"/>
  </r>
  <r>
    <s v="EOS0659"/>
    <d v="2025-08-30T00:00:00"/>
    <s v="FB"/>
    <s v="Ashish Baraiya"/>
    <m/>
    <s v="Gujarat"/>
    <x v="0"/>
    <s v="   1,07,000"/>
    <x v="109"/>
  </r>
  <r>
    <s v="EOS0660"/>
    <d v="2025-08-30T00:00:00"/>
    <s v="FB"/>
    <s v="Nitin Bhanushali"/>
    <m/>
    <s v="Gujarat"/>
    <x v="0"/>
    <s v="   1,07,000"/>
    <x v="110"/>
  </r>
  <r>
    <s v="EOS0661"/>
    <d v="2025-08-31T00:00:00"/>
    <s v="FB"/>
    <s v="Bhatti ARFAT"/>
    <s v="Jafarabad "/>
    <s v="Gujarat "/>
    <x v="0"/>
    <s v="   1,07,000"/>
    <x v="111"/>
  </r>
  <r>
    <s v="EOS0662"/>
    <d v="2025-08-31T00:00:00"/>
    <s v="FB"/>
    <s v="Safvan"/>
    <s v="Godhra"/>
    <s v="Gujarat "/>
    <x v="0"/>
    <s v="   1,07,000"/>
    <x v="106"/>
  </r>
  <r>
    <s v="EOS0663"/>
    <d v="2025-08-31T00:00:00"/>
    <s v="FB"/>
    <s v="Jignashu Shroff"/>
    <s v="Ahmedabad"/>
    <s v="Gujarat "/>
    <x v="0"/>
    <s v="   1,07,000"/>
    <x v="112"/>
  </r>
  <r>
    <s v="EOS0664"/>
    <d v="2025-08-31T00:00:00"/>
    <s v="FB"/>
    <s v="Dhairya Joshi"/>
    <s v="Sidpur "/>
    <s v="Gujarat"/>
    <x v="0"/>
    <s v="   1,07,000"/>
    <x v="0"/>
  </r>
  <r>
    <s v="EOS0665"/>
    <d v="2025-08-31T00:00:00"/>
    <s v="FB"/>
    <s v="Vaghri vinod kantibhai"/>
    <m/>
    <s v="Gujarat "/>
    <x v="0"/>
    <s v="   1,07,000"/>
    <x v="113"/>
  </r>
  <r>
    <s v="EOS0666"/>
    <d v="2025-08-31T00:00:00"/>
    <s v="FB"/>
    <s v="Solanki aniruddhsinh i"/>
    <m/>
    <s v="Gujarat "/>
    <x v="0"/>
    <s v="   1,07,000"/>
    <x v="0"/>
  </r>
  <r>
    <s v="EOS0667"/>
    <d v="2025-08-31T00:00:00"/>
    <s v="FB"/>
    <s v="ashish shah"/>
    <m/>
    <s v="Gujarat "/>
    <x v="0"/>
    <s v="   1,07,000"/>
    <x v="0"/>
  </r>
  <r>
    <s v="EOS0668"/>
    <d v="2025-08-31T00:00:00"/>
    <s v="FB"/>
    <s v="Srujal Nayak"/>
    <s v="Mehsana"/>
    <s v="Gujarat "/>
    <x v="0"/>
    <s v="   1,07,000"/>
    <x v="114"/>
  </r>
  <r>
    <s v="EOS0669"/>
    <d v="2025-08-31T00:00:00"/>
    <s v="FB"/>
    <s v="SHAILESH CHAUDHARY"/>
    <m/>
    <s v="Gujarat "/>
    <x v="0"/>
    <s v="   1,07,000"/>
    <x v="115"/>
  </r>
  <r>
    <s v="EOS0670"/>
    <d v="2025-08-31T00:00:00"/>
    <s v="FB"/>
    <s v="NanDa upendra "/>
    <s v="Jamnagar"/>
    <s v="Gujarat "/>
    <x v="0"/>
    <s v="   1,77,000"/>
    <x v="0"/>
  </r>
  <r>
    <s v="EOS0671"/>
    <d v="2025-08-31T00:00:00"/>
    <s v="FB"/>
    <s v="Gaurang Darodker"/>
    <s v="Ahmedabad"/>
    <s v="Gujarat "/>
    <x v="0"/>
    <s v="   1,77,000"/>
    <x v="67"/>
  </r>
  <r>
    <s v="EOS0672"/>
    <d v="2025-08-31T00:00:00"/>
    <s v="FB"/>
    <s v="grish "/>
    <s v="Gandhinagar"/>
    <s v="Gujarat "/>
    <x v="0"/>
    <s v="   1,77,000"/>
    <x v="116"/>
  </r>
  <r>
    <s v="EOS0673"/>
    <d v="2025-08-31T00:00:00"/>
    <s v="FB"/>
    <s v="Madhavendra"/>
    <s v="Agar"/>
    <s v="Uttar Pradesh "/>
    <x v="0"/>
    <s v="   1,07,000"/>
    <x v="0"/>
  </r>
  <r>
    <s v="EOS0674"/>
    <d v="2025-09-01T00:00:00"/>
    <s v="FB"/>
    <s v="Amrut Gohil"/>
    <s v="Ahmedabad"/>
    <s v="Gujarat"/>
    <x v="0"/>
    <s v="   1,07,000"/>
    <x v="31"/>
  </r>
  <r>
    <s v="EOS0675"/>
    <d v="2025-09-01T00:00:00"/>
    <s v="FB"/>
    <s v="Vishal Sharma"/>
    <m/>
    <s v="Gujarat "/>
    <x v="0"/>
    <s v="   1,07,000"/>
    <x v="24"/>
  </r>
  <r>
    <s v="EOS0676"/>
    <d v="2025-09-01T00:00:00"/>
    <s v="WA"/>
    <n v="0"/>
    <m/>
    <s v="West Bengal"/>
    <x v="0"/>
    <s v="   1,07,000"/>
    <x v="24"/>
  </r>
  <r>
    <s v="EOS0677"/>
    <d v="2025-09-01T00:00:00"/>
    <s v="WA"/>
    <s v="Arpit jain"/>
    <s v="SitaPur "/>
    <s v="UP "/>
    <x v="0"/>
    <s v="   1,77,000"/>
    <x v="0"/>
  </r>
  <r>
    <s v="EOS0678"/>
    <d v="2025-09-01T00:00:00"/>
    <s v="WA"/>
    <s v="Jitendra Singh"/>
    <m/>
    <m/>
    <x v="0"/>
    <s v="   1,07,000"/>
    <x v="0"/>
  </r>
  <r>
    <s v="EOS0679"/>
    <d v="2025-09-01T00:00:00"/>
    <s v="WA"/>
    <s v="Sachin"/>
    <m/>
    <s v="Gujarat"/>
    <x v="0"/>
    <s v="   1,07,000"/>
    <x v="0"/>
  </r>
  <r>
    <s v="EOS0680"/>
    <d v="2025-09-01T00:00:00"/>
    <s v="WA"/>
    <s v="Rajveer Singh Kushwaha"/>
    <m/>
    <s v="Gujarat "/>
    <x v="0"/>
    <s v="   1,77,000"/>
    <x v="67"/>
  </r>
  <r>
    <s v="EOS0681"/>
    <d v="2025-09-02T00:00:00"/>
    <s v="FB"/>
    <s v="Vaibhav M panchal"/>
    <s v="Ahmedabad"/>
    <s v="Gujarat "/>
    <x v="0"/>
    <s v="   1,07,000"/>
    <x v="0"/>
  </r>
  <r>
    <s v="EOS0682"/>
    <d v="2025-09-02T00:00:00"/>
    <s v="WA"/>
    <s v="Pushparaj jaiswal"/>
    <m/>
    <s v="MP"/>
    <x v="0"/>
    <s v="   1,07,000"/>
    <x v="117"/>
  </r>
  <r>
    <s v="EOS0683"/>
    <d v="2025-09-02T00:00:00"/>
    <s v="WA"/>
    <s v="Yash Singh"/>
    <s v="jauhpur"/>
    <s v="UP "/>
    <x v="0"/>
    <s v="   1,07,000"/>
    <x v="0"/>
  </r>
  <r>
    <s v="EOS0684"/>
    <d v="2025-09-02T00:00:00"/>
    <s v="WA"/>
    <s v="Ashish Saxena"/>
    <s v="noida "/>
    <s v="UP "/>
    <x v="0"/>
    <s v="   1,07,000"/>
    <x v="0"/>
  </r>
  <r>
    <s v="EOS0685"/>
    <d v="2025-09-02T00:00:00"/>
    <s v="WA"/>
    <s v="Om Srivastava"/>
    <m/>
    <m/>
    <x v="0"/>
    <s v="   1,07,000"/>
    <x v="0"/>
  </r>
  <r>
    <s v="EOS0686"/>
    <d v="2025-09-02T00:00:00"/>
    <s v="WA"/>
    <s v="Amit Kumar"/>
    <m/>
    <m/>
    <x v="0"/>
    <s v="   1,07,000"/>
    <x v="0"/>
  </r>
  <r>
    <s v="EOS0687"/>
    <d v="2025-09-03T00:00:00"/>
    <s v="WA"/>
    <s v="Tejpal Kushwaha"/>
    <m/>
    <s v="MP And UP"/>
    <x v="0"/>
    <s v="   1,07,000"/>
    <x v="118"/>
  </r>
  <r>
    <s v="EOS0688"/>
    <d v="2025-09-03T00:00:00"/>
    <s v="WA"/>
    <s v="Amitabh Jain"/>
    <m/>
    <s v="MP"/>
    <x v="0"/>
    <s v="   1,07,000"/>
    <x v="0"/>
  </r>
  <r>
    <s v="EOS0689"/>
    <d v="2025-09-03T00:00:00"/>
    <s v="FB"/>
    <s v="Prakash Kumar"/>
    <s v="Deesa"/>
    <s v="Gujarat "/>
    <x v="0"/>
    <s v="   1,77,000"/>
    <x v="3"/>
  </r>
  <r>
    <s v="EOS0690"/>
    <d v="2025-09-03T00:00:00"/>
    <s v="FB"/>
    <s v="_chaudhary"/>
    <s v="Surat"/>
    <s v="Gujarat "/>
    <x v="0"/>
    <s v="   1,77,000"/>
    <x v="24"/>
  </r>
  <r>
    <s v="EOS0691"/>
    <d v="2025-09-03T00:00:00"/>
    <s v="FB"/>
    <s v="Ajay Rathi"/>
    <s v="barrod "/>
    <s v="Uttar Pradesh "/>
    <x v="0"/>
    <s v="   1,07,000"/>
    <x v="119"/>
  </r>
  <r>
    <s v="EOS0692"/>
    <d v="2025-09-04T00:00:00"/>
    <s v="FB"/>
    <s v="Praful Sanchaniya"/>
    <s v="Rajkot"/>
    <s v="Gujarat"/>
    <x v="0"/>
    <s v="   1,07,000"/>
    <x v="0"/>
  </r>
  <r>
    <s v="EOS0693"/>
    <d v="2025-09-04T00:00:00"/>
    <s v="FB"/>
    <s v="Ganesh Choudhari"/>
    <s v="Vadodara"/>
    <s v="Gujarat"/>
    <x v="0"/>
    <s v="   1,07,000"/>
    <x v="3"/>
  </r>
  <r>
    <s v="EOS0694"/>
    <d v="2025-09-05T00:00:00"/>
    <s v="FB"/>
    <s v="gala yuvraj "/>
    <m/>
    <s v="Gujarat"/>
    <x v="0"/>
    <s v="   1,07,000"/>
    <x v="120"/>
  </r>
  <r>
    <s v="EOS0695"/>
    <d v="2025-09-05T00:00:00"/>
    <s v="FB"/>
    <s v="Aamin Shekh"/>
    <m/>
    <s v="Gujarat"/>
    <x v="0"/>
    <s v="   1,07,000"/>
    <x v="0"/>
  </r>
  <r>
    <s v="EOS0696"/>
    <d v="2025-09-05T00:00:00"/>
    <s v="FB"/>
    <s v="K J GONDALIYA"/>
    <m/>
    <s v="Gujarat"/>
    <x v="0"/>
    <s v="   1,77,000"/>
    <x v="0"/>
  </r>
  <r>
    <s v="EOS0697"/>
    <d v="2025-09-05T00:00:00"/>
    <s v="FB"/>
    <s v="RAVISC PARMAR"/>
    <m/>
    <s v="Gujarat"/>
    <x v="0"/>
    <s v="   1,07,000"/>
    <x v="0"/>
  </r>
  <r>
    <s v="EOS0698"/>
    <d v="2025-09-05T00:00:00"/>
    <s v="FB"/>
    <s v="krunal shah"/>
    <m/>
    <s v="Gujarat"/>
    <x v="0"/>
    <s v="   1,77,000"/>
    <x v="121"/>
  </r>
  <r>
    <s v="EOS0699"/>
    <d v="2025-09-05T00:00:00"/>
    <s v="FB"/>
    <s v="P_I_Y_U_S_H"/>
    <m/>
    <s v="Gujarat"/>
    <x v="0"/>
    <s v="   1,07,000"/>
    <x v="0"/>
  </r>
  <r>
    <s v="EOS0700"/>
    <d v="2025-09-05T00:00:00"/>
    <s v="FB"/>
    <s v="Kamil Vahora"/>
    <m/>
    <s v="Gujarat"/>
    <x v="0"/>
    <s v="   1,77,000"/>
    <x v="0"/>
  </r>
  <r>
    <s v="EOS0701"/>
    <d v="2025-09-05T00:00:00"/>
    <s v="FB"/>
    <s v="Pappu jhaa"/>
    <m/>
    <s v="Gujarat"/>
    <x v="0"/>
    <s v="   1,77,000"/>
    <x v="24"/>
  </r>
  <r>
    <s v="EOS0702"/>
    <d v="2025-09-05T00:00:00"/>
    <s v="FB"/>
    <s v="Shah meet "/>
    <m/>
    <s v="Gujarat"/>
    <x v="0"/>
    <s v="   1,07,000"/>
    <x v="24"/>
  </r>
  <r>
    <s v="EOS0703"/>
    <d v="2025-09-05T00:00:00"/>
    <s v="FB"/>
    <s v="Mitesh "/>
    <s v="Surat "/>
    <s v="Gujarat"/>
    <x v="0"/>
    <s v="   1,07,000"/>
    <x v="122"/>
  </r>
  <r>
    <s v="EOS0704"/>
    <d v="2025-09-08T00:00:00"/>
    <s v="WA"/>
    <s v="Vinod"/>
    <m/>
    <s v="Gujarat"/>
    <x v="0"/>
    <s v="   1,07,000"/>
    <x v="0"/>
  </r>
  <r>
    <s v="EOS0705"/>
    <d v="2025-09-08T00:00:00"/>
    <s v="FB"/>
    <s v="mahavir dhadha"/>
    <m/>
    <s v="Gujarat"/>
    <x v="0"/>
    <s v="   1,77,000"/>
    <x v="123"/>
  </r>
  <r>
    <s v="EOS0706"/>
    <d v="2025-09-08T00:00:00"/>
    <s v="FB"/>
    <s v="Nikhil Kalal"/>
    <s v="Surat "/>
    <s v="Gujarat"/>
    <x v="0"/>
    <s v="   1,07,000"/>
    <x v="122"/>
  </r>
  <r>
    <s v="EOS0707"/>
    <d v="2025-09-08T00:00:00"/>
    <s v="FB"/>
    <s v="Kunal Mandani"/>
    <s v="Ahmedabad"/>
    <s v="Gujarat"/>
    <x v="0"/>
    <s v="   1,07,000"/>
    <x v="37"/>
  </r>
  <r>
    <s v="EOS0708"/>
    <d v="2025-09-08T00:00:00"/>
    <s v="FB"/>
    <s v="Nayan Patel"/>
    <s v="Vadodara"/>
    <s v="Gujarat"/>
    <x v="0"/>
    <s v="   1,07,000"/>
    <x v="31"/>
  </r>
  <r>
    <s v="EOS0709"/>
    <d v="2025-09-08T00:00:00"/>
    <s v="FB"/>
    <s v="Asmat Varaiya"/>
    <s v="Ahmedabad"/>
    <s v="Gujarat"/>
    <x v="0"/>
    <s v="   1,77,000"/>
    <x v="0"/>
  </r>
  <r>
    <s v="EOS0710"/>
    <d v="2025-09-08T00:00:00"/>
    <s v="FB"/>
    <s v="Md Fyaj"/>
    <s v="Surat"/>
    <s v="Gujarat"/>
    <x v="0"/>
    <s v="   1,07,000"/>
    <x v="0"/>
  </r>
  <r>
    <s v="EOS0711"/>
    <d v="2025-09-08T00:00:00"/>
    <s v="FB"/>
    <s v="Naksh Rajput"/>
    <s v="Surendranagar"/>
    <s v="Gujarat"/>
    <x v="0"/>
    <s v="   1,07,000"/>
    <x v="124"/>
  </r>
  <r>
    <s v="EOS0712"/>
    <d v="2025-09-08T00:00:00"/>
    <s v="FB"/>
    <s v="Pragnesh Bhadka"/>
    <s v="Surendranagar"/>
    <s v="Gujarat"/>
    <x v="0"/>
    <s v="   1,07,000"/>
    <x v="125"/>
  </r>
  <r>
    <s v="EOS0713"/>
    <d v="2025-09-08T00:00:00"/>
    <s v="FB"/>
    <s v="Pinal Parekh"/>
    <s v="Bharuch"/>
    <s v="Gujarat"/>
    <x v="0"/>
    <s v="   1,77,000"/>
    <x v="24"/>
  </r>
  <r>
    <s v="EOS0714"/>
    <d v="2025-09-08T00:00:00"/>
    <s v="FB"/>
    <s v="Jignesh kumar Manilal patel"/>
    <s v="Virpur"/>
    <s v="Gujarat"/>
    <x v="0"/>
    <s v="   1,07,000"/>
    <x v="0"/>
  </r>
  <r>
    <s v="EOS0715"/>
    <d v="2025-09-08T00:00:00"/>
    <s v="FB"/>
    <s v="Arjun"/>
    <s v="Jamnagar"/>
    <s v="Gujarat"/>
    <x v="0"/>
    <s v="   1,77,000"/>
    <x v="0"/>
  </r>
  <r>
    <s v="EOS0716"/>
    <d v="2025-09-08T00:00:00"/>
    <s v="FB"/>
    <s v="A�kit Patel"/>
    <s v="Surat "/>
    <s v="Gujarat"/>
    <x v="0"/>
    <s v="   1,77,000"/>
    <x v="0"/>
  </r>
  <r>
    <s v="EOS0717"/>
    <d v="2025-09-08T00:00:00"/>
    <s v="FB"/>
    <s v="Bhavesh Khamal"/>
    <s v="Surat "/>
    <s v="Gujarat"/>
    <x v="0"/>
    <s v="   1,07,000"/>
    <x v="0"/>
  </r>
  <r>
    <s v="EOS0718"/>
    <d v="2025-09-08T00:00:00"/>
    <s v="FB"/>
    <s v="kishor"/>
    <m/>
    <s v="Gujarat"/>
    <x v="0"/>
    <s v="   1,07,000"/>
    <x v="0"/>
  </r>
  <r>
    <s v="EOS0719"/>
    <d v="2025-09-08T00:00:00"/>
    <s v="WA"/>
    <s v="Shaminur rahman"/>
    <m/>
    <s v="Meghalaya"/>
    <x v="0"/>
    <s v="   1,07,000"/>
    <x v="31"/>
  </r>
  <r>
    <s v="EOS0720"/>
    <d v="2025-09-08T00:00:00"/>
    <s v="WA"/>
    <s v="Devendra gosavi"/>
    <m/>
    <s v="Madhya Pradesh"/>
    <x v="0"/>
    <s v="   1,07,000"/>
    <x v="24"/>
  </r>
  <r>
    <s v="EOS0721"/>
    <d v="2025-09-08T00:00:00"/>
    <s v="WA"/>
    <s v="Pathik patel"/>
    <s v="Amroli Surat "/>
    <s v="Gujarat"/>
    <x v="0"/>
    <s v="   1,07,000"/>
    <x v="126"/>
  </r>
  <r>
    <s v="EOS0722"/>
    <d v="2025-09-09T00:00:00"/>
    <s v="FB"/>
    <s v="Aniket "/>
    <s v="Idar"/>
    <s v="Gujarat"/>
    <x v="0"/>
    <s v="   1,77,000"/>
    <x v="37"/>
  </r>
  <r>
    <s v="EOS0723"/>
    <d v="2025-09-09T00:00:00"/>
    <s v="FB"/>
    <s v="Hasmita Jadeja "/>
    <m/>
    <s v="Gujarat"/>
    <x v="0"/>
    <s v="   1,77,000"/>
    <x v="24"/>
  </r>
  <r>
    <s v="EOS0724"/>
    <d v="2025-09-09T00:00:00"/>
    <s v="FB"/>
    <s v="Vishal Ahir"/>
    <s v="Rajkot"/>
    <s v="Gujarat"/>
    <x v="0"/>
    <s v="   1,77,000"/>
    <x v="0"/>
  </r>
  <r>
    <s v="EOS0725"/>
    <d v="2025-09-09T00:00:00"/>
    <s v="FB"/>
    <s v="Vala Divyaraj Sin"/>
    <s v="Jamnagar"/>
    <s v="Gujarat"/>
    <x v="0"/>
    <s v="   1,77,000"/>
    <x v="0"/>
  </r>
  <r>
    <s v="EOS0726"/>
    <d v="2025-09-09T00:00:00"/>
    <s v="WA"/>
    <s v="Balkrishna Baldha"/>
    <m/>
    <m/>
    <x v="0"/>
    <s v="   1,07,000"/>
    <x v="124"/>
  </r>
  <r>
    <s v="EOS0727"/>
    <d v="2025-09-09T00:00:00"/>
    <s v="WA"/>
    <s v="Kadar Kakal"/>
    <s v="Jamnagar"/>
    <s v="Gujarat "/>
    <x v="0"/>
    <s v="   1,77,000"/>
    <x v="24"/>
  </r>
  <r>
    <s v="EOS0728"/>
    <d v="2025-09-09T00:00:00"/>
    <s v="WA"/>
    <s v="Jaydip vajkani"/>
    <s v="Rajkot"/>
    <s v="Gujarat "/>
    <x v="0"/>
    <s v="   1,77,000"/>
    <x v="0"/>
  </r>
  <r>
    <s v="EOS0729"/>
    <d v="2025-09-09T00:00:00"/>
    <s v="WA"/>
    <s v="Pankaj sharma"/>
    <s v="Jamnagar"/>
    <s v="Gujarat "/>
    <x v="0"/>
    <s v="   1,77,000"/>
    <x v="0"/>
  </r>
  <r>
    <s v="EOS0730"/>
    <d v="2025-09-10T00:00:00"/>
    <s v="FB"/>
    <s v="Adity chaudhary"/>
    <s v="Patan"/>
    <s v="Gujarat "/>
    <x v="0"/>
    <s v="   1,77,000"/>
    <x v="56"/>
  </r>
  <r>
    <s v="EOS0731"/>
    <d v="2025-09-10T00:00:00"/>
    <s v="FB"/>
    <s v="Ravi Chopda"/>
    <s v="Veraval"/>
    <s v="Gujarat "/>
    <x v="0"/>
    <s v="   1,77,000"/>
    <x v="24"/>
  </r>
  <r>
    <s v="EOS0732"/>
    <d v="2025-09-10T00:00:00"/>
    <s v="FB"/>
    <s v="Omkar Gauswami"/>
    <s v="Patan"/>
    <s v="Gujarat "/>
    <x v="0"/>
    <s v="   1,77,000"/>
    <x v="24"/>
  </r>
  <r>
    <s v="EOS0733"/>
    <d v="2025-09-10T00:00:00"/>
    <s v="FB"/>
    <s v="Koli Amit"/>
    <s v="Vadodara"/>
    <s v="Gujarat "/>
    <x v="0"/>
    <s v="   1,77,000"/>
    <x v="66"/>
  </r>
  <r>
    <s v="EOS0734"/>
    <d v="2025-09-10T00:00:00"/>
    <s v="FB"/>
    <s v="Aryankumar Ganeshbhai Bharwad"/>
    <s v="Ahmedabad"/>
    <s v="Gujarat "/>
    <x v="0"/>
    <s v="   1,77,000"/>
    <x v="127"/>
  </r>
  <r>
    <s v="EOS0735"/>
    <d v="2025-09-10T00:00:00"/>
    <s v="FB"/>
    <s v="DAVID KATHAD"/>
    <s v="Sutrapada"/>
    <s v="Gujarat "/>
    <x v="0"/>
    <s v="   1,77,000"/>
    <x v="0"/>
  </r>
  <r>
    <s v="EOS0736"/>
    <d v="2025-09-10T00:00:00"/>
    <s v="WA"/>
    <s v="Ritesh panchal"/>
    <s v="Vadodara"/>
    <s v="Gujarat "/>
    <x v="2"/>
    <s v="   1,77,000"/>
    <x v="1"/>
  </r>
  <r>
    <s v="EOS0737"/>
    <d v="2025-09-10T00:00:00"/>
    <s v="WA"/>
    <s v="Manohar"/>
    <s v="Vadodara"/>
    <s v="Gujarat "/>
    <x v="0"/>
    <s v="   1,07,000"/>
    <x v="0"/>
  </r>
  <r>
    <s v="EOS0738"/>
    <d v="2025-09-11T00:00:00"/>
    <s v="FB"/>
    <s v="Manish Bhoi"/>
    <m/>
    <s v="Gujarat "/>
    <x v="0"/>
    <s v="   1,07,000"/>
    <x v="128"/>
  </r>
  <r>
    <s v="EOS0739"/>
    <d v="2025-09-11T00:00:00"/>
    <s v="FB"/>
    <s v="Vinay Attu"/>
    <s v="Dahod"/>
    <s v="Gujarat "/>
    <x v="0"/>
    <s v="   1,77,000"/>
    <x v="24"/>
  </r>
  <r>
    <s v="EOS0740"/>
    <d v="2025-09-11T00:00:00"/>
    <s v="FB"/>
    <s v="Rajendersingh Sisodiya"/>
    <s v="Ahmedabad"/>
    <s v="Gujarat "/>
    <x v="0"/>
    <s v="   1,77,000"/>
    <x v="24"/>
  </r>
  <r>
    <s v="EOS0741"/>
    <d v="2025-09-11T00:00:00"/>
    <s v="FB"/>
    <s v="HARSH"/>
    <s v="Una"/>
    <s v="Gujarat "/>
    <x v="0"/>
    <s v="   1,77,000"/>
    <x v="0"/>
  </r>
  <r>
    <s v="EOS0742"/>
    <d v="2025-09-11T00:00:00"/>
    <s v="FB"/>
    <s v="Chavda"/>
    <m/>
    <s v="Gujarat "/>
    <x v="0"/>
    <s v="   1,77,000"/>
    <x v="0"/>
  </r>
  <r>
    <s v="EOS0743"/>
    <d v="2025-09-11T00:00:00"/>
    <s v="FB"/>
    <s v="Mohd Sheikh "/>
    <m/>
    <s v="Gujarat "/>
    <x v="0"/>
    <s v="   1,77,000"/>
    <x v="24"/>
  </r>
  <r>
    <s v="EOS0744"/>
    <d v="2025-09-11T00:00:00"/>
    <s v="WA"/>
    <s v="Parmar ramde"/>
    <s v="Bhogat"/>
    <n v="3"/>
    <x v="0"/>
    <s v="   1,77,000"/>
    <x v="0"/>
  </r>
  <r>
    <s v="EOS0745"/>
    <d v="2025-09-12T00:00:00"/>
    <s v="FB"/>
    <s v="Dharmendrasinh Rathod"/>
    <s v="Botad"/>
    <s v="Gujarat "/>
    <x v="0"/>
    <s v="   1,07,000"/>
    <x v="31"/>
  </r>
  <r>
    <s v="EOS0746"/>
    <d v="2025-09-12T00:00:00"/>
    <s v="WA"/>
    <s v="Subal das"/>
    <m/>
    <s v="West Bengal"/>
    <x v="0"/>
    <s v="   1,07,000"/>
    <x v="0"/>
  </r>
  <r>
    <s v="EOS0747"/>
    <d v="2025-09-12T00:00:00"/>
    <s v="FB"/>
    <s v="Dharmesh Darji"/>
    <s v="Ahmedabad"/>
    <s v="Gujarat "/>
    <x v="0"/>
    <s v="   1,77,000"/>
    <x v="0"/>
  </r>
  <r>
    <s v="EOS0748"/>
    <d v="2025-09-12T00:00:00"/>
    <s v="FB"/>
    <s v="Kevalsinh Thakor"/>
    <s v="Patan"/>
    <s v="Gujarat "/>
    <x v="0"/>
    <s v="   1,77,000"/>
    <x v="24"/>
  </r>
  <r>
    <s v="EOS0749"/>
    <d v="2025-09-12T00:00:00"/>
    <s v="FB"/>
    <s v="Vishal"/>
    <s v="Santramapur"/>
    <s v="Gujarat "/>
    <x v="0"/>
    <s v="   1,77,000"/>
    <x v="0"/>
  </r>
  <r>
    <s v="EOS0750"/>
    <d v="2025-09-12T00:00:00"/>
    <s v="FB"/>
    <s v="Naresh Thakor"/>
    <m/>
    <s v="Gujarat "/>
    <x v="0"/>
    <s v="   1,07,000"/>
    <x v="31"/>
  </r>
  <r>
    <s v="EOS0751"/>
    <d v="2025-09-12T00:00:00"/>
    <s v="FB"/>
    <s v="Kasid Malik"/>
    <s v="Jaipur"/>
    <s v="Rajestan"/>
    <x v="0"/>
    <s v="   1,07,000"/>
    <x v="0"/>
  </r>
  <r>
    <s v="EOS0752"/>
    <d v="2025-09-12T00:00:00"/>
    <s v="FB"/>
    <s v="Maharaj Saurabh Rawat"/>
    <m/>
    <m/>
    <x v="0"/>
    <s v="   1,07,000"/>
    <x v="31"/>
  </r>
  <r>
    <s v="EOS0753"/>
    <d v="2025-09-12T00:00:00"/>
    <s v="WA"/>
    <s v="Ankit Bhatia"/>
    <s v="Delhi "/>
    <s v="Delhi "/>
    <x v="0"/>
    <s v="   1,77,000"/>
    <x v="0"/>
  </r>
  <r>
    <s v="EOS0754"/>
    <d v="2025-09-12T00:00:00"/>
    <s v="WA"/>
    <s v="Ameer Meena"/>
    <s v="Jaipur "/>
    <s v="Rajestan"/>
    <x v="0"/>
    <s v="   1,07,000"/>
    <x v="0"/>
  </r>
  <r>
    <s v="EOS0755"/>
    <d v="2025-09-12T00:00:00"/>
    <s v="FB"/>
    <s v="Suraj "/>
    <s v="Gandhinagar"/>
    <s v="Gujarat "/>
    <x v="0"/>
    <s v="   1,77,000"/>
    <x v="24"/>
  </r>
  <r>
    <s v="EOS0756"/>
    <d v="2025-09-12T00:00:00"/>
    <s v="FB"/>
    <s v="Varu Chhatrajitbhai"/>
    <s v="Amreli"/>
    <s v="Gujarat "/>
    <x v="0"/>
    <s v="   1,07,000"/>
    <x v="31"/>
  </r>
  <r>
    <s v="EOS0757"/>
    <d v="2025-09-12T00:00:00"/>
    <s v="FB"/>
    <s v="Dipak parmar"/>
    <s v="Rajpipla"/>
    <s v="Gujarat "/>
    <x v="0"/>
    <s v="   1,07,000"/>
    <x v="0"/>
  </r>
  <r>
    <s v="EOS0758"/>
    <d v="2025-09-12T00:00:00"/>
    <s v="FB"/>
    <s v="Premji Vaghel"/>
    <s v="patan "/>
    <s v="Gujarat "/>
    <x v="0"/>
    <s v="   1,07,000"/>
    <x v="24"/>
  </r>
  <r>
    <s v="EOS0759"/>
    <d v="2025-09-12T00:00:00"/>
    <s v="FB"/>
    <s v="Farhin mohsi"/>
    <s v="Vadodara"/>
    <s v="Gujarat "/>
    <x v="0"/>
    <s v="   1,77,000"/>
    <x v="24"/>
  </r>
  <r>
    <s v="EOS0760"/>
    <d v="2025-09-12T00:00:00"/>
    <s v="FB"/>
    <s v="Darshak"/>
    <s v="Dwarka"/>
    <s v="Gujarat "/>
    <x v="0"/>
    <s v="   1,77,000"/>
    <x v="129"/>
  </r>
  <r>
    <s v="EOS0761"/>
    <d v="2025-09-12T00:00:00"/>
    <s v="FB"/>
    <s v="Dhaval Rathod"/>
    <s v="Ahmedabad"/>
    <s v="Gujarat "/>
    <x v="0"/>
    <s v="   1,07,000"/>
    <x v="0"/>
  </r>
  <r>
    <s v="EOS0762"/>
    <d v="2025-09-12T00:00:00"/>
    <s v="FB"/>
    <s v="rathod kanaksinh"/>
    <s v="Jamnagar"/>
    <s v="Gujarat "/>
    <x v="0"/>
    <s v="   1,07,000"/>
    <x v="0"/>
  </r>
  <r>
    <s v="EOS0763"/>
    <d v="2025-09-13T00:00:00"/>
    <s v="FB"/>
    <s v="Rupak Ranja"/>
    <s v="Surat "/>
    <s v="Gujarat "/>
    <x v="0"/>
    <s v="   1,77,000"/>
    <x v="3"/>
  </r>
  <r>
    <s v="EOS0764"/>
    <d v="2025-09-13T00:00:00"/>
    <s v="FB"/>
    <s v="Kiran Modhavadiya"/>
    <s v="porbandra"/>
    <s v="Gujarat "/>
    <x v="0"/>
    <s v="   1,77,000"/>
    <x v="0"/>
  </r>
  <r>
    <s v="EOS0765"/>
    <d v="2025-09-13T00:00:00"/>
    <s v="FB"/>
    <s v="Dharesh Gamara"/>
    <m/>
    <m/>
    <x v="0"/>
    <s v="   1,07,000"/>
    <x v="91"/>
  </r>
  <r>
    <s v="EOS0766"/>
    <d v="2025-09-13T00:00:00"/>
    <s v="FB"/>
    <s v="Hiren Patel"/>
    <s v="Surat "/>
    <s v="Gujarat"/>
    <x v="2"/>
    <s v="   1,77,000"/>
    <x v="1"/>
  </r>
  <r>
    <s v="EOS0767"/>
    <d v="2025-09-13T00:00:00"/>
    <s v="FB"/>
    <s v="Hirani mansukh"/>
    <s v="Bhuj"/>
    <s v="Gujarat "/>
    <x v="0"/>
    <s v="   1,77,000"/>
    <x v="0"/>
  </r>
  <r>
    <s v="EOS0768"/>
    <d v="2025-09-13T00:00:00"/>
    <s v="FB"/>
    <s v="Ayzaz"/>
    <s v="Palanpur"/>
    <s v="Gujarat "/>
    <x v="0"/>
    <s v="   1,77,000"/>
    <x v="0"/>
  </r>
  <r>
    <s v="EOS0769"/>
    <d v="2025-09-15T00:00:00"/>
    <s v="FB"/>
    <s v="Sunilbhai"/>
    <s v="Vadodara"/>
    <s v="Gujarat "/>
    <x v="0"/>
    <s v="   1,77,000"/>
    <x v="0"/>
  </r>
  <r>
    <s v="EOS0770"/>
    <d v="2025-09-15T00:00:00"/>
    <s v="FB"/>
    <s v="Sunil Joshi"/>
    <s v="Vadodara"/>
    <s v="Gujarat "/>
    <x v="0"/>
    <s v="   1,77,000"/>
    <x v="0"/>
  </r>
  <r>
    <s v="EOS0771"/>
    <d v="2025-09-15T00:00:00"/>
    <s v="FB"/>
    <s v="Natvarsinh kalyansinh Makavan"/>
    <s v="himmatnagar"/>
    <s v="Gujarat "/>
    <x v="0"/>
    <s v="   1,07,000"/>
    <x v="0"/>
  </r>
  <r>
    <s v="EOS0772"/>
    <d v="2025-09-15T00:00:00"/>
    <s v="FB"/>
    <s v="Pulkit Pathak"/>
    <m/>
    <s v="Gujarat "/>
    <x v="0"/>
    <s v="   1,77,000"/>
    <x v="130"/>
  </r>
  <r>
    <s v="EOS0773"/>
    <d v="2025-09-15T00:00:00"/>
    <s v="FB"/>
    <s v="Patel rajesh"/>
    <m/>
    <s v="Gujarat "/>
    <x v="0"/>
    <s v="   1,77,000"/>
    <x v="0"/>
  </r>
  <r>
    <s v="EOS0774"/>
    <d v="2025-09-15T00:00:00"/>
    <s v="FB"/>
    <s v="Avdhesh Mishra"/>
    <m/>
    <s v="Gujarat "/>
    <x v="0"/>
    <s v="   1,77,000"/>
    <x v="0"/>
  </r>
  <r>
    <s v="EOS0775"/>
    <d v="2025-09-15T00:00:00"/>
    <s v="FB"/>
    <s v="savan_thakor_9739"/>
    <s v="Sacan"/>
    <s v="Gujarat "/>
    <x v="0"/>
    <s v="   1,77,000"/>
    <x v="0"/>
  </r>
  <r>
    <s v="EOS0776"/>
    <d v="2025-09-15T00:00:00"/>
    <s v="FB"/>
    <s v="Priya"/>
    <m/>
    <s v="Gujarat "/>
    <x v="0"/>
    <s v="   1,77,000"/>
    <x v="0"/>
  </r>
  <r>
    <s v="EOS0777"/>
    <d v="2025-09-16T00:00:00"/>
    <s v="FB"/>
    <s v="Shiv"/>
    <s v="Ahmedabad"/>
    <s v="Gujarat "/>
    <x v="0"/>
    <s v="   1,77,000"/>
    <x v="24"/>
  </r>
  <r>
    <s v="EOS0778"/>
    <d v="2025-09-16T00:00:00"/>
    <s v="FB"/>
    <s v="Kamil Vahora"/>
    <m/>
    <s v="Gujarat "/>
    <x v="0"/>
    <s v="   1,07,000"/>
    <x v="0"/>
  </r>
  <r>
    <s v="EOS0779"/>
    <d v="2025-09-16T00:00:00"/>
    <s v="FB"/>
    <s v="Raja Malik"/>
    <m/>
    <s v="Gujarat "/>
    <x v="0"/>
    <s v="   1,07,000"/>
    <x v="0"/>
  </r>
  <r>
    <s v="EOS0780"/>
    <d v="2025-09-18T00:00:00"/>
    <s v="FB"/>
    <s v="Rizwan Khamu"/>
    <s v="Vadodara"/>
    <s v="Gujarat "/>
    <x v="0"/>
    <s v="   1,77,000"/>
    <x v="24"/>
  </r>
  <r>
    <s v="EOS0781"/>
    <d v="2025-09-18T00:00:00"/>
    <s v="FB"/>
    <s v="Mayur boliya"/>
    <m/>
    <s v="Gujarat "/>
    <x v="0"/>
    <s v="   1,77,000"/>
    <x v="24"/>
  </r>
  <r>
    <s v="EOS0782"/>
    <d v="2025-09-18T00:00:00"/>
    <s v="FB"/>
    <s v="Moghaji"/>
    <m/>
    <s v="Gujarat "/>
    <x v="0"/>
    <s v="   1,77,000"/>
    <x v="131"/>
  </r>
  <r>
    <s v="EOS0783"/>
    <d v="2025-09-19T00:00:00"/>
    <s v="FB"/>
    <s v="Meet bhansali"/>
    <s v="Surat "/>
    <s v="Gujarat "/>
    <x v="0"/>
    <s v="   1,77,000"/>
    <x v="72"/>
  </r>
  <r>
    <s v="EOS0784"/>
    <d v="2025-09-19T00:00:00"/>
    <s v="FB"/>
    <s v="Rushikesh Solanki"/>
    <s v=" Bhavnagar"/>
    <s v="Gujarat "/>
    <x v="0"/>
    <s v="   1,77,000"/>
    <x v="6"/>
  </r>
  <r>
    <s v="EOS0785"/>
    <d v="2025-09-19T00:00:00"/>
    <s v="FB"/>
    <s v="Bhagirath Kucha"/>
    <m/>
    <s v="Gujarat "/>
    <x v="0"/>
    <s v="   1,77,000"/>
    <x v="72"/>
  </r>
  <r>
    <s v="EOS0786"/>
    <d v="2025-09-19T00:00:00"/>
    <s v="FB"/>
    <s v="vaibhav Patel"/>
    <m/>
    <s v="Gujarat "/>
    <x v="0"/>
    <s v="   1,77,000"/>
    <x v="72"/>
  </r>
  <r>
    <s v="EOS0787"/>
    <d v="2025-09-19T00:00:00"/>
    <s v="FB"/>
    <s v="Sandip Pandya"/>
    <s v="Gandhinagar"/>
    <s v="Gujarat "/>
    <x v="0"/>
    <s v="   1,77,000"/>
    <x v="72"/>
  </r>
  <r>
    <s v="EOS0788"/>
    <d v="2025-09-20T00:00:00"/>
    <s v="FB"/>
    <s v="Jugal Rathod"/>
    <s v="Surat"/>
    <s v="Gujarat "/>
    <x v="0"/>
    <s v="   1,77,000"/>
    <x v="132"/>
  </r>
  <r>
    <s v="EOS0789"/>
    <d v="2025-09-20T00:00:00"/>
    <s v="FB"/>
    <s v="VIMLESH PATEL"/>
    <s v="Surat "/>
    <s v="Gujarat "/>
    <x v="0"/>
    <s v="   1,77,000"/>
    <x v="0"/>
  </r>
  <r>
    <s v="EOS0790"/>
    <d v="2025-09-20T00:00:00"/>
    <s v="FB"/>
    <s v="Mohsin pinjari"/>
    <s v="Surat "/>
    <s v="Gujarat "/>
    <x v="0"/>
    <s v="   1,77,000"/>
    <x v="0"/>
  </r>
  <r>
    <s v="EOS0791"/>
    <d v="2025-09-20T00:00:00"/>
    <s v="FB"/>
    <s v="DIXIT PANDYA"/>
    <s v="Surat "/>
    <s v="Gujarat "/>
    <x v="0"/>
    <s v="   1,77,000"/>
    <x v="24"/>
  </r>
  <r>
    <s v="EOS0792"/>
    <d v="2025-09-20T00:00:00"/>
    <s v="FB"/>
    <s v="VISHAL MAKWAN"/>
    <s v="Ahmedabad"/>
    <s v="Gujarat "/>
    <x v="0"/>
    <s v="   1,77,000"/>
    <x v="67"/>
  </r>
  <r>
    <s v="EOS0793"/>
    <d v="2025-09-20T00:00:00"/>
    <s v="FB"/>
    <s v="Pratik Savliya"/>
    <s v="Amreli"/>
    <s v="Gujarat "/>
    <x v="0"/>
    <s v="   1,77,000"/>
    <x v="6"/>
  </r>
  <r>
    <s v="EOS0794"/>
    <d v="2025-09-20T00:00:00"/>
    <s v="FB"/>
    <s v="Satish"/>
    <s v="Surendranagar"/>
    <s v="Gujarat "/>
    <x v="0"/>
    <s v="   1,77,000"/>
    <x v="68"/>
  </r>
  <r>
    <s v="EOS0795"/>
    <d v="2025-09-20T00:00:00"/>
    <s v="FB"/>
    <s v="Mukesh Paida"/>
    <s v="Gandhinagar"/>
    <s v="Gujarat "/>
    <x v="0"/>
    <s v="   1,77,000"/>
    <x v="68"/>
  </r>
  <r>
    <s v="EOS0796"/>
    <d v="2025-09-20T00:00:00"/>
    <s v="FB"/>
    <s v="Parag Pandya"/>
    <s v="Rajkot"/>
    <s v="Gujarat "/>
    <x v="0"/>
    <s v="   1,77,000"/>
    <x v="50"/>
  </r>
  <r>
    <s v="EOS0797"/>
    <d v="2025-09-20T00:00:00"/>
    <s v="FB"/>
    <s v="Gohil "/>
    <m/>
    <s v="Gujarat "/>
    <x v="0"/>
    <s v="   1,77,000"/>
    <x v="47"/>
  </r>
  <r>
    <s v="EOS0798"/>
    <d v="2025-09-20T00:00:00"/>
    <s v="FB"/>
    <s v="Parmar Ajay"/>
    <s v="Surat"/>
    <s v="Gujarat "/>
    <x v="0"/>
    <s v="   1,77,000"/>
    <x v="50"/>
  </r>
  <r>
    <s v="EOS0799"/>
    <d v="2025-09-22T00:00:00"/>
    <s v="FB"/>
    <s v="Yagnik Malani"/>
    <s v="Kundla "/>
    <s v="Gujarat "/>
    <x v="0"/>
    <s v="   1,77,000"/>
    <x v="50"/>
  </r>
  <r>
    <s v="EOS0800"/>
    <d v="2025-09-22T00:00:00"/>
    <s v="FB"/>
    <s v="Iqbal Patel"/>
    <s v="Bharuch"/>
    <s v="Gujarat "/>
    <x v="0"/>
    <s v="   1,77,000"/>
    <x v="47"/>
  </r>
  <r>
    <s v="EOS0801"/>
    <d v="2025-09-22T00:00:00"/>
    <s v="FB"/>
    <s v="Paresh Dhobi"/>
    <m/>
    <s v="Gujarat "/>
    <x v="0"/>
    <s v="   1,07,000"/>
    <x v="0"/>
  </r>
  <r>
    <s v="EOS0802"/>
    <d v="2025-09-22T00:00:00"/>
    <s v="FB"/>
    <s v="Emran Shekh"/>
    <s v="Jafarabad"/>
    <s v="Gujarat "/>
    <x v="0"/>
    <s v="   1,77,000"/>
    <x v="0"/>
  </r>
  <r>
    <s v="EOS0803"/>
    <d v="2025-09-22T00:00:00"/>
    <s v="FB"/>
    <s v="rohit_18"/>
    <s v="Jambusar"/>
    <s v="Gujarat "/>
    <x v="0"/>
    <s v="   1,77,000"/>
    <x v="47"/>
  </r>
  <r>
    <s v="EOS0804"/>
    <d v="2025-09-22T00:00:00"/>
    <s v="FB"/>
    <s v="BAVALIYA ASHOKBHAI"/>
    <s v="Botad "/>
    <s v="Gujarat "/>
    <x v="0"/>
    <s v="   1,77,000"/>
    <x v="0"/>
  </r>
  <r>
    <s v="EOS0805"/>
    <d v="2025-09-22T00:00:00"/>
    <s v="FB"/>
    <s v="Riyaz Saiyed Qutbi"/>
    <s v="Anand "/>
    <s v="Gujarat "/>
    <x v="0"/>
    <s v="   1,07,000"/>
    <x v="0"/>
  </r>
  <r>
    <s v="EOS0806"/>
    <d v="2025-09-22T00:00:00"/>
    <s v="FB"/>
    <s v="Naresh Boliya"/>
    <s v="surat"/>
    <s v="Gujarat "/>
    <x v="0"/>
    <s v="   1,07,000"/>
    <x v="42"/>
  </r>
  <r>
    <s v="EOS0807"/>
    <d v="2025-09-22T00:00:00"/>
    <s v="FB"/>
    <s v="Suyansh Rojiya"/>
    <s v="surat"/>
    <s v="Gujarat "/>
    <x v="0"/>
    <s v="   1,77,000"/>
    <x v="47"/>
  </r>
  <r>
    <s v="EOS0808"/>
    <d v="2025-09-22T00:00:00"/>
    <s v="FB"/>
    <s v="Dhrutish Prajapati"/>
    <s v="kadi "/>
    <s v="Gujarat "/>
    <x v="0"/>
    <s v="   1,07,000"/>
    <x v="0"/>
  </r>
  <r>
    <s v="EOS0809"/>
    <d v="2025-09-22T00:00:00"/>
    <s v="FB"/>
    <s v="Kalariya Vijay"/>
    <s v="Upetla "/>
    <s v="Gujarat "/>
    <x v="0"/>
    <s v="   1,77,000"/>
    <x v="133"/>
  </r>
  <r>
    <s v="EOS0810"/>
    <d v="2025-09-22T00:00:00"/>
    <s v="FB"/>
    <s v="Mukesh Chaudhary"/>
    <s v="Tarad "/>
    <s v="Gujarat "/>
    <x v="0"/>
    <s v="   1,77,000"/>
    <x v="134"/>
  </r>
  <r>
    <s v="EOS0811"/>
    <d v="2025-09-23T00:00:00"/>
    <s v="FB"/>
    <s v="Kanabhai Chauhan"/>
    <s v="Palanpur"/>
    <s v="Gujarat "/>
    <x v="0"/>
    <s v="   1,77,000"/>
    <x v="0"/>
  </r>
  <r>
    <s v="EOS0812"/>
    <d v="2025-09-23T00:00:00"/>
    <s v="FB"/>
    <s v="Barkat Mehar"/>
    <s v="Tharad"/>
    <s v="Gujarat "/>
    <x v="0"/>
    <s v="   1,77,000"/>
    <x v="0"/>
  </r>
  <r>
    <s v="EOS0813"/>
    <d v="2025-09-23T00:00:00"/>
    <s v="FB"/>
    <s v="Huzaifa Mulla"/>
    <s v="Chikali"/>
    <s v="Gujarat "/>
    <x v="0"/>
    <s v="   1,77,000"/>
    <x v="0"/>
  </r>
  <r>
    <s v="EOS0814"/>
    <d v="2025-09-23T00:00:00"/>
    <s v="FB"/>
    <s v="Mahek Kher"/>
    <s v="Amreli"/>
    <s v="Gujarat "/>
    <x v="0"/>
    <s v="   1,77,000"/>
    <x v="135"/>
  </r>
  <r>
    <s v="EOS0815"/>
    <d v="2025-09-23T00:00:00"/>
    <s v="FB"/>
    <s v="Kishan Kanmiya"/>
    <s v=" Bhavnagar"/>
    <s v="Gujarat "/>
    <x v="0"/>
    <s v="   1,77,000"/>
    <x v="91"/>
  </r>
  <r>
    <s v="EOS0816"/>
    <d v="2025-09-23T00:00:00"/>
    <s v="FB"/>
    <s v="rathod Pradipsinh"/>
    <s v="Ahmedabad"/>
    <s v="Gujarat "/>
    <x v="0"/>
    <s v="   1,77,000"/>
    <x v="0"/>
  </r>
  <r>
    <s v="EOS0817"/>
    <d v="2025-09-23T00:00:00"/>
    <s v="WA"/>
    <s v="Raj"/>
    <s v="Surat "/>
    <s v="Gujarat "/>
    <x v="0"/>
    <s v="   1,77,000"/>
    <x v="136"/>
  </r>
  <r>
    <s v="EOS0818"/>
    <d v="2025-09-23T00:00:00"/>
    <s v="WA"/>
    <s v="Firoz"/>
    <s v="kalol"/>
    <s v="Gujarat "/>
    <x v="0"/>
    <s v="   1,77,000"/>
    <x v="0"/>
  </r>
  <r>
    <s v="EOS0819"/>
    <d v="2025-09-25T00:00:00"/>
    <s v="FB"/>
    <s v="Mohit "/>
    <s v="Rajkot"/>
    <s v="Gujarat "/>
    <x v="0"/>
    <s v="   1,77,000"/>
    <x v="0"/>
  </r>
  <r>
    <s v="EOS0820"/>
    <d v="2025-09-24T00:00:00"/>
    <s v="FB"/>
    <s v="Sheth Ankit"/>
    <m/>
    <s v="Gujarati "/>
    <x v="0"/>
    <s v="   1,77,000"/>
    <x v="0"/>
  </r>
  <r>
    <s v="EOS0821"/>
    <d v="2025-09-25T00:00:00"/>
    <s v="FB"/>
    <s v="Mayur Ratiya"/>
    <s v="porbandra "/>
    <s v="Gujarati "/>
    <x v="0"/>
    <s v="   1,77,000"/>
    <x v="0"/>
  </r>
  <r>
    <s v="EOS0822"/>
    <d v="2025-09-24T00:00:00"/>
    <s v="FB"/>
    <s v="Mahmad Iqbal Sheikh"/>
    <s v=" Bhavnagar"/>
    <s v="Gujarat "/>
    <x v="0"/>
    <s v="   1,77,000"/>
    <x v="0"/>
  </r>
  <r>
    <s v="EOS0823"/>
    <d v="2025-09-25T00:00:00"/>
    <s v="FB"/>
    <s v="Jagdish Chauhan"/>
    <s v="Tarapur"/>
    <s v="Gujarat "/>
    <x v="0"/>
    <s v="   1,77,000"/>
    <x v="0"/>
  </r>
  <r>
    <s v="EOS0824"/>
    <d v="2025-09-25T00:00:00"/>
    <s v="WA"/>
    <s v="SHAH KEYUR PARESHBHAI"/>
    <s v="Nadiad"/>
    <s v="Gujarati "/>
    <x v="0"/>
    <s v="   1,77,000"/>
    <x v="0"/>
  </r>
  <r>
    <s v="EOS0825"/>
    <d v="2025-09-25T00:00:00"/>
    <s v="FB"/>
    <s v="Baraiya Darshu"/>
    <m/>
    <s v="Gujarati "/>
    <x v="0"/>
    <s v="   1,77,000"/>
    <x v="0"/>
  </r>
  <r>
    <s v="EOS0826"/>
    <d v="2025-09-25T00:00:00"/>
    <s v="FB"/>
    <s v="Piyush Rathod"/>
    <s v="Dhawka "/>
    <s v="Gujarat "/>
    <x v="3"/>
    <s v="   1,77,000"/>
    <x v="137"/>
  </r>
  <r>
    <s v="EOS0827"/>
    <d v="2025-09-25T00:00:00"/>
    <s v="FB"/>
    <s v="Ankur Gamit"/>
    <s v="Surat "/>
    <s v="Gujarat "/>
    <x v="3"/>
    <s v="   1,77,000"/>
    <x v="138"/>
  </r>
  <r>
    <s v="EOS0828"/>
    <d v="2025-09-25T00:00:00"/>
    <s v="FB"/>
    <s v="Lokesh"/>
    <s v="Ahmedabad "/>
    <s v="Gujarat "/>
    <x v="3"/>
    <s v="   1,77,000"/>
    <x v="138"/>
  </r>
  <r>
    <s v="EOS0829"/>
    <d v="2025-09-25T00:00:00"/>
    <s v="FB"/>
    <s v="Jaypalsinh Chauhan"/>
    <s v="UMRETH"/>
    <s v="Gujarat "/>
    <x v="3"/>
    <s v="   1,77,000"/>
    <x v="138"/>
  </r>
  <r>
    <s v="EOS0830"/>
    <d v="2025-09-27T00:00:00"/>
    <s v="FB"/>
    <s v="Meena ben parek"/>
    <m/>
    <s v="Gujarati "/>
    <x v="0"/>
    <s v="   1,77,000"/>
    <x v="0"/>
  </r>
  <r>
    <s v="EOS0831"/>
    <d v="2025-09-27T00:00:00"/>
    <s v="FB"/>
    <s v="Adil Modasiya"/>
    <s v="Dahod"/>
    <s v="Gujarati "/>
    <x v="0"/>
    <s v="   1,77,000"/>
    <x v="0"/>
  </r>
  <r>
    <s v="EOS0832"/>
    <d v="2025-09-27T00:00:00"/>
    <s v="FB"/>
    <s v="Pratap"/>
    <s v="rajkot"/>
    <s v="Gujarat "/>
    <x v="0"/>
    <s v="   1,77,000"/>
    <x v="0"/>
  </r>
  <r>
    <s v="EOS0833"/>
    <d v="2025-09-27T00:00:00"/>
    <s v="FB"/>
    <s v="Jay rakholiya"/>
    <s v="Gondal "/>
    <s v="Gujarati "/>
    <x v="0"/>
    <s v="   1,77,000"/>
    <x v="0"/>
  </r>
  <r>
    <s v="EOS0834"/>
    <d v="2025-09-27T00:00:00"/>
    <s v="FB"/>
    <s v="Ashish"/>
    <s v="Jamnagar"/>
    <s v="Gujarat "/>
    <x v="0"/>
    <s v="   1,77,000"/>
    <x v="139"/>
  </r>
  <r>
    <s v="EOS0835"/>
    <d v="2025-09-27T00:00:00"/>
    <s v="FB"/>
    <s v="Satish Ahir"/>
    <s v="Rajkot"/>
    <s v="Gujarat "/>
    <x v="3"/>
    <s v="   1,77,000"/>
    <x v="140"/>
  </r>
  <r>
    <s v="EOS0836"/>
    <d v="2025-09-28T00:00:00"/>
    <s v="FB"/>
    <s v="Atul Raval"/>
    <s v="Ahmedabad"/>
    <s v="Gujarat "/>
    <x v="3"/>
    <s v="   1,77,000"/>
    <x v="141"/>
  </r>
  <r>
    <s v="EOS0837"/>
    <d v="2025-09-28T00:00:00"/>
    <s v="FB"/>
    <s v="Krunal"/>
    <s v="patan "/>
    <s v="Gujarat "/>
    <x v="3"/>
    <s v="   1,77,000"/>
    <x v="139"/>
  </r>
  <r>
    <s v="EOS0838"/>
    <d v="2025-09-28T00:00:00"/>
    <s v="FB"/>
    <s v="charoliya safvan"/>
    <s v="patan "/>
    <s v="Gujarati "/>
    <x v="0"/>
    <s v="   1,77,000"/>
    <x v="142"/>
  </r>
  <r>
    <s v="EOS0839"/>
    <d v="2025-09-28T00:00:00"/>
    <s v="FB"/>
    <s v="Kamlesh Kamlesh"/>
    <s v="Gandhinagar"/>
    <s v="Gujarat "/>
    <x v="3"/>
    <s v="   1,77,000"/>
    <x v="143"/>
  </r>
  <r>
    <s v="EOS0840"/>
    <d v="2025-09-29T00:00:00"/>
    <s v="FB"/>
    <s v="Aasim Sherpurawala"/>
    <s v="Bharuch"/>
    <s v="Gujarat "/>
    <x v="3"/>
    <s v="   1,77,000"/>
    <x v="143"/>
  </r>
  <r>
    <s v="EOS0841"/>
    <d v="2025-09-29T00:00:00"/>
    <s v="FB"/>
    <s v="Md.Safi Shah"/>
    <s v="Botad"/>
    <s v="Gujarat "/>
    <x v="3"/>
    <s v="   1,77,000"/>
    <x v="37"/>
  </r>
  <r>
    <s v="EOS0842"/>
    <d v="2025-09-29T00:00:00"/>
    <s v="FB"/>
    <s v="Akram "/>
    <s v="Ulpeta "/>
    <s v="Gujarati "/>
    <x v="0"/>
    <s v="   1,77,000"/>
    <x v="0"/>
  </r>
  <r>
    <s v="EOS0843"/>
    <d v="2025-09-29T00:00:00"/>
    <s v="FB"/>
    <s v="Mori parvin"/>
    <s v="Ahmedabad"/>
    <s v="Gujarat "/>
    <x v="0"/>
    <s v="   1,77,000"/>
    <x v="0"/>
  </r>
  <r>
    <s v="EOS0844"/>
    <d v="2025-09-30T00:00:00"/>
    <s v="FB"/>
    <s v="Sheikh Adnan"/>
    <s v="Porbandra "/>
    <s v="Gujarat "/>
    <x v="0"/>
    <s v="   1,77,000"/>
    <x v="0"/>
  </r>
  <r>
    <s v="EOS0845"/>
    <d v="2025-09-30T00:00:00"/>
    <s v="FB"/>
    <s v="Shahrukh Kadiwala"/>
    <s v="Dhaboi"/>
    <s v="Gujarat "/>
    <x v="3"/>
    <s v="   1,77,000"/>
    <x v="37"/>
  </r>
  <r>
    <s v="EOS0846"/>
    <d v="2025-09-30T00:00:00"/>
    <s v="FB"/>
    <s v="Shubham "/>
    <m/>
    <s v="Gujarat "/>
    <x v="3"/>
    <s v="   1,77,000"/>
    <x v="143"/>
  </r>
  <r>
    <s v="EOS0847"/>
    <d v="2025-09-30T00:00:00"/>
    <s v="FB"/>
    <s v="Mushtaq kapadia"/>
    <s v="Surat "/>
    <s v="Gujarat "/>
    <x v="3"/>
    <s v="   1,77,000"/>
    <x v="134"/>
  </r>
  <r>
    <s v="EOS0848"/>
    <d v="2025-10-01T00:00:00"/>
    <s v="FB"/>
    <s v="himanshu ( Girish)"/>
    <s v="Mehsana"/>
    <s v="Gujarat "/>
    <x v="3"/>
    <s v="   1,77,000"/>
    <x v="37"/>
  </r>
  <r>
    <s v="EOS0849"/>
    <d v="2025-09-30T00:00:00"/>
    <s v="FB"/>
    <s v="Harish Panchal"/>
    <s v="Limdi"/>
    <s v="Gujarat "/>
    <x v="0"/>
    <s v="   1,77,000"/>
    <x v="144"/>
  </r>
  <r>
    <s v="EOS0850"/>
    <d v="2025-09-30T00:00:00"/>
    <s v="FB"/>
    <s v="Mohan desai"/>
    <s v="Ahmedabad"/>
    <s v="Gujarat "/>
    <x v="0"/>
    <s v="   1,77,000"/>
    <x v="144"/>
  </r>
  <r>
    <s v="EOS0851"/>
    <d v="2025-09-30T00:00:00"/>
    <s v="FB"/>
    <s v="chigs@Gym Love"/>
    <s v="Ahmedabad"/>
    <s v="Gujarat "/>
    <x v="3"/>
    <s v="   1,77,000"/>
    <x v="143"/>
  </r>
  <r>
    <s v="EOS0852"/>
    <d v="2025-10-03T00:00:00"/>
    <s v="FB"/>
    <s v="Vaghela Rahul Kaushik"/>
    <s v="Vadodara"/>
    <s v="Gujarat "/>
    <x v="3"/>
    <s v="   1,77,000"/>
    <x v="145"/>
  </r>
  <r>
    <s v="EOS0853"/>
    <d v="2025-10-03T00:00:00"/>
    <s v="FB"/>
    <s v="Vinod N Prajapati"/>
    <s v="Ahmedabad"/>
    <s v="Gujarat "/>
    <x v="0"/>
    <s v="   1,77,000"/>
    <x v="0"/>
  </r>
  <r>
    <s v="EOS0854"/>
    <d v="2025-10-03T00:00:00"/>
    <s v="FB"/>
    <s v="Pritesh Mehta"/>
    <s v="Ahmedabad"/>
    <s v="Gujarati "/>
    <x v="0"/>
    <s v="   1,77,000"/>
    <x v="0"/>
  </r>
  <r>
    <s v="EOS0855"/>
    <d v="2025-10-03T00:00:00"/>
    <s v="FB"/>
    <s v="Mustafa Gondalwala"/>
    <s v="Rajkot"/>
    <s v="Gujarat "/>
    <x v="0"/>
    <s v="   1,77,000"/>
    <x v="0"/>
  </r>
  <r>
    <s v="EOS0856"/>
    <d v="2025-10-03T00:00:00"/>
    <s v="FB"/>
    <s v="Pruthvirajsinh Vala"/>
    <s v="Talala"/>
    <s v="Gujarat "/>
    <x v="0"/>
    <s v="   1,77,000"/>
    <x v="0"/>
  </r>
  <r>
    <s v="EOS0857"/>
    <d v="2025-10-03T00:00:00"/>
    <s v="FB"/>
    <s v="Milan Thacker"/>
    <s v="Bhuj"/>
    <s v="Gujarat "/>
    <x v="3"/>
    <s v="   1,77,000"/>
    <x v="146"/>
  </r>
  <r>
    <s v="EOS0858"/>
    <d v="2025-10-03T00:00:00"/>
    <s v="FB"/>
    <s v="KAUSHIK Kumar s modi"/>
    <m/>
    <s v="Gujarat "/>
    <x v="3"/>
    <s v="   1,77,000"/>
    <x v="143"/>
  </r>
  <r>
    <s v="EOS0859"/>
    <d v="2025-10-08T00:00:00"/>
    <s v="FB"/>
    <s v="Dhanraj patil"/>
    <s v="Surat"/>
    <s v="Gujarat "/>
    <x v="3"/>
    <s v="   1,77,000"/>
    <x v="143"/>
  </r>
  <r>
    <s v="EOS0860"/>
    <d v="2025-10-08T00:00:00"/>
    <s v="FB"/>
    <s v="Desai"/>
    <m/>
    <s v="Gujarat "/>
    <x v="3"/>
    <s v="   1,77,000"/>
    <x v="143"/>
  </r>
  <r>
    <s v="EOS0861"/>
    <d v="2025-10-08T00:00:00"/>
    <s v="FB"/>
    <s v="Maggy Shah"/>
    <m/>
    <s v="Gujarat "/>
    <x v="3"/>
    <s v="   1,77,000"/>
    <x v="143"/>
  </r>
  <r>
    <s v="EOS0862"/>
    <d v="2025-10-08T00:00:00"/>
    <s v="FB"/>
    <s v="Vipul Desai"/>
    <s v="tharad"/>
    <s v="Gujarat "/>
    <x v="3"/>
    <s v="   1,77,000"/>
    <x v="143"/>
  </r>
  <r>
    <s v="EOS0863"/>
    <d v="2025-10-08T00:00:00"/>
    <s v="FB"/>
    <s v="Het Goswam"/>
    <s v="Mandvi"/>
    <s v="Gujarat "/>
    <x v="3"/>
    <s v="   1,77,000"/>
    <x v="143"/>
  </r>
  <r>
    <s v="EOS0864"/>
    <d v="2025-10-08T00:00:00"/>
    <s v="FB"/>
    <s v="Jignesh Shukla"/>
    <s v=" Bhavnagar"/>
    <s v="Gujarat "/>
    <x v="0"/>
    <s v="   1,77,000"/>
    <x v="136"/>
  </r>
  <r>
    <s v="EOS0865"/>
    <d v="2025-10-08T00:00:00"/>
    <s v="FB"/>
    <s v="Gajendrasinh R Vaghela"/>
    <s v="Rajkot"/>
    <s v="Gujarat "/>
    <x v="3"/>
    <s v="   1,77,000"/>
    <x v="143"/>
  </r>
  <r>
    <s v="EOS0866"/>
    <d v="2025-10-08T00:00:00"/>
    <s v="FB"/>
    <s v="Sandhya Prajapati"/>
    <m/>
    <s v="Gujarat "/>
    <x v="3"/>
    <s v="   1,77,000"/>
    <x v="143"/>
  </r>
  <r>
    <s v="EOS0867"/>
    <d v="2025-10-08T00:00:00"/>
    <s v="FB"/>
    <s v="Jayesh"/>
    <m/>
    <s v="Gujarat "/>
    <x v="3"/>
    <s v="   1,77,000"/>
    <x v="143"/>
  </r>
  <r>
    <s v="EOS0868"/>
    <d v="2025-10-08T00:00:00"/>
    <s v="FB"/>
    <m/>
    <m/>
    <s v="Gujarat "/>
    <x v="3"/>
    <s v="   1,77,000"/>
    <x v="143"/>
  </r>
  <r>
    <s v="EOS0869"/>
    <d v="2025-10-08T00:00:00"/>
    <s v="FB"/>
    <s v="Arif Malek"/>
    <m/>
    <s v="Gujarat "/>
    <x v="3"/>
    <s v="   1,77,000"/>
    <x v="143"/>
  </r>
  <r>
    <s v="EOS0870"/>
    <d v="2025-10-08T00:00:00"/>
    <s v="FB"/>
    <s v="Vikrant Pachoriya"/>
    <m/>
    <s v="Gujarat "/>
    <x v="3"/>
    <s v="   1,77,000"/>
    <x v="143"/>
  </r>
  <r>
    <s v="EOS0871"/>
    <d v="2025-10-08T00:00:00"/>
    <s v="FB"/>
    <s v="Rawana Prem Singh Mertiya"/>
    <m/>
    <s v="Gujarat "/>
    <x v="3"/>
    <s v="   1,77,000"/>
    <x v="143"/>
  </r>
  <r>
    <s v="EOS0872"/>
    <d v="2025-10-08T00:00:00"/>
    <s v="FB"/>
    <s v="Gprocks the world"/>
    <m/>
    <s v="Gujarat "/>
    <x v="3"/>
    <s v="   1,77,000"/>
    <x v="143"/>
  </r>
  <r>
    <s v="EOS0873"/>
    <d v="2025-10-08T00:00:00"/>
    <s v="FB"/>
    <s v="Kirti Patel"/>
    <m/>
    <s v="Gujarat "/>
    <x v="3"/>
    <s v="   1,77,000"/>
    <x v="143"/>
  </r>
  <r>
    <s v="EOS0874"/>
    <d v="2025-10-08T00:00:00"/>
    <s v="FB"/>
    <s v="Kiran Kumar Vuppala"/>
    <s v="Gandhidham"/>
    <s v="Gujarat "/>
    <x v="3"/>
    <s v="   1,77,000"/>
    <x v="143"/>
  </r>
  <r>
    <s v="EOS0875"/>
    <s v="09\10\2025"/>
    <s v="FB"/>
    <s v="Virendra Sinh Zala"/>
    <m/>
    <s v="Gujarat "/>
    <x v="3"/>
    <s v="   1,77,000"/>
    <x v="143"/>
  </r>
  <r>
    <s v="EOS0876"/>
    <s v="09\10\2025"/>
    <s v="FB"/>
    <s v="Bhavik Parmar"/>
    <m/>
    <s v="Gujarat "/>
    <x v="3"/>
    <s v="   1,77,000"/>
    <x v="143"/>
  </r>
  <r>
    <s v="EOS0877"/>
    <s v="09\10\2025"/>
    <s v="FB"/>
    <s v="Alkm Dan"/>
    <m/>
    <s v="Gujarat "/>
    <x v="0"/>
    <s v="   1,77,000"/>
    <x v="0"/>
  </r>
  <r>
    <s v="EOS0878"/>
    <s v="09\10\2025"/>
    <s v="FB"/>
    <s v="Dev Rana"/>
    <m/>
    <s v="Gujarat "/>
    <x v="3"/>
    <s v="   1,77,000"/>
    <x v="143"/>
  </r>
  <r>
    <s v="EOS0879"/>
    <d v="2025-10-14T00:00:00"/>
    <s v="FB"/>
    <s v="MOHSIN RATHOD"/>
    <m/>
    <s v="Gujarat "/>
    <x v="3"/>
    <s v="   1,77,000"/>
    <x v="143"/>
  </r>
  <r>
    <s v="EOS0880"/>
    <d v="2025-10-14T00:00:00"/>
    <s v="FB"/>
    <s v="Murtuza Panki"/>
    <m/>
    <s v="Gujarat "/>
    <x v="3"/>
    <s v="   1,77,000"/>
    <x v="143"/>
  </r>
  <r>
    <s v="EOS0881"/>
    <d v="2025-10-14T00:00:00"/>
    <s v="FB"/>
    <s v="Rabarimaulik"/>
    <m/>
    <s v="Gujarat "/>
    <x v="3"/>
    <s v="   1,77,000"/>
    <x v="143"/>
  </r>
  <r>
    <s v="EOS0882"/>
    <d v="2025-10-15T00:00:00"/>
    <s v="FB"/>
    <s v="Farhaz Mansur"/>
    <s v="Surat "/>
    <s v="Gujarat "/>
    <x v="3"/>
    <s v="   1,77,000"/>
    <x v="37"/>
  </r>
  <r>
    <s v="EOS0883"/>
    <d v="2025-10-15T00:00:00"/>
    <s v="FB"/>
    <s v="Anand"/>
    <s v="Vadodara"/>
    <s v="Gujarat "/>
    <x v="3"/>
    <s v="   1,77,000"/>
    <x v="143"/>
  </r>
  <r>
    <s v="EOS0884"/>
    <d v="2025-10-15T00:00:00"/>
    <s v="FB"/>
    <s v="himansu RANA"/>
    <s v="Vadodara"/>
    <s v="Gujarat "/>
    <x v="3"/>
    <s v="   1,77,000"/>
    <x v="37"/>
  </r>
  <r>
    <s v="EOS0885"/>
    <d v="2025-10-15T00:00:00"/>
    <s v="FB"/>
    <s v="Milan Vaghani"/>
    <s v="Surat"/>
    <s v="Gujarat "/>
    <x v="3"/>
    <s v="   1,77,000"/>
    <x v="37"/>
  </r>
  <r>
    <s v="EOS0886"/>
    <d v="2025-10-15T00:00:00"/>
    <s v="FB"/>
    <s v="Tushar Brahmbhatt"/>
    <s v="Vadodara"/>
    <s v="Gujarat "/>
    <x v="0"/>
    <s v="   1,77,000"/>
    <x v="50"/>
  </r>
  <r>
    <s v="EOS0887"/>
    <d v="2025-10-15T00:00:00"/>
    <s v="FB"/>
    <s v="Mohan rathor"/>
    <s v="Ahmedabad"/>
    <s v="Gujarat "/>
    <x v="0"/>
    <s v="   1,77,000"/>
    <x v="50"/>
  </r>
  <r>
    <s v="EOS0888"/>
    <d v="2025-10-15T00:00:00"/>
    <s v="WA"/>
    <s v="Harsh Wardhan"/>
    <m/>
    <s v="Bihar "/>
    <x v="0"/>
    <s v="   1,77,000"/>
    <x v="0"/>
  </r>
  <r>
    <s v="EOS0889"/>
    <d v="2025-10-15T00:00:00"/>
    <s v="FB"/>
    <s v="Ilyas Ghanchi"/>
    <s v="Vadodara"/>
    <s v="Gujarat "/>
    <x v="0"/>
    <s v="   1,77,000"/>
    <x v="0"/>
  </r>
  <r>
    <s v="EOS0890"/>
    <d v="2025-10-15T00:00:00"/>
    <s v="FB"/>
    <s v="Rajpurohit Loonsingh"/>
    <m/>
    <s v="Gujarat "/>
    <x v="3"/>
    <s v="   1,77,000"/>
    <x v="143"/>
  </r>
  <r>
    <s v="EOS0891"/>
    <d v="2025-10-15T00:00:00"/>
    <s v="FB"/>
    <s v="Rohit Mirani"/>
    <s v="Gandhidham"/>
    <s v="Gujarat "/>
    <x v="3"/>
    <s v="   1,77,000"/>
    <x v="143"/>
  </r>
  <r>
    <s v="EOS0892"/>
    <d v="2025-10-16T00:00:00"/>
    <s v="FB"/>
    <s v="Parthdevaliya"/>
    <s v="Surendranagar"/>
    <s v="Gujarat "/>
    <x v="3"/>
    <s v="   1,77,000"/>
    <x v="147"/>
  </r>
  <r>
    <s v="EOS0893"/>
    <d v="2025-10-16T00:00:00"/>
    <s v="FB"/>
    <s v="Atulsinh Zala"/>
    <s v="Ahmedabad"/>
    <s v="Gujarat "/>
    <x v="3"/>
    <s v="   1,77,000"/>
    <x v="143"/>
  </r>
  <r>
    <s v="EOS0894"/>
    <d v="2025-10-16T00:00:00"/>
    <s v="FB"/>
    <s v="Mahesh Thakkar"/>
    <m/>
    <s v="Gujarati "/>
    <x v="0"/>
    <s v="   1,77,000"/>
    <x v="148"/>
  </r>
  <r>
    <s v="EOS0895"/>
    <d v="2025-10-16T00:00:00"/>
    <s v="FB"/>
    <s v="Nilesh"/>
    <s v="Vadodara"/>
    <s v="Gujarat "/>
    <x v="3"/>
    <s v="   1,77,000"/>
    <x v="149"/>
  </r>
  <r>
    <s v="EOS0896"/>
    <d v="2025-10-16T00:00:00"/>
    <s v="FB"/>
    <s v="Praful"/>
    <s v="Vadodara"/>
    <s v="Gujarat "/>
    <x v="3"/>
    <n v="150000"/>
    <x v="150"/>
  </r>
  <r>
    <s v="EOS0897"/>
    <d v="2025-10-16T00:00:00"/>
    <s v="FB"/>
    <s v="mitesh"/>
    <s v="Vadodara"/>
    <s v="Gujarat "/>
    <x v="3"/>
    <n v="200000"/>
    <x v="151"/>
  </r>
  <r>
    <s v="EOS0898"/>
    <d v="2025-10-16T00:00:00"/>
    <s v="FB"/>
    <s v="Rajeev Giri"/>
    <s v="Ahmedabad"/>
    <s v="Gujarati "/>
    <x v="0"/>
    <n v="200000"/>
    <x v="0"/>
  </r>
  <r>
    <s v="EOS0899"/>
    <d v="2025-10-16T00:00:00"/>
    <s v="FB"/>
    <s v="Kunal Varpe"/>
    <s v="Vadodara"/>
    <s v="Gujarati "/>
    <x v="0"/>
    <n v="130000"/>
    <x v="152"/>
  </r>
  <r>
    <s v="EOS0900"/>
    <d v="2025-10-16T00:00:00"/>
    <s v="FB"/>
    <s v="Patel Ravi"/>
    <s v="Surat"/>
    <s v="Gujarat "/>
    <x v="3"/>
    <s v="   1,77,000"/>
    <x v="153"/>
  </r>
  <r>
    <s v="EOS0901"/>
    <d v="2025-10-16T00:00:00"/>
    <s v="FB"/>
    <s v="Patel Meet"/>
    <m/>
    <s v="Gujarat "/>
    <x v="3"/>
    <s v="   1,77,000"/>
    <x v="154"/>
  </r>
  <r>
    <s v="EOS0902"/>
    <d v="2025-10-16T00:00:00"/>
    <s v="FB"/>
    <s v="Jaimin Patel"/>
    <s v="Ahmedabad"/>
    <s v="Gujarat "/>
    <x v="3"/>
    <s v="   1,77,000"/>
    <x v="37"/>
  </r>
  <r>
    <s v="EOS0903"/>
    <d v="2025-10-16T00:00:00"/>
    <s v="FB"/>
    <s v="Suhas Vaghela"/>
    <m/>
    <s v="Gujarat "/>
    <x v="3"/>
    <s v="   1,77,000"/>
    <x v="155"/>
  </r>
  <r>
    <s v="EOS0904"/>
    <d v="2025-10-16T00:00:00"/>
    <s v="FB"/>
    <s v="Jay Gangani"/>
    <m/>
    <s v="Gujarati "/>
    <x v="0"/>
    <s v="   1,77,000"/>
    <x v="42"/>
  </r>
  <r>
    <s v="EOS0905"/>
    <d v="2025-10-16T00:00:00"/>
    <s v="FB"/>
    <s v="SAHIL SAIYAD"/>
    <m/>
    <s v="Gujarat "/>
    <x v="3"/>
    <s v="   1,77,000"/>
    <x v="153"/>
  </r>
  <r>
    <s v="EOS0906"/>
    <d v="2025-10-16T00:00:00"/>
    <s v="FB"/>
    <s v="Kuldeep Sinh Bihola"/>
    <m/>
    <s v="Gujarat "/>
    <x v="3"/>
    <s v="   1,77,000"/>
    <x v="153"/>
  </r>
  <r>
    <s v="EOS0907"/>
    <d v="2025-10-16T00:00:00"/>
    <s v="FB"/>
    <s v="Chaudhari shayan Kumar jitendra bhai"/>
    <m/>
    <s v="Gujarat "/>
    <x v="3"/>
    <s v="   1,77,000"/>
    <x v="153"/>
  </r>
  <r>
    <s v="EOS0908"/>
    <d v="2025-10-17T00:00:00"/>
    <s v="FB"/>
    <s v="Nilesh Yadav"/>
    <m/>
    <s v="Gujarat "/>
    <x v="3"/>
    <s v="   1,77,000"/>
    <x v="153"/>
  </r>
  <r>
    <s v="EOS0909"/>
    <d v="2025-10-17T00:00:00"/>
    <s v="FB"/>
    <s v="SOYAB HINGORA"/>
    <m/>
    <s v="Gujarat "/>
    <x v="3"/>
    <s v="   1,77,000"/>
    <x v="153"/>
  </r>
  <r>
    <s v="EOS0910"/>
    <d v="2025-10-17T00:00:00"/>
    <s v="FB"/>
    <s v="Royal Sajid"/>
    <s v="Rajkot"/>
    <s v="Gujarati "/>
    <x v="0"/>
    <s v="   1,77,000"/>
    <x v="24"/>
  </r>
  <r>
    <s v="EOS0911"/>
    <d v="2025-10-20T00:00:00"/>
    <s v="FB"/>
    <s v="Vikram Rajput"/>
    <s v="Vadodara"/>
    <s v="Gujarat "/>
    <x v="3"/>
    <s v="   1,77,000"/>
    <x v="138"/>
  </r>
  <r>
    <s v="EOS0912"/>
    <d v="2025-10-20T00:00:00"/>
    <s v="FB"/>
    <s v="ABHAY BORICHA"/>
    <s v="Rajkot"/>
    <s v="Gujarati "/>
    <x v="0"/>
    <s v="   1,77,000"/>
    <x v="0"/>
  </r>
  <r>
    <s v="EOS0913"/>
    <d v="2025-10-20T00:00:00"/>
    <s v="FB"/>
    <s v="Koshi Saxena"/>
    <m/>
    <s v="Gujarat "/>
    <x v="3"/>
    <s v="   1,77,000"/>
    <x v="138"/>
  </r>
  <r>
    <s v="EOS0914"/>
    <d v="2025-10-20T00:00:00"/>
    <s v="FB"/>
    <s v="Banti Kumar"/>
    <m/>
    <s v="Gujarat "/>
    <x v="3"/>
    <s v="   1,77,000"/>
    <x v="138"/>
  </r>
  <r>
    <s v="EOS0915"/>
    <d v="2025-10-20T00:00:00"/>
    <s v="FB"/>
    <s v="Akash harijam"/>
    <m/>
    <s v="Gujarat "/>
    <x v="3"/>
    <s v="   1,77,000"/>
    <x v="138"/>
  </r>
  <r>
    <s v="EOS0916"/>
    <d v="2025-10-20T00:00:00"/>
    <s v="FB"/>
    <s v="Binesh Kumar"/>
    <m/>
    <s v="Gujarat "/>
    <x v="3"/>
    <s v="   1,77,000"/>
    <x v="138"/>
  </r>
  <r>
    <s v="EOS0917"/>
    <d v="2025-10-20T00:00:00"/>
    <s v="FB"/>
    <s v="Shafikul Khan"/>
    <m/>
    <s v="Gujarat "/>
    <x v="3"/>
    <s v="   1,77,000"/>
    <x v="37"/>
  </r>
  <r>
    <s v="EOS0918"/>
    <d v="2025-10-20T00:00:00"/>
    <s v="WA"/>
    <s v="Ravindra Kumar"/>
    <m/>
    <s v="Uttar Pradesh "/>
    <x v="0"/>
    <s v="   1,77,000"/>
    <x v="0"/>
  </r>
  <r>
    <s v="EOS0919"/>
    <d v="2025-10-20T00:00:00"/>
    <s v="FB"/>
    <s v="Mak enterprises"/>
    <m/>
    <s v="Gujarat "/>
    <x v="3"/>
    <s v="   1,77,000"/>
    <x v="138"/>
  </r>
  <r>
    <s v="EOS0920"/>
    <d v="2025-10-20T00:00:00"/>
    <s v="FB"/>
    <s v="Surendra Kumar"/>
    <m/>
    <s v="Gujarat "/>
    <x v="3"/>
    <s v="   1,77,000"/>
    <x v="37"/>
  </r>
  <r>
    <s v="EOS0921"/>
    <d v="2025-10-22T00:00:00"/>
    <s v="FB"/>
    <s v="Seema kumari"/>
    <s v="Mohitari"/>
    <s v="Bihar"/>
    <x v="3"/>
    <s v="   1,77,000"/>
    <x v="143"/>
  </r>
  <r>
    <s v="EOS0922"/>
    <d v="2025-10-22T00:00:00"/>
    <s v="FB"/>
    <s v="Nirav ratnottar"/>
    <s v=" Bhavnagar"/>
    <s v="Gujarat "/>
    <x v="3"/>
    <s v="   1,77,000"/>
    <x v="156"/>
  </r>
  <r>
    <s v="EOS0923"/>
    <d v="2025-10-22T00:00:00"/>
    <s v="FB"/>
    <s v="Maulikkumar Jani"/>
    <s v="Gandhinagar"/>
    <s v="Gujarat "/>
    <x v="3"/>
    <s v="   1,77,000"/>
    <x v="143"/>
  </r>
  <r>
    <s v="EOS0924"/>
    <d v="2025-10-22T00:00:00"/>
    <s v="FB"/>
    <s v="VMK"/>
    <s v="Vadodara"/>
    <s v="Gujarat"/>
    <x v="0"/>
    <s v="   1,77,000"/>
    <x v="24"/>
  </r>
  <r>
    <s v="EOS0925"/>
    <d v="2025-10-22T00:00:00"/>
    <s v="FB"/>
    <s v="Dipak Ganglani"/>
    <s v="Rajkot"/>
    <s v="Gujarat "/>
    <x v="3"/>
    <s v="   1,77,000"/>
    <x v="143"/>
  </r>
  <r>
    <s v="EOS0926"/>
    <d v="2025-10-22T00:00:00"/>
    <s v="FB"/>
    <s v="Arun Sinh Chauhan"/>
    <s v="Ahmedabad"/>
    <s v="Gujarat "/>
    <x v="3"/>
    <s v="   1,77,000"/>
    <x v="37"/>
  </r>
  <r>
    <s v="EOS0927"/>
    <d v="2025-10-22T00:00:00"/>
    <s v="FB"/>
    <s v="y D Vaghela"/>
    <s v="khed bhrama"/>
    <s v="Gujarat "/>
    <x v="3"/>
    <s v="   1,77,000"/>
    <x v="143"/>
  </r>
  <r>
    <s v="EOS0928"/>
    <d v="2025-10-22T00:00:00"/>
    <s v="FB"/>
    <s v="Arbaz Shaikh"/>
    <s v="Kadi "/>
    <s v="Gujarat "/>
    <x v="3"/>
    <s v="   1,77,000"/>
    <x v="143"/>
  </r>
  <r>
    <s v="EOS0929"/>
    <d v="2025-10-22T00:00:00"/>
    <s v="FB"/>
    <s v="Gautam bharwad"/>
    <m/>
    <s v="Gujarat "/>
    <x v="3"/>
    <s v="   1,77,000"/>
    <x v="143"/>
  </r>
  <r>
    <s v="EOS0930"/>
    <d v="2025-10-22T00:00:00"/>
    <s v="FB"/>
    <s v="haresh patel"/>
    <m/>
    <s v="Gujarat "/>
    <x v="3"/>
    <s v="   1,77,000"/>
    <x v="143"/>
  </r>
  <r>
    <s v="EOS0931"/>
    <d v="2025-10-22T00:00:00"/>
    <s v="FB"/>
    <s v="Mohit Gadhvi"/>
    <m/>
    <s v="Gujarat "/>
    <x v="3"/>
    <s v="   1,77,000"/>
    <x v="143"/>
  </r>
  <r>
    <s v="EOS0932"/>
    <d v="2025-10-22T00:00:00"/>
    <s v="FB"/>
    <s v="Ayaz Ali Saiyed"/>
    <s v="Thasara"/>
    <s v="Gujarat "/>
    <x v="3"/>
    <s v="   1,77,000"/>
    <x v="143"/>
  </r>
  <r>
    <s v="EOS0933"/>
    <d v="2025-10-22T00:00:00"/>
    <s v="FB"/>
    <s v="Pradeep Verma"/>
    <s v="Indore"/>
    <s v="Madhya Pradesh"/>
    <x v="0"/>
    <s v="   1,77,000"/>
    <x v="143"/>
  </r>
  <r>
    <s v="EOS0934"/>
    <d v="2025-10-22T00:00:00"/>
    <s v="FB"/>
    <s v="Banshi Agarwal"/>
    <s v="Aligarh "/>
    <s v="Uttar Pradesh "/>
    <x v="3"/>
    <s v="   1,77,000"/>
    <x v="143"/>
  </r>
  <r>
    <s v="EOS0935"/>
    <d v="2025-10-22T00:00:00"/>
    <s v="FB"/>
    <s v="Prasenjit Maity"/>
    <s v="Namkhana"/>
    <s v="West Bengal"/>
    <x v="3"/>
    <s v="   1,77,000"/>
    <x v="143"/>
  </r>
  <r>
    <s v="EOS0936"/>
    <d v="2025-10-24T00:00:00"/>
    <s v="FB"/>
    <s v="Rilesh Ahir"/>
    <s v="bestan "/>
    <s v="Gujarat "/>
    <x v="3"/>
    <s v="   1,77,000"/>
    <x v="143"/>
  </r>
  <r>
    <s v="EOS0937"/>
    <d v="2025-10-24T00:00:00"/>
    <s v="FB"/>
    <s v="Rafakat Husen Harsoliya"/>
    <s v="himmatnagar"/>
    <s v="Gujarat "/>
    <x v="3"/>
    <s v="   1,77,000"/>
    <x v="143"/>
  </r>
  <r>
    <s v="EOS0938"/>
    <d v="2025-10-24T00:00:00"/>
    <s v="FB"/>
    <s v="Sohan ajmeri"/>
    <s v="Vadodara"/>
    <s v="Gujarat "/>
    <x v="3"/>
    <s v="   1,77,000"/>
    <x v="143"/>
  </r>
  <r>
    <s v="EOS0939"/>
    <d v="2025-10-24T00:00:00"/>
    <s v="FB"/>
    <s v="Mitesh Khilwan"/>
    <s v="Rajkot"/>
    <s v="Gujarat "/>
    <x v="3"/>
    <s v="   1,77,000"/>
    <x v="143"/>
  </r>
  <r>
    <s v="EOS0940"/>
    <d v="2025-10-24T00:00:00"/>
    <s v="FB"/>
    <s v="Bharat Ghela"/>
    <m/>
    <s v="Gujarat "/>
    <x v="3"/>
    <s v="   1,77,000"/>
    <x v="143"/>
  </r>
  <r>
    <s v="EOS0941"/>
    <d v="2025-10-24T00:00:00"/>
    <s v="FB"/>
    <s v="Manoj Raval"/>
    <m/>
    <s v="Gujarat"/>
    <x v="0"/>
    <s v="   1,77,000"/>
    <x v="24"/>
  </r>
  <r>
    <s v="EOS0942"/>
    <d v="2025-10-24T00:00:00"/>
    <s v="FB"/>
    <s v="Shubham Ahire"/>
    <s v="Surat "/>
    <s v="Gujarat "/>
    <x v="3"/>
    <s v="   1,77,000"/>
    <x v="143"/>
  </r>
  <r>
    <s v="EOS0943"/>
    <d v="2025-10-24T00:00:00"/>
    <s v="FB"/>
    <s v="Sanjay Kumar"/>
    <s v="Ranchi "/>
    <s v="Bihar "/>
    <x v="3"/>
    <s v="   1,77,000"/>
    <x v="143"/>
  </r>
  <r>
    <s v="EOS0944"/>
    <d v="2025-10-25T00:00:00"/>
    <s v="FB"/>
    <s v="kirtesh panchal"/>
    <m/>
    <s v="rajeshtan "/>
    <x v="3"/>
    <s v="   1,77,000"/>
    <x v="143"/>
  </r>
  <r>
    <s v="EOS0945"/>
    <d v="2025-10-25T00:00:00"/>
    <s v="FB"/>
    <s v="Sanjay Thakor"/>
    <s v="Mehsana"/>
    <s v="Gujarat "/>
    <x v="3"/>
    <s v="   1,77,000"/>
    <x v="143"/>
  </r>
  <r>
    <s v="EOS0946"/>
    <d v="2025-10-25T00:00:00"/>
    <s v="FB"/>
    <s v="Tejas Patel"/>
    <s v="Mehsana"/>
    <s v="Gujarat "/>
    <x v="3"/>
    <s v="   1,77,000"/>
    <x v="143"/>
  </r>
  <r>
    <s v="EOS0947"/>
    <d v="2025-10-25T00:00:00"/>
    <s v="FB"/>
    <s v="iamkartikkashyap"/>
    <s v="Chandigard"/>
    <s v="Punjab "/>
    <x v="3"/>
    <s v="   1,77,000"/>
    <x v="37"/>
  </r>
  <r>
    <s v="EOS0948"/>
    <d v="2025-10-27T00:00:00"/>
    <s v="FB"/>
    <s v="Yuvraj Sisodiya"/>
    <s v="Rajkot"/>
    <s v="Gujarat "/>
    <x v="3"/>
    <s v="   1,77,000"/>
    <x v="143"/>
  </r>
  <r>
    <s v="EOS0949"/>
    <d v="2025-10-27T00:00:00"/>
    <s v="FB"/>
    <s v="mr.chetan"/>
    <s v="Halvad "/>
    <s v="Gujarat "/>
    <x v="3"/>
    <s v="   1,77,000"/>
    <x v="143"/>
  </r>
  <r>
    <s v="EOS0950"/>
    <d v="2025-10-27T00:00:00"/>
    <s v="FB"/>
    <s v="Surendrasinh"/>
    <s v="Deodar"/>
    <s v="Rajasthan"/>
    <x v="3"/>
    <s v="   1,77,000"/>
    <x v="143"/>
  </r>
  <r>
    <s v="EOS0951"/>
    <d v="2025-10-27T00:00:00"/>
    <s v="FB"/>
    <s v="SANDIP THAKOR"/>
    <s v="Bharuch"/>
    <s v="Gujarat "/>
    <x v="3"/>
    <s v="   1,77,000"/>
    <x v="143"/>
  </r>
  <r>
    <s v="EOS0952"/>
    <d v="2025-10-27T00:00:00"/>
    <s v="FB"/>
    <s v="Ashvin Chauhan"/>
    <s v="Surat "/>
    <s v="Gujarat "/>
    <x v="3"/>
    <s v="   1,77,000"/>
    <x v="37"/>
  </r>
  <r>
    <s v="EOS0953"/>
    <d v="2025-10-27T00:00:00"/>
    <s v="FB"/>
    <s v="Jignesh Jinjala"/>
    <s v=" Bhavnagar"/>
    <s v="Gujarat "/>
    <x v="3"/>
    <s v="   1,77,000"/>
    <x v="143"/>
  </r>
  <r>
    <s v="EOS0954"/>
    <d v="2025-10-27T00:00:00"/>
    <s v="FB"/>
    <s v="Mehul Thakor"/>
    <s v="Palanpur"/>
    <s v="Gujarat"/>
    <x v="0"/>
    <s v="   1,77,000"/>
    <x v="0"/>
  </r>
  <r>
    <s v="EOS0955"/>
    <d v="2025-10-27T00:00:00"/>
    <s v="WA"/>
    <s v="Uddit"/>
    <s v="gandhidham "/>
    <s v="Gujarat"/>
    <x v="0"/>
    <s v="   1,77,000"/>
    <x v="0"/>
  </r>
  <r>
    <s v="EOS0956"/>
    <d v="2025-10-27T00:00:00"/>
    <s v="FB"/>
    <s v="Arvind Malkiya"/>
    <s v="Chotila "/>
    <s v="Gujarat "/>
    <x v="3"/>
    <s v="   1,77,000"/>
    <x v="143"/>
  </r>
  <r>
    <s v="EOS0957"/>
    <d v="2025-10-28T00:00:00"/>
    <s v="FB"/>
    <s v="Kaushikkumar dipubhai nakum"/>
    <s v="Gir Somnath"/>
    <s v="Gujarat"/>
    <x v="0"/>
    <s v="   1,77,000"/>
    <x v="0"/>
  </r>
  <r>
    <s v="EOS0958"/>
    <d v="2025-10-28T00:00:00"/>
    <s v="FB"/>
    <s v="Prashant Jadhav"/>
    <s v="Surat"/>
    <s v="Gujarat "/>
    <x v="3"/>
    <s v="   1,77,000"/>
    <x v="157"/>
  </r>
  <r>
    <s v="EOS0959"/>
    <d v="2025-10-28T00:00:00"/>
    <s v="FB"/>
    <s v="Chandraprakash Yadav"/>
    <s v="Azamgarh"/>
    <s v="Uttar pradesh "/>
    <x v="3"/>
    <s v="   1,77,000"/>
    <x v="138"/>
  </r>
  <r>
    <s v="EOS0960"/>
    <d v="2025-10-28T00:00:00"/>
    <s v="FB"/>
    <s v="Kochiyaniya Kuldip"/>
    <m/>
    <s v="Gujarat "/>
    <x v="3"/>
    <s v="   1,77,000"/>
    <x v="138"/>
  </r>
  <r>
    <s v="EOS0961"/>
    <d v="2025-10-29T00:00:00"/>
    <s v="FB"/>
    <s v="Rohit patel"/>
    <s v="Ahmedabad"/>
    <s v="Gujarat "/>
    <x v="3"/>
    <s v="   1,77,000"/>
    <x v="37"/>
  </r>
  <r>
    <s v="EOS0962"/>
    <d v="2025-10-29T00:00:00"/>
    <s v="FB"/>
    <s v="Kirti chaudhary"/>
    <s v="Ahmedabad"/>
    <s v="Gujarat "/>
    <x v="3"/>
    <s v="   1,77,000"/>
    <x v="37"/>
  </r>
  <r>
    <s v="EOS0963"/>
    <d v="2025-10-31T00:00:00"/>
    <s v="FB"/>
    <s v="Rahul Chandel"/>
    <m/>
    <s v="Gujarat "/>
    <x v="3"/>
    <s v="   1,77,000"/>
    <x v="37"/>
  </r>
  <r>
    <s v="EOS0964"/>
    <d v="2025-10-31T00:00:00"/>
    <s v="FB"/>
    <s v="Ajay Yadav"/>
    <s v="gurgaon"/>
    <s v="Uttar pradesh "/>
    <x v="3"/>
    <s v="   1,77,000"/>
    <x v="158"/>
  </r>
  <r>
    <s v="EOS0965"/>
    <d v="2025-10-31T00:00:00"/>
    <s v="FB"/>
    <s v="Jaimin Alpeshbhai Machhi"/>
    <s v="Rajkot"/>
    <s v="Gujarat "/>
    <x v="3"/>
    <s v="   1,77,000"/>
    <x v="143"/>
  </r>
  <r>
    <s v="EOS0966"/>
    <d v="2025-11-01T00:00:00"/>
    <s v="FB"/>
    <s v="Kanishk Thakkar"/>
    <s v="Vadodara"/>
    <s v="Gujarat "/>
    <x v="3"/>
    <s v="   1,77,000"/>
    <x v="143"/>
  </r>
  <r>
    <s v="EOS0967"/>
    <d v="2025-11-01T00:00:00"/>
    <s v="FB"/>
    <s v="Gilli Krishnani"/>
    <m/>
    <s v="Gujarat "/>
    <x v="3"/>
    <s v="   1,77,000"/>
    <x v="143"/>
  </r>
  <r>
    <s v="EOS0968"/>
    <d v="2025-11-03T00:00:00"/>
    <s v="FB"/>
    <s v="Parth gohel"/>
    <s v="Anand"/>
    <s v="Gujarat "/>
    <x v="3"/>
    <s v="   1,77,000"/>
    <x v="37"/>
  </r>
  <r>
    <s v="EOS0969"/>
    <d v="2025-11-03T00:00:00"/>
    <s v="WA"/>
    <s v="Samir"/>
    <m/>
    <s v="gujarat "/>
    <x v="0"/>
    <s v="   1,77,000"/>
    <x v="42"/>
  </r>
  <r>
    <s v="EOS0970"/>
    <d v="2025-11-03T00:00:00"/>
    <s v="FB"/>
    <s v="piyu."/>
    <m/>
    <s v="Gujarat "/>
    <x v="3"/>
    <s v="   1,77,000"/>
    <x v="159"/>
  </r>
  <r>
    <s v="EOS0971"/>
    <d v="2025-11-03T00:00:00"/>
    <s v="FB"/>
    <s v="A.B. Soni"/>
    <m/>
    <s v="Gujarat "/>
    <x v="3"/>
    <s v="   1,77,000"/>
    <x v="159"/>
  </r>
  <r>
    <s v="EOS0972"/>
    <d v="2025-11-03T00:00:00"/>
    <s v="FB"/>
    <s v="Arif Malek"/>
    <m/>
    <s v="Gujarat "/>
    <x v="3"/>
    <s v="   1,77,000"/>
    <x v="159"/>
  </r>
  <r>
    <s v="EOS0973"/>
    <d v="2025-11-04T00:00:00"/>
    <s v="FB"/>
    <s v="vishal. M. Kanabar"/>
    <s v="Rajkot"/>
    <s v="Gujarat "/>
    <x v="3"/>
    <s v="   1,77,000"/>
    <x v="37"/>
  </r>
  <r>
    <s v="EOS0974"/>
    <d v="2025-11-04T00:00:00"/>
    <s v="FB"/>
    <s v="Chintan Andhariya"/>
    <s v=" Bhavnagar"/>
    <s v="Gujarat "/>
    <x v="3"/>
    <s v="   1,77,000"/>
    <x v="37"/>
  </r>
  <r>
    <s v="EOS0975"/>
    <d v="2025-11-04T00:00:00"/>
    <s v="FB"/>
    <s v="Karan varma"/>
    <m/>
    <s v="Gujarat"/>
    <x v="0"/>
    <s v="   1,77,000"/>
    <x v="0"/>
  </r>
  <r>
    <s v="EOS0976"/>
    <d v="2025-11-05T00:00:00"/>
    <s v="FB"/>
    <s v="Ramesh P Bhardva"/>
    <m/>
    <s v="Gujarat "/>
    <x v="3"/>
    <s v="   1,77,000"/>
    <x v="37"/>
  </r>
  <r>
    <s v="EOS0977"/>
    <d v="2025-11-05T00:00:00"/>
    <s v="FB"/>
    <s v="Pradeep "/>
    <m/>
    <s v="Gujarat"/>
    <x v="3"/>
    <s v="   1,77,000"/>
    <x v="37"/>
  </r>
  <r>
    <s v="EOS0978"/>
    <d v="2025-11-05T00:00:00"/>
    <s v="FB"/>
    <s v="Vipul Pankhaniya"/>
    <s v="Surat "/>
    <s v="Gujarat "/>
    <x v="3"/>
    <s v="   1,77,000"/>
    <x v="37"/>
  </r>
  <r>
    <s v="EOS0979"/>
    <d v="2025-11-05T00:00:00"/>
    <s v="FB"/>
    <s v="Naresh Chauhan"/>
    <m/>
    <s v="Gujarat"/>
    <x v="3"/>
    <s v="   1,77,000"/>
    <x v="37"/>
  </r>
  <r>
    <s v="EOS0980"/>
    <d v="2025-11-05T00:00:00"/>
    <s v="FB"/>
    <s v="Pradipsinh Vaghela"/>
    <m/>
    <s v="Gujarat"/>
    <x v="3"/>
    <s v="   1,77,000"/>
    <x v="37"/>
  </r>
  <r>
    <s v="EOS0981"/>
    <d v="2025-11-05T00:00:00"/>
    <s v="FB"/>
    <s v="Rahul"/>
    <m/>
    <s v="Gujarat"/>
    <x v="3"/>
    <s v="   1,77,000"/>
    <x v="37"/>
  </r>
  <r>
    <s v="EOS0982"/>
    <d v="2025-11-05T00:00:00"/>
    <s v="FB"/>
    <s v="Arif Malek"/>
    <m/>
    <s v="Gujarat"/>
    <x v="3"/>
    <s v="   1,77,000"/>
    <x v="37"/>
  </r>
  <r>
    <s v="EOS0983"/>
    <d v="2025-11-06T00:00:00"/>
    <s v="FB"/>
    <s v="Prajapati Dipak"/>
    <s v="Ahmedabad"/>
    <s v="Gujarat "/>
    <x v="3"/>
    <s v="   1,77,000"/>
    <x v="143"/>
  </r>
  <r>
    <s v="EOS0984"/>
    <d v="2025-11-06T00:00:00"/>
    <s v="FB"/>
    <s v="Dhapa Sagar"/>
    <s v="Mahuva"/>
    <s v="Gujarat"/>
    <x v="0"/>
    <s v="   1,77,000"/>
    <x v="150"/>
  </r>
  <r>
    <s v="EOS0985"/>
    <d v="2025-11-06T00:00:00"/>
    <s v="FB"/>
    <s v="Naresh Kathad"/>
    <s v="Dhelana"/>
    <s v="Gujarat "/>
    <x v="3"/>
    <s v="   1,77,000"/>
    <x v="37"/>
  </r>
  <r>
    <s v="EOS0986"/>
    <d v="2025-11-06T00:00:00"/>
    <s v="FB"/>
    <s v="Amit Pawar"/>
    <s v="Vadodara"/>
    <s v="Gujarat "/>
    <x v="3"/>
    <s v="   1,77,000"/>
    <x v="37"/>
  </r>
  <r>
    <s v="EOS0987"/>
    <d v="2025-11-06T00:00:00"/>
    <s v="FB"/>
    <s v="Yogeshkumar"/>
    <s v="Palitana "/>
    <s v="Gujarat "/>
    <x v="3"/>
    <s v="   1,77,000"/>
    <x v="37"/>
  </r>
  <r>
    <s v="EOS0988"/>
    <d v="2025-11-07T00:00:00"/>
    <s v="FB"/>
    <s v="Rishi Donda"/>
    <s v="Surat "/>
    <s v="Gujarat "/>
    <x v="3"/>
    <s v="   1,77,000"/>
    <x v="37"/>
  </r>
  <r>
    <s v="EOS0989"/>
    <d v="2025-11-07T00:00:00"/>
    <s v="FB"/>
    <s v="Nitul sonara"/>
    <s v="Gandhinagar"/>
    <s v="Gujarat"/>
    <x v="3"/>
    <s v="   1,77,000"/>
    <x v="37"/>
  </r>
  <r>
    <s v="EOS0990"/>
    <d v="2025-11-08T00:00:00"/>
    <s v="FB"/>
    <s v="Rathod Mahesh"/>
    <s v=" Bhavnagar"/>
    <s v="Gujarat "/>
    <x v="3"/>
    <s v="   1,77,000"/>
    <x v="37"/>
  </r>
  <r>
    <s v="EOS0991"/>
    <d v="2025-11-08T00:00:00"/>
    <s v="FB"/>
    <s v="Jignesh kumar Manilal patel"/>
    <s v="Virpur"/>
    <s v="Gujarat "/>
    <x v="3"/>
    <s v="   1,77,000"/>
    <x v="143"/>
  </r>
  <r>
    <s v="EOS0992"/>
    <d v="2025-11-08T00:00:00"/>
    <s v="FB"/>
    <s v="Jignesh Vsv"/>
    <s v="Vododra "/>
    <s v="Gujarat "/>
    <x v="3"/>
    <s v="   1,77,000"/>
    <x v="37"/>
  </r>
  <r>
    <s v="EOS0993"/>
    <d v="2025-11-08T00:00:00"/>
    <s v="FB"/>
    <s v="_Hujeifa_"/>
    <s v="Ahmedabad"/>
    <s v="Gujarat"/>
    <x v="0"/>
    <s v="   1,77,000"/>
    <x v="0"/>
  </r>
  <r>
    <s v="EOS0994"/>
    <d v="2025-11-10T00:00:00"/>
    <s v="FB"/>
    <s v="Atik Khan"/>
    <s v="Dabhoi"/>
    <s v="Gujarat"/>
    <x v="0"/>
    <s v="   1,77,000"/>
    <x v="0"/>
  </r>
  <r>
    <s v="EOS0995"/>
    <d v="2025-11-10T00:00:00"/>
    <s v="FB"/>
    <s v="Mayank Chaudhari"/>
    <s v="waghai"/>
    <s v="Gujarat "/>
    <x v="3"/>
    <s v="   1,77,000"/>
    <x v="37"/>
  </r>
  <r>
    <s v="EOS0996"/>
    <d v="2025-11-10T00:00:00"/>
    <s v="FB"/>
    <s v="Nahak Surya"/>
    <s v="Ahmedabad"/>
    <s v="Gujarat "/>
    <x v="3"/>
    <s v="   1,77,000"/>
    <x v="37"/>
  </r>
  <r>
    <s v="EOS0997"/>
    <d v="2025-11-10T00:00:00"/>
    <s v="FB"/>
    <s v="KENIL PARMAR"/>
    <s v="Amreli"/>
    <s v="Gujarat "/>
    <x v="3"/>
    <s v="   1,77,000"/>
    <x v="37"/>
  </r>
  <r>
    <s v="EOS0998"/>
    <d v="2025-11-10T00:00:00"/>
    <s v="FB"/>
    <s v="bamaniya pravin"/>
    <s v="Rajkot"/>
    <s v="Gujarat "/>
    <x v="3"/>
    <s v="   1,77,000"/>
    <x v="160"/>
  </r>
  <r>
    <s v="EOS0999"/>
    <d v="2025-11-10T00:00:00"/>
    <s v="FB"/>
    <s v="Mayankbhai Chaudhar"/>
    <s v="Bhagai "/>
    <s v="Gujarat "/>
    <x v="3"/>
    <s v="   1,77,000"/>
    <x v="37"/>
  </r>
  <r>
    <s v="EOS1000"/>
    <d v="2025-11-11T00:00:00"/>
    <s v="FB"/>
    <s v="Ashok Juthani"/>
    <s v="Junagadh"/>
    <s v="Gujarat "/>
    <x v="3"/>
    <s v="   1,77,000"/>
    <x v="37"/>
  </r>
  <r>
    <s v="EOS1001"/>
    <s v="W"/>
    <s v="FB"/>
    <s v="Jignesh"/>
    <s v="Ahmedabad"/>
    <s v="Gujarat "/>
    <x v="3"/>
    <s v="   1,77,000"/>
    <x v="37"/>
  </r>
  <r>
    <s v="EOS1002"/>
    <d v="2025-11-11T00:00:00"/>
    <s v="FB"/>
    <s v="Pawan Vishwakarma Vishwakarma"/>
    <s v="Surat"/>
    <s v="Gujarat "/>
    <x v="3"/>
    <s v="   1,77,000"/>
    <x v="37"/>
  </r>
  <r>
    <s v="EOS1003"/>
    <d v="2025-11-11T00:00:00"/>
    <s v="FB"/>
    <s v="Ketan Shah"/>
    <s v="Bayad"/>
    <s v="Gujarat "/>
    <x v="3"/>
    <s v="   1,77,000"/>
    <x v="37"/>
  </r>
  <r>
    <s v="EOS1004"/>
    <d v="2025-11-11T00:00:00"/>
    <s v="FB"/>
    <s v="Sagar Dave"/>
    <s v="Rajkot"/>
    <s v="Gujarat "/>
    <x v="3"/>
    <s v="   1,77,000"/>
    <x v="37"/>
  </r>
  <r>
    <s v="EOS1005"/>
    <d v="2025-11-11T00:00:00"/>
    <s v="FB"/>
    <s v="Mori Nilesh"/>
    <s v="Surat "/>
    <s v="Gujarat "/>
    <x v="3"/>
    <s v="   1,77,000"/>
    <x v="37"/>
  </r>
  <r>
    <s v="EOS1006"/>
    <d v="2025-11-11T00:00:00"/>
    <s v="FB"/>
    <s v="Dinesh RajeMahadik"/>
    <m/>
    <s v="Gujarat "/>
    <x v="3"/>
    <s v="   1,77,000"/>
    <x v="37"/>
  </r>
  <r>
    <s v="EOS1007"/>
    <s v="9o/"/>
    <s v="FB"/>
    <s v="Malvat Vasim"/>
    <s v="Surat"/>
    <s v="Gujarat "/>
    <x v="3"/>
    <s v="   1,77,000"/>
    <x v="37"/>
  </r>
  <r>
    <s v="EOS1008"/>
    <d v="2025-11-12T00:00:00"/>
    <s v="FB"/>
    <s v="Bhavik Patel"/>
    <s v="Ahmedabad"/>
    <s v="Gujarat"/>
    <x v="0"/>
    <s v="   1,77,000"/>
    <x v="0"/>
  </r>
  <r>
    <s v="EOS1009"/>
    <d v="2025-11-12T00:00:00"/>
    <s v="FB"/>
    <s v="Bharat Andodariya"/>
    <s v="Rajkot "/>
    <s v="Gujarat"/>
    <x v="0"/>
    <s v="   1,77,000"/>
    <x v="0"/>
  </r>
  <r>
    <s v="EOS1010"/>
    <d v="2025-11-12T00:00:00"/>
    <s v="FB"/>
    <s v="Lubna Kureshi"/>
    <s v="Surat"/>
    <s v="Gujarat "/>
    <x v="3"/>
    <s v="   1,77,000"/>
    <x v="37"/>
  </r>
  <r>
    <s v="EOS1011"/>
    <d v="2025-11-12T00:00:00"/>
    <s v="FB"/>
    <s v="Prince Mali"/>
    <s v="Ahmedabad"/>
    <s v="Gujarat "/>
    <x v="3"/>
    <s v="   1,77,000"/>
    <x v="161"/>
  </r>
  <r>
    <s v="EOS1012"/>
    <d v="2025-11-13T00:00:00"/>
    <s v="FB"/>
    <s v="Sp P"/>
    <m/>
    <s v="Gujarat "/>
    <x v="3"/>
    <s v="   1,77,000"/>
    <x v="162"/>
  </r>
  <r>
    <s v="EOS1013"/>
    <d v="2025-11-13T00:00:00"/>
    <s v="FB"/>
    <s v="Raj Patel "/>
    <s v="Mehsana"/>
    <s v="Gujarat "/>
    <x v="3"/>
    <s v="   1,77,000"/>
    <x v="37"/>
  </r>
  <r>
    <s v="EOS1014"/>
    <d v="2025-11-13T00:00:00"/>
    <s v="FB"/>
    <s v="Rajashi Bariya"/>
    <m/>
    <s v="Gujarat "/>
    <x v="3"/>
    <s v="   1,77,000"/>
    <x v="37"/>
  </r>
  <r>
    <s v="EOS1015"/>
    <d v="2025-11-13T00:00:00"/>
    <s v="FB"/>
    <s v="BHAVESH KATHIYAWADI"/>
    <m/>
    <s v="Gujarat "/>
    <x v="3"/>
    <s v="   1,77,000"/>
    <x v="37"/>
  </r>
  <r>
    <s v="EOS1016"/>
    <d v="2025-11-13T00:00:00"/>
    <s v="FB"/>
    <m/>
    <m/>
    <s v="Gujarat "/>
    <x v="3"/>
    <s v="   1,77,000"/>
    <x v="37"/>
  </r>
  <r>
    <s v="EOS1017"/>
    <d v="2025-11-14T00:00:00"/>
    <s v="FB"/>
    <s v="Nilay Thaker"/>
    <s v="Jamnagar"/>
    <s v="Gujarat"/>
    <x v="0"/>
    <s v="   1,77,000"/>
    <x v="0"/>
  </r>
  <r>
    <s v="EOS1018"/>
    <d v="2025-11-14T00:00:00"/>
    <s v="FB"/>
    <s v="Fenilv"/>
    <m/>
    <s v="Gujarat"/>
    <x v="0"/>
    <s v="   1,77,000"/>
    <x v="163"/>
  </r>
  <r>
    <s v="EOS1019"/>
    <d v="2025-11-14T00:00:00"/>
    <s v="FB"/>
    <s v="Arjan Apa"/>
    <m/>
    <s v="Gujarat "/>
    <x v="3"/>
    <s v="   1,77,000"/>
    <x v="37"/>
  </r>
  <r>
    <s v="EOS1020"/>
    <d v="2025-11-14T00:00:00"/>
    <s v="FB"/>
    <s v="Kalpesh Chaudhar"/>
    <m/>
    <s v="Gujarat "/>
    <x v="3"/>
    <s v="   1,77,000"/>
    <x v="37"/>
  </r>
  <r>
    <s v="EOS1021"/>
    <d v="2025-11-14T00:00:00"/>
    <s v="FB"/>
    <s v="Sutariya Mithil"/>
    <m/>
    <s v="Gujarat "/>
    <x v="3"/>
    <s v="   1,77,000"/>
    <x v="37"/>
  </r>
  <r>
    <s v="EOS1022"/>
    <d v="2025-11-14T00:00:00"/>
    <s v="FB"/>
    <s v="Sagar Ghetiya"/>
    <m/>
    <s v="Gujarat "/>
    <x v="3"/>
    <s v="   1,77,000"/>
    <x v="37"/>
  </r>
  <r>
    <s v="EOS1023"/>
    <d v="2025-11-14T00:00:00"/>
    <s v="FB"/>
    <s v="Meet Suthar"/>
    <m/>
    <s v="Gujarat "/>
    <x v="3"/>
    <s v="   1,77,000"/>
    <x v="37"/>
  </r>
  <r>
    <s v="EOS1024"/>
    <d v="2025-11-14T00:00:00"/>
    <s v="FB"/>
    <s v="Solanki aniruddhsinh "/>
    <m/>
    <s v="Gujarat "/>
    <x v="3"/>
    <s v="   1,77,000"/>
    <x v="37"/>
  </r>
  <r>
    <s v="EOS1025"/>
    <d v="2025-11-15T00:00:00"/>
    <s v="Samad"/>
    <s v="Autosh Rai "/>
    <s v="lucknow "/>
    <s v="Gujarat "/>
    <x v="1"/>
    <s v="   1,77,000"/>
    <x v="34"/>
  </r>
  <r>
    <s v="EOS1026"/>
    <d v="2025-11-14T00:00:00"/>
    <s v="FB"/>
    <s v="Hiren Miyatra"/>
    <m/>
    <s v="Gujarat "/>
    <x v="3"/>
    <s v="   1,77,000"/>
    <x v="37"/>
  </r>
  <r>
    <s v="EOS1027"/>
    <d v="2025-11-15T00:00:00"/>
    <s v="FB"/>
    <s v="Zaid Panwala"/>
    <m/>
    <s v="Gujarat"/>
    <x v="0"/>
    <s v="   1,77,000"/>
    <x v="0"/>
  </r>
  <r>
    <s v="EOS1028"/>
    <d v="2025-11-15T00:00:00"/>
    <s v="FB"/>
    <s v="Parth Koshti"/>
    <m/>
    <s v="Gujarat "/>
    <x v="3"/>
    <s v="   1,77,000"/>
    <x v="37"/>
  </r>
  <r>
    <s v="EOS1029"/>
    <d v="2025-11-15T00:00:00"/>
    <s v="FB"/>
    <s v="NAUSHAD"/>
    <m/>
    <s v="Gujarat "/>
    <x v="3"/>
    <s v="   1,77,000"/>
    <x v="37"/>
  </r>
  <r>
    <s v="EOS1030"/>
    <d v="2025-11-15T00:00:00"/>
    <s v="FB"/>
    <s v="Sandeep Jayswal"/>
    <m/>
    <s v="Gujarat "/>
    <x v="3"/>
    <s v="   1,77,000"/>
    <x v="37"/>
  </r>
  <r>
    <s v="EOS1031"/>
    <d v="2025-11-15T00:00:00"/>
    <s v="FB"/>
    <s v="Sachin Labana"/>
    <m/>
    <s v="Gujarat "/>
    <x v="3"/>
    <s v="   1,77,000"/>
    <x v="37"/>
  </r>
  <r>
    <s v="EOS1032"/>
    <d v="2025-11-15T00:00:00"/>
    <s v="FB"/>
    <s v="jignesh"/>
    <m/>
    <s v="Gujarat "/>
    <x v="3"/>
    <s v="   1,77,000"/>
    <x v="37"/>
  </r>
  <r>
    <s v="EOS1033"/>
    <d v="2025-11-15T00:00:00"/>
    <s v="FB"/>
    <s v="Vipul Dudhaiya"/>
    <m/>
    <s v="Gujarat "/>
    <x v="3"/>
    <s v="   1,77,000"/>
    <x v="37"/>
  </r>
  <r>
    <s v="EOS1034"/>
    <d v="2025-11-15T00:00:00"/>
    <s v="FB"/>
    <m/>
    <m/>
    <s v="Gujarat "/>
    <x v="3"/>
    <s v="   1,77,000"/>
    <x v="37"/>
  </r>
  <r>
    <s v="EOS1035"/>
    <d v="2025-11-15T00:00:00"/>
    <s v="FB"/>
    <s v="Mohit Brahmbhatt"/>
    <m/>
    <s v="Gujarat "/>
    <x v="3"/>
    <s v="   1,77,000"/>
    <x v="37"/>
  </r>
  <r>
    <s v="EOS1036"/>
    <d v="2025-11-15T00:00:00"/>
    <s v="FB"/>
    <s v="Yatin Vora"/>
    <m/>
    <s v="Gujarat "/>
    <x v="3"/>
    <s v="   1,77,000"/>
    <x v="37"/>
  </r>
  <r>
    <s v="EOS1037"/>
    <d v="2025-11-15T00:00:00"/>
    <s v="FB"/>
    <s v="Alpesh Barot"/>
    <m/>
    <s v="Gujarat "/>
    <x v="3"/>
    <s v="   1,77,000"/>
    <x v="37"/>
  </r>
  <r>
    <s v="EOS1038"/>
    <d v="2025-11-15T00:00:00"/>
    <s v="FB"/>
    <s v="Rakesh Balya"/>
    <m/>
    <s v="Gujarat "/>
    <x v="3"/>
    <s v="   1,77,000"/>
    <x v="37"/>
  </r>
  <r>
    <s v="EOS1039"/>
    <d v="2025-11-15T00:00:00"/>
    <s v="FB"/>
    <s v="yashraj Sinh"/>
    <s v="Ahmedabad"/>
    <s v="Gujarat "/>
    <x v="3"/>
    <s v="   1,77,000"/>
    <x v="143"/>
  </r>
  <r>
    <s v="EOS1040"/>
    <d v="2025-12-01T00:00:00"/>
    <s v="FB"/>
    <s v="Dharmendra Soni"/>
    <s v="Surat"/>
    <s v="Gujarat "/>
    <x v="3"/>
    <s v="   1,77,000"/>
    <x v="37"/>
  </r>
  <r>
    <s v="EOS1041"/>
    <d v="2025-12-01T00:00:00"/>
    <s v="FB"/>
    <s v="Divyang"/>
    <s v=" Bhavnagar"/>
    <s v="Gujarat "/>
    <x v="3"/>
    <s v="   1,77,000"/>
    <x v="37"/>
  </r>
  <r>
    <s v="EOS1042"/>
    <d v="2025-12-01T00:00:00"/>
    <s v="FB"/>
    <s v="Ashish Solanki"/>
    <s v="Patan "/>
    <s v="Gujarat "/>
    <x v="3"/>
    <s v="   1,77,000"/>
    <x v="37"/>
  </r>
  <r>
    <s v="EOS1043"/>
    <d v="2025-12-01T00:00:00"/>
    <s v="FB"/>
    <s v="Kaushik Soni"/>
    <s v="Dungri"/>
    <s v="Gujarat "/>
    <x v="3"/>
    <s v="   1,77,000"/>
    <x v="37"/>
  </r>
  <r>
    <s v="EOS1044"/>
    <d v="2025-12-01T00:00:00"/>
    <s v="FB"/>
    <s v="Dhiren Patel"/>
    <s v="Sanjan "/>
    <s v="Gujarat "/>
    <x v="3"/>
    <s v="   1,77,000"/>
    <x v="37"/>
  </r>
  <r>
    <s v="EOS1045"/>
    <d v="2025-12-01T00:00:00"/>
    <s v="FB"/>
    <s v="Ravi Dhodi"/>
    <s v="netrang "/>
    <s v="Gujarat "/>
    <x v="3"/>
    <s v="   1,77,000"/>
    <x v="37"/>
  </r>
  <r>
    <s v="EOS1046"/>
    <d v="2025-12-01T00:00:00"/>
    <s v="FB"/>
    <s v="Er Jignesh Patel Thesiya"/>
    <s v="Navsari"/>
    <s v="Gujarat "/>
    <x v="3"/>
    <s v="   1,77,000"/>
    <x v="164"/>
  </r>
  <r>
    <s v="EOS1047"/>
    <d v="2025-12-01T00:00:00"/>
    <s v="FB"/>
    <s v="Mihir Goswami"/>
    <m/>
    <s v="Gujarat "/>
    <x v="0"/>
    <s v="   1,77,000"/>
    <x v="163"/>
  </r>
  <r>
    <s v="EOS1048"/>
    <d v="2025-12-02T00:00:00"/>
    <s v="FB"/>
    <s v="Faruk Shaikh"/>
    <s v="Ahmedabad"/>
    <s v="Gujarat "/>
    <x v="3"/>
    <s v="   1,77,000"/>
    <x v="37"/>
  </r>
  <r>
    <s v="EOS1049"/>
    <d v="2025-12-02T00:00:00"/>
    <s v="FB"/>
    <s v="Shree Sharma"/>
    <s v="Mehsana"/>
    <s v="Gujarat "/>
    <x v="3"/>
    <s v="   1,77,000"/>
    <x v="37"/>
  </r>
  <r>
    <s v="EOS1050"/>
    <d v="2025-12-02T00:00:00"/>
    <s v="FB"/>
    <s v="Patel Romil"/>
    <s v="Ahmedabad"/>
    <s v="Gujarat "/>
    <x v="3"/>
    <s v="   1,77,000"/>
    <x v="37"/>
  </r>
  <r>
    <s v="EOS1051"/>
    <d v="2025-12-02T00:00:00"/>
    <s v="FB"/>
    <s v="riJesh PaTel"/>
    <s v="Surat"/>
    <s v="Gujarat "/>
    <x v="3"/>
    <s v="   1,77,000"/>
    <x v="37"/>
  </r>
  <r>
    <s v="EOS1052"/>
    <d v="2025-12-02T00:00:00"/>
    <s v="FB"/>
    <s v="KD"/>
    <s v="Surendranagar"/>
    <s v="Gujarat "/>
    <x v="3"/>
    <s v="   1,77,000"/>
    <x v="37"/>
  </r>
  <r>
    <s v="EOS1053"/>
    <d v="2025-12-02T00:00:00"/>
    <s v="FB"/>
    <s v="Jasmin Kalotra"/>
    <s v="Valsad"/>
    <s v="Gujarat "/>
    <x v="3"/>
    <s v="   1,77,000"/>
    <x v="153"/>
  </r>
  <r>
    <s v="EOS1054"/>
    <d v="2025-12-02T00:00:00"/>
    <s v="FB"/>
    <s v="Suchit Patel"/>
    <s v=" Bhavnagar"/>
    <s v="Gujarat "/>
    <x v="3"/>
    <s v="   1,77,000"/>
    <x v="37"/>
  </r>
  <r>
    <s v="EOS1055"/>
    <d v="2025-12-02T00:00:00"/>
    <s v="FB"/>
    <s v="Virajsinh Chudasama"/>
    <s v="Ahmedabad"/>
    <s v="Gujarat "/>
    <x v="3"/>
    <s v="   1,77,000"/>
    <x v="37"/>
  </r>
  <r>
    <s v="EOS1056"/>
    <d v="2025-12-02T00:00:00"/>
    <s v="FB"/>
    <s v="MEET TORIYA"/>
    <s v="Dobahi"/>
    <s v="Gujarat "/>
    <x v="3"/>
    <s v="   1,77,000"/>
    <x v="37"/>
  </r>
  <r>
    <s v="EOS1057"/>
    <d v="2025-12-02T00:00:00"/>
    <s v="FB"/>
    <s v="Arvind"/>
    <s v="Vadodara"/>
    <s v="Gujarat "/>
    <x v="0"/>
    <s v="   1,77,000"/>
    <x v="0"/>
  </r>
  <r>
    <s v="EOS1058"/>
    <d v="2025-11-19T00:00:00"/>
    <s v="FB"/>
    <s v="Virendrasinh Solanki"/>
    <s v=""/>
    <s v="Gujarat "/>
    <x v="3"/>
    <s v="   1,77,000"/>
    <x v="37"/>
  </r>
  <r>
    <s v="EOS1059"/>
    <d v="2025-12-03T00:00:00"/>
    <s v="FB"/>
    <s v="ankur"/>
    <s v="Bharuch"/>
    <s v="Gujarat "/>
    <x v="3"/>
    <s v="   1,77,000"/>
    <x v="37"/>
  </r>
  <r>
    <s v="EOS1060"/>
    <d v="2025-12-03T00:00:00"/>
    <s v="FB"/>
    <s v="Yuvrajsinh Chudasama"/>
    <s v="Rajkot"/>
    <s v="Gujarat "/>
    <x v="3"/>
    <s v="   1,77,000"/>
    <x v="37"/>
  </r>
  <r>
    <s v="EOS1061"/>
    <d v="2025-12-03T00:00:00"/>
    <s v="FB"/>
    <m/>
    <s v="Ahmedabad"/>
    <s v="Gujarat "/>
    <x v="3"/>
    <s v="   1,77,000"/>
    <x v="37"/>
  </r>
  <r>
    <s v="EOS1062"/>
    <d v="2025-12-03T00:00:00"/>
    <s v="FB"/>
    <s v="Bharat Mehta"/>
    <s v="Upetla "/>
    <s v="Gujarat "/>
    <x v="3"/>
    <s v="   1,77,000"/>
    <x v="37"/>
  </r>
  <r>
    <s v="EOS1063"/>
    <d v="2025-12-03T00:00:00"/>
    <s v="FB"/>
    <s v="Ashif Shekhan"/>
    <s v="Rajkot"/>
    <s v="Gujarat "/>
    <x v="0"/>
    <s v="   1,77,000"/>
    <x v="0"/>
  </r>
  <r>
    <s v="EOS1064"/>
    <d v="2025-12-03T00:00:00"/>
    <s v="FB"/>
    <s v="Avinash Borichangar"/>
    <s v="Wankaner"/>
    <s v="Gujarat "/>
    <x v="3"/>
    <s v="   1,77,000"/>
    <x v="37"/>
  </r>
  <r>
    <s v="EOS1065"/>
    <d v="2025-12-03T00:00:00"/>
    <s v="FB"/>
    <s v="Alfeshani Gadhvara"/>
    <s v="Vadodara"/>
    <s v="Gujarat "/>
    <x v="3"/>
    <s v="   1,77,000"/>
    <x v="37"/>
  </r>
  <r>
    <s v="EOS1066"/>
    <d v="2025-12-04T00:00:00"/>
    <s v="FB"/>
    <s v="Dharmendra Vaghela"/>
    <s v="gandhidham "/>
    <s v="Gujarat "/>
    <x v="3"/>
    <s v="   1,77,000"/>
    <x v="37"/>
  </r>
  <r>
    <s v="EOS1067"/>
    <d v="2025-12-04T00:00:00"/>
    <s v="FB"/>
    <m/>
    <s v="patan "/>
    <s v="Gujarat "/>
    <x v="3"/>
    <s v="   1,77,000"/>
    <x v="37"/>
  </r>
  <r>
    <s v="EOS1068"/>
    <d v="2025-12-04T00:00:00"/>
    <s v="FB"/>
    <s v="Tarun Gurjar"/>
    <s v="Rajkot"/>
    <s v="Gujarat "/>
    <x v="3"/>
    <s v="   1,77,000"/>
    <x v="37"/>
  </r>
  <r>
    <s v="EOS1069"/>
    <d v="2025-12-04T00:00:00"/>
    <s v="FB"/>
    <s v="Pooja Sarvaiya"/>
    <s v="Rajkot"/>
    <s v="Gujarat "/>
    <x v="3"/>
    <s v="   1,77,000"/>
    <x v="37"/>
  </r>
  <r>
    <s v="EOS1070"/>
    <d v="2025-12-04T00:00:00"/>
    <s v="FB"/>
    <s v="Murtuja Fakrudin Laxmidhar"/>
    <s v="Mehsana"/>
    <s v="Gujarat "/>
    <x v="3"/>
    <s v="   1,77,000"/>
    <x v="37"/>
  </r>
  <r>
    <s v="EOS1071"/>
    <d v="2025-12-05T00:00:00"/>
    <s v="FB"/>
    <s v="MEGH PATEL"/>
    <s v="Talaja "/>
    <s v="Gujarat "/>
    <x v="0"/>
    <s v="   1,77,000"/>
    <x v="0"/>
  </r>
  <r>
    <s v="EOS1072"/>
    <d v="2025-12-05T00:00:00"/>
    <s v="FB"/>
    <s v="Dharmendra Giri Goswami"/>
    <s v="Chuda"/>
    <s v="Gujarat "/>
    <x v="3"/>
    <s v="   1,77,000"/>
    <x v="37"/>
  </r>
  <r>
    <s v="EOS1073"/>
    <d v="2025-12-05T00:00:00"/>
    <s v="FB"/>
    <s v="Pradipsingh "/>
    <s v="Rajkot"/>
    <s v="Gujarat "/>
    <x v="3"/>
    <s v="   1,77,000"/>
    <x v="37"/>
  </r>
  <r>
    <s v="EOS1074"/>
    <d v="2025-12-05T00:00:00"/>
    <s v="FB"/>
    <s v="Badal "/>
    <s v="Harji "/>
    <s v="Gujarat "/>
    <x v="3"/>
    <s v="   1,77,000"/>
    <x v="0"/>
  </r>
  <r>
    <s v="EOS1075"/>
    <d v="2025-12-05T00:00:00"/>
    <s v="FB"/>
    <s v="Kanji Thakor"/>
    <s v="Amreli"/>
    <s v="Gujarat "/>
    <x v="3"/>
    <s v="   1,77,000"/>
    <x v="37"/>
  </r>
  <r>
    <s v="EOS1076"/>
    <d v="2025-12-06T00:00:00"/>
    <s v="FB"/>
    <s v="jaydip"/>
    <s v="Dahod "/>
    <s v="Gujarat "/>
    <x v="3"/>
    <s v="   1,77,000"/>
    <x v="37"/>
  </r>
  <r>
    <s v="EOS1077"/>
    <d v="2025-12-06T00:00:00"/>
    <s v="FB"/>
    <s v="SHARMA BHARATKUMAR"/>
    <s v="Ahmedabad"/>
    <s v="Gujarat "/>
    <x v="3"/>
    <s v="   1,77,000"/>
    <x v="37"/>
  </r>
  <r>
    <s v="EOS1078"/>
    <d v="2025-12-06T00:00:00"/>
    <s v="FB"/>
    <s v="Akash Dahake"/>
    <s v="Vadodara"/>
    <s v="Gujarat "/>
    <x v="3"/>
    <s v="   1,77,000"/>
    <x v="37"/>
  </r>
  <r>
    <s v="EOS1079"/>
    <d v="2025-12-06T00:00:00"/>
    <s v="FB"/>
    <s v="navin parmar "/>
    <s v="Sokdha"/>
    <s v="Gujarat "/>
    <x v="3"/>
    <s v="   1,77,000"/>
    <x v="37"/>
  </r>
  <r>
    <s v="EOS1080"/>
    <d v="2025-12-06T00:00:00"/>
    <s v="FB"/>
    <s v="Pathan Mohfiz"/>
    <s v="Bharuch"/>
    <s v="Gujarat "/>
    <x v="3"/>
    <s v="   1,77,000"/>
    <x v="37"/>
  </r>
  <r>
    <s v="EOS1081"/>
    <d v="2025-12-06T00:00:00"/>
    <s v="FB"/>
    <s v="Shobi Pirzada"/>
    <s v="Gir Somnath"/>
    <s v="Gujarat "/>
    <x v="3"/>
    <s v="   1,77,000"/>
    <x v="37"/>
  </r>
  <r>
    <s v="EOS1082"/>
    <d v="2025-12-06T00:00:00"/>
    <s v="FB"/>
    <s v="karansinh rajput"/>
    <s v="Unja "/>
    <s v="Gujarat "/>
    <x v="0"/>
    <s v="   1,77,000"/>
    <x v="0"/>
  </r>
  <r>
    <s v="EOS1083"/>
    <d v="2025-12-06T00:00:00"/>
    <s v="FB"/>
    <s v="Vishal Patel"/>
    <s v="Chuda"/>
    <s v="Gujarat "/>
    <x v="3"/>
    <s v="   1,77,000"/>
    <x v="37"/>
  </r>
  <r>
    <s v="EOS1084"/>
    <d v="2025-12-06T00:00:00"/>
    <s v="FB"/>
    <s v="Zalavadiya kuldip"/>
    <s v="Gondal"/>
    <s v="Gujarat "/>
    <x v="3"/>
    <s v="   1,77,000"/>
    <x v="37"/>
  </r>
  <r>
    <s v="EOS1085"/>
    <d v="2025-12-08T00:00:00"/>
    <s v="FB"/>
    <s v="Mustfa Kazi"/>
    <m/>
    <s v="Gujarat "/>
    <x v="0"/>
    <s v="   1,77,000"/>
    <x v="0"/>
  </r>
  <r>
    <s v="EOS1086"/>
    <d v="2025-12-08T00:00:00"/>
    <s v="FB"/>
    <s v="Roshal Patel"/>
    <s v="Ahmedabad"/>
    <s v="Gujarat "/>
    <x v="3"/>
    <s v="   1,77,000"/>
    <x v="37"/>
  </r>
  <r>
    <s v="EOS1087"/>
    <d v="2025-12-08T00:00:00"/>
    <s v="FB"/>
    <s v="Chetan B. Patel"/>
    <s v="Rajkot"/>
    <s v="Gujarat "/>
    <x v="3"/>
    <s v="   1,77,000"/>
    <x v="37"/>
  </r>
  <r>
    <s v="EOS1088"/>
    <d v="2025-12-08T00:00:00"/>
    <s v="FB"/>
    <s v="Samir"/>
    <s v="Jamjodhpur"/>
    <s v="Gujarat "/>
    <x v="0"/>
    <s v="   1,77,000"/>
    <x v="0"/>
  </r>
  <r>
    <s v="EOS1089"/>
    <d v="2025-12-08T00:00:00"/>
    <s v="FB"/>
    <s v="BRAVE HEART"/>
    <s v="Anand"/>
    <s v="Gujarat "/>
    <x v="3"/>
    <s v="   1,77,000"/>
    <x v="37"/>
  </r>
  <r>
    <s v="EOS1090"/>
    <d v="2025-12-08T00:00:00"/>
    <s v="FB"/>
    <s v="shaan one solutions pvt Ltd"/>
    <s v="Ahmedabad"/>
    <s v="Gujarat "/>
    <x v="3"/>
    <s v="   1,77,000"/>
    <x v="37"/>
  </r>
  <r>
    <s v="EOS1091"/>
    <d v="2025-12-08T00:00:00"/>
    <s v="FB"/>
    <s v="Jugal jani"/>
    <s v="Vadodara"/>
    <s v="Gujarat "/>
    <x v="3"/>
    <s v="   1,77,000"/>
    <x v="37"/>
  </r>
  <r>
    <s v="EOS1092"/>
    <d v="2025-12-08T00:00:00"/>
    <s v="FB"/>
    <s v="Girjesh Ladhhar"/>
    <s v="Ahmedabad"/>
    <s v="Gujarat "/>
    <x v="0"/>
    <s v="   1,77,000"/>
    <x v="0"/>
  </r>
  <r>
    <s v="EOS1093"/>
    <d v="2025-12-08T00:00:00"/>
    <s v="FB"/>
    <s v="Nimit Patel"/>
    <s v="killa pardi  (valsad)"/>
    <s v="Gujarat "/>
    <x v="3"/>
    <s v="   1,77,000"/>
    <x v="37"/>
  </r>
  <r>
    <s v="EOS1094"/>
    <d v="2025-12-08T00:00:00"/>
    <s v="FB"/>
    <s v="Niraj Shah"/>
    <s v="Jasdan "/>
    <s v="Gujarat "/>
    <x v="0"/>
    <s v="   1,77,000"/>
    <x v="165"/>
  </r>
  <r>
    <s v="EOS1095"/>
    <d v="2025-12-08T00:00:00"/>
    <s v="FB"/>
    <s v="Bhudev Jasdan"/>
    <s v="Jamnagar"/>
    <s v="Gujarat "/>
    <x v="0"/>
    <s v="   1,77,000"/>
    <x v="50"/>
  </r>
  <r>
    <s v="EOS1096"/>
    <d v="2025-12-08T00:00:00"/>
    <s v="FB"/>
    <s v="Mohit ahi"/>
    <s v="lakhi "/>
    <s v="Gujarat "/>
    <x v="3"/>
    <s v="   1,77,000"/>
    <x v="37"/>
  </r>
  <r>
    <s v="EOS1097"/>
    <d v="2025-12-08T00:00:00"/>
    <s v="FB"/>
    <s v="D K Rajput"/>
    <s v="patan "/>
    <s v="Gujarat "/>
    <x v="3"/>
    <s v="   1,77,000"/>
    <x v="37"/>
  </r>
  <r>
    <s v="EOS1098"/>
    <d v="2025-12-08T00:00:00"/>
    <s v="FB"/>
    <s v="Milan Sathvara"/>
    <m/>
    <s v="Gujarat "/>
    <x v="3"/>
    <s v="   1,77,000"/>
    <x v="166"/>
  </r>
  <r>
    <s v="EOS1099"/>
    <d v="2025-12-08T00:00:00"/>
    <s v="FB"/>
    <s v="Zeel thakor"/>
    <s v="Vadodara"/>
    <s v="Gujarat "/>
    <x v="3"/>
    <s v="   1,77,000"/>
    <x v="37"/>
  </r>
  <r>
    <s v="EOS1100"/>
    <d v="2025-12-09T00:00:00"/>
    <s v="FB"/>
    <s v="Rathod Yogendrasinh"/>
    <s v="Tharad"/>
    <s v="Gujarat "/>
    <x v="0"/>
    <s v="   1,77,000"/>
    <x v="165"/>
  </r>
  <r>
    <s v="EOS1101"/>
    <d v="1900-01-01T00:00:00"/>
    <s v="FB"/>
    <s v="Shaileshsinh Vaghela"/>
    <s v="himmatnagar"/>
    <s v="Gujarat "/>
    <x v="3"/>
    <s v="   1,77,000"/>
    <x v="138"/>
  </r>
  <r>
    <s v="EOS1102"/>
    <d v="2025-12-09T00:00:00"/>
    <s v="FB"/>
    <s v="IrfanKhan Makrani"/>
    <s v="manavadar"/>
    <s v="Gujarat "/>
    <x v="0"/>
    <s v="   1,77,000"/>
    <x v="165"/>
  </r>
  <r>
    <s v="EOS1103"/>
    <d v="2025-12-09T00:00:00"/>
    <s v="FB"/>
    <s v="Shiv Refrigeration"/>
    <s v="Vadodara"/>
    <s v="Gujarat "/>
    <x v="3"/>
    <s v="   1,77,000"/>
    <x v="167"/>
  </r>
  <r>
    <s v="EOS1104"/>
    <d v="2025-12-09T00:00:00"/>
    <s v="FB"/>
    <s v="Khushali"/>
    <s v="Ahmedabad"/>
    <s v="Gujarat "/>
    <x v="3"/>
    <s v="   1,77,000"/>
    <x v="167"/>
  </r>
  <r>
    <s v="EOS1105"/>
    <d v="2025-12-09T00:00:00"/>
    <s v="FB"/>
    <s v="Madhav Chauhan"/>
    <s v="Ahmedabad"/>
    <s v="Gujarat "/>
    <x v="3"/>
    <s v="   1,77,000"/>
    <x v="167"/>
  </r>
  <r>
    <s v="EOS1106"/>
    <d v="2025-12-09T00:00:00"/>
    <s v="FB"/>
    <s v="Ketan sha"/>
    <s v="Dholka"/>
    <s v="Gujarat "/>
    <x v="0"/>
    <s v="   1,77,000"/>
    <x v="165"/>
  </r>
  <r>
    <s v="EOS1107"/>
    <d v="2025-12-09T00:00:00"/>
    <s v="FB"/>
    <s v="Samir Diwa"/>
    <s v="Adipur "/>
    <s v="Gujarat "/>
    <x v="0"/>
    <s v="   1,77,000"/>
    <x v="50"/>
  </r>
  <r>
    <s v="EOS1108"/>
    <d v="2025-12-09T00:00:00"/>
    <s v="FB"/>
    <s v="Vijay Gusha"/>
    <s v="Wankaner"/>
    <s v="Gujarat "/>
    <x v="0"/>
    <s v="   1,77,000"/>
    <x v="0"/>
  </r>
  <r>
    <s v="EOS1109"/>
    <d v="2025-12-09T00:00:00"/>
    <s v="FB"/>
    <s v="jay"/>
    <s v="Ahmedabad"/>
    <s v="Gujarat "/>
    <x v="3"/>
    <s v="   1,77,000"/>
    <x v="37"/>
  </r>
  <r>
    <s v="EOS1110"/>
    <d v="2025-12-09T00:00:00"/>
    <s v="FB"/>
    <s v="Rahul Panchal "/>
    <s v="Rajkot"/>
    <s v="Gujarat "/>
    <x v="3"/>
    <s v="   1,77,000"/>
    <x v="37"/>
  </r>
  <r>
    <s v="EOS1111"/>
    <d v="2025-12-10T00:00:00"/>
    <s v="FB"/>
    <s v="Sarvaiya Mayur"/>
    <s v="gandhidham "/>
    <s v="Gujarat "/>
    <x v="3"/>
    <s v="   1,77,000"/>
    <x v="37"/>
  </r>
  <r>
    <s v="EOS1112"/>
    <d v="2025-12-10T00:00:00"/>
    <s v="FB"/>
    <s v="Aryan Maharaj"/>
    <s v="Gandhinagar"/>
    <s v="Gujarat "/>
    <x v="3"/>
    <s v="   1,77,000"/>
    <x v="37"/>
  </r>
  <r>
    <s v="EOS1113"/>
    <d v="2025-12-10T00:00:00"/>
    <s v="FB"/>
    <s v="Dilip Patel Dilip"/>
    <s v="Anand"/>
    <s v="Gujarat "/>
    <x v="3"/>
    <s v="   1,77,000"/>
    <x v="37"/>
  </r>
  <r>
    <s v="EOS1114"/>
    <d v="2025-12-10T00:00:00"/>
    <s v="FB"/>
    <s v="Chirag Parekh"/>
    <s v="Bharuch"/>
    <s v="Gujarat "/>
    <x v="3"/>
    <s v="   1,77,000"/>
    <x v="37"/>
  </r>
  <r>
    <s v="EOS1115"/>
    <d v="2025-12-10T00:00:00"/>
    <s v="FB"/>
    <s v="Salim Patel"/>
    <s v="Surat"/>
    <s v="Gujarat "/>
    <x v="3"/>
    <s v="   1,77,000"/>
    <x v="37"/>
  </r>
  <r>
    <s v="EOS1116"/>
    <d v="2025-12-10T00:00:00"/>
    <s v="FB"/>
    <s v="Madaliya sumita"/>
    <s v="Mehsana"/>
    <s v="Gujarat "/>
    <x v="3"/>
    <s v="   1,77,000"/>
    <x v="37"/>
  </r>
  <r>
    <s v="EOS1117"/>
    <d v="2025-12-10T00:00:00"/>
    <s v="FB"/>
    <s v="Yuvraj"/>
    <s v="Upetla "/>
    <s v="Gujarat"/>
    <x v="0"/>
    <s v="   1,77,000"/>
    <x v="165"/>
  </r>
  <r>
    <s v="EOS1118"/>
    <d v="2025-12-10T00:00:00"/>
    <s v="FB"/>
    <s v="Jayesh Suva"/>
    <s v="Vadodara"/>
    <s v="Gujarat "/>
    <x v="3"/>
    <s v="   1,77,000"/>
    <x v="37"/>
  </r>
  <r>
    <s v="EOS1119"/>
    <d v="2025-12-10T00:00:00"/>
    <s v="FB"/>
    <m/>
    <s v="Ankleshwar"/>
    <s v="Gujarat"/>
    <x v="0"/>
    <s v="   1,77,000"/>
    <x v="165"/>
  </r>
  <r>
    <s v="EOS1120"/>
    <d v="2025-12-10T00:00:00"/>
    <s v="FB"/>
    <s v="Navaz Ganiyani"/>
    <s v="Jambusar "/>
    <s v="Gujarat "/>
    <x v="3"/>
    <s v="   1,77,000"/>
    <x v="37"/>
  </r>
  <r>
    <s v="EOS1121"/>
    <d v="2025-12-10T00:00:00"/>
    <s v="FB"/>
    <s v="Tofee khan "/>
    <s v="gadu "/>
    <s v="Gujarat"/>
    <x v="0"/>
    <s v="   1,77,000"/>
    <x v="165"/>
  </r>
  <r>
    <s v="EOS1122"/>
    <d v="2025-12-10T00:00:00"/>
    <s v="FB"/>
    <s v="Viru galchar"/>
    <s v="Ahmedabad"/>
    <s v="Gujarat "/>
    <x v="3"/>
    <s v="   1,77,000"/>
    <x v="37"/>
  </r>
  <r>
    <s v="EOS1123"/>
    <d v="2025-12-11T00:00:00"/>
    <s v="FB"/>
    <s v="bapu"/>
    <s v="Morbi "/>
    <s v="Gujarat"/>
    <x v="0"/>
    <s v="   1,77,000"/>
    <x v="0"/>
  </r>
  <r>
    <s v="EOS1124"/>
    <d v="2025-12-11T00:00:00"/>
    <s v="FB"/>
    <s v="Manoj Kumar"/>
    <s v="Surat "/>
    <s v="Gujarat"/>
    <x v="0"/>
    <s v="   1,77,000"/>
    <x v="0"/>
  </r>
  <r>
    <s v="EOS1125"/>
    <d v="2025-12-11T00:00:00"/>
    <s v="FB"/>
    <s v="Vishu Shinde"/>
    <s v="Rajkot"/>
    <s v="Gujarat "/>
    <x v="3"/>
    <n v="0"/>
    <x v="37"/>
  </r>
  <r>
    <s v="EOS1126"/>
    <d v="2025-12-11T00:00:00"/>
    <s v="FB"/>
    <s v="Savan Ajani"/>
    <s v="Nadiad"/>
    <s v="Gujarat "/>
    <x v="3"/>
    <s v="   1,77,000"/>
    <x v="37"/>
  </r>
  <r>
    <s v="EOS1127"/>
    <d v="2025-12-11T00:00:00"/>
    <s v="FB"/>
    <s v="Rahul Sharm"/>
    <s v="Ahmedabad"/>
    <s v="Gujarat "/>
    <x v="3"/>
    <s v="   1,77,000"/>
    <x v="37"/>
  </r>
  <r>
    <s v="EOS1128"/>
    <d v="2025-12-11T00:00:00"/>
    <s v="FB"/>
    <s v="Jagruti Kaushik Patel"/>
    <s v="Bharuch"/>
    <s v="Gujarat"/>
    <x v="0"/>
    <s v="   1,77,000"/>
    <x v="136"/>
  </r>
  <r>
    <s v="EOS1129"/>
    <d v="2025-12-11T00:00:00"/>
    <s v="FB"/>
    <s v="Manish Kantibhai Pate"/>
    <s v="Junagadh"/>
    <s v="Gujarat "/>
    <x v="3"/>
    <s v="   1,77,000"/>
    <x v="37"/>
  </r>
  <r>
    <s v="EOS1130"/>
    <d v="2025-12-11T00:00:00"/>
    <s v="FB"/>
    <s v="Fahad Bakhol"/>
    <s v="Vapi"/>
    <s v="Gujarat "/>
    <x v="3"/>
    <s v="   1,77,000"/>
    <x v="37"/>
  </r>
  <r>
    <s v="EOS1131"/>
    <d v="2025-12-11T00:00:00"/>
    <s v="FB"/>
    <s v="Nakum Kachara Nanji"/>
    <m/>
    <s v="Gujarat"/>
    <x v="3"/>
    <s v="   1,77,000"/>
    <x v="153"/>
  </r>
  <r>
    <s v="EOS1132"/>
    <d v="2025-12-11T00:00:00"/>
    <s v="FB"/>
    <s v="Sarthak Patel"/>
    <m/>
    <s v="Gujarat"/>
    <x v="3"/>
    <s v="   1,77,000"/>
    <x v="153"/>
  </r>
  <r>
    <s v="EOS1133"/>
    <d v="2025-12-11T00:00:00"/>
    <s v="FB"/>
    <s v="Aniket Korat"/>
    <m/>
    <s v="Gujarat"/>
    <x v="3"/>
    <s v="   1,77,000"/>
    <x v="153"/>
  </r>
  <r>
    <s v="EOS1134"/>
    <d v="2025-12-11T00:00:00"/>
    <s v="FB"/>
    <s v="Paras Patel"/>
    <s v="Palanpur"/>
    <s v="Gujarat "/>
    <x v="3"/>
    <s v="   1,77,000"/>
    <x v="168"/>
  </r>
  <r>
    <s v="EOS1135"/>
    <d v="2025-08-06T00:00:00"/>
    <s v="FB"/>
    <s v="Bhatiya Rameshbhai nathabhai"/>
    <s v="Jangvad"/>
    <s v="Gujarat "/>
    <x v="0"/>
    <s v="   1,77,000"/>
    <x v="169"/>
  </r>
  <r>
    <s v="EOS1136"/>
    <d v="2025-12-13T00:00:00"/>
    <s v="FB"/>
    <m/>
    <s v=" Bhavnagar"/>
    <s v="Gujarat "/>
    <x v="3"/>
    <s v="   1,77,000"/>
    <x v="37"/>
  </r>
  <r>
    <s v="EOS1137"/>
    <d v="2025-12-15T00:00:00"/>
    <s v="FB"/>
    <s v="Jaydipsinh Gohil"/>
    <m/>
    <s v="Gujarat "/>
    <x v="3"/>
    <s v="   1,77,000"/>
    <x v="37"/>
  </r>
  <r>
    <s v="EOS1138"/>
    <d v="2025-12-15T00:00:00"/>
    <s v="FB"/>
    <s v="R A M"/>
    <m/>
    <s v="Gujarat "/>
    <x v="3"/>
    <s v="   1,77,000"/>
    <x v="37"/>
  </r>
  <r>
    <s v="EOS1139"/>
    <d v="2025-12-15T00:00:00"/>
    <s v="FB"/>
    <s v="Gunavant Tapodhan"/>
    <s v=" Bhavnagar"/>
    <s v="Gujarat "/>
    <x v="3"/>
    <s v="   1,77,000"/>
    <x v="37"/>
  </r>
  <r>
    <s v="EOS1140"/>
    <d v="2025-12-15T00:00:00"/>
    <s v="FB"/>
    <s v="Chauhan Hemendrasinh"/>
    <s v="Ahmedabad"/>
    <s v="Gujarat "/>
    <x v="3"/>
    <s v="   1,77,000"/>
    <x v="37"/>
  </r>
  <r>
    <s v="EOS1141"/>
    <d v="2025-12-15T00:00:00"/>
    <s v="FB"/>
    <s v="Krunal Pate"/>
    <s v="Rajkot"/>
    <s v="Gujarat "/>
    <x v="0"/>
    <s v="   1,77,000"/>
    <x v="0"/>
  </r>
  <r>
    <s v="EOS1142"/>
    <d v="2025-12-15T00:00:00"/>
    <s v="FB"/>
    <s v="Manish patel"/>
    <s v="Idar "/>
    <s v="Gujarat "/>
    <x v="0"/>
    <s v="   1,77,000"/>
    <x v="0"/>
  </r>
  <r>
    <s v="EOS1143"/>
    <d v="2025-12-15T00:00:00"/>
    <s v="FB"/>
    <s v="Paresh Parmar"/>
    <s v="Rajkot"/>
    <s v="Gujarat "/>
    <x v="3"/>
    <s v="   1,77,000"/>
    <x v="37"/>
  </r>
  <r>
    <s v="EOS1144"/>
    <d v="2025-12-15T00:00:00"/>
    <s v="FB"/>
    <s v="Vishal maganbhai Galoriya"/>
    <s v="Ahmedabad"/>
    <s v="Gujarat "/>
    <x v="3"/>
    <s v="   1,77,000"/>
    <x v="37"/>
  </r>
  <r>
    <s v="EOS1145"/>
    <d v="2025-12-15T00:00:00"/>
    <s v="FB"/>
    <s v="Ricky "/>
    <s v="Surat "/>
    <s v="Gujarat "/>
    <x v="3"/>
    <s v="   1,77,000"/>
    <x v="37"/>
  </r>
  <r>
    <s v="EOS1146"/>
    <d v="2025-12-15T00:00:00"/>
    <s v="FB"/>
    <s v="..Kirtan Metaliya"/>
    <s v="Jafarabad"/>
    <s v="Gujarat "/>
    <x v="0"/>
    <s v="   1,77,000"/>
    <x v="0"/>
  </r>
  <r>
    <s v="EOS1147"/>
    <d v="2025-12-15T00:00:00"/>
    <s v="FB"/>
    <s v="Thaiyam__mustfa"/>
    <s v="Ahmedabad"/>
    <s v="Gujarat "/>
    <x v="3"/>
    <s v="   1,77,000"/>
    <x v="37"/>
  </r>
  <r>
    <s v="EOS1148"/>
    <d v="2025-12-15T00:00:00"/>
    <s v="FB"/>
    <s v="Modan BasaratRaza"/>
    <s v="Rajkot"/>
    <s v="Gujarat "/>
    <x v="3"/>
    <s v="   1,77,000"/>
    <x v="37"/>
  </r>
  <r>
    <s v="EOS1149"/>
    <d v="2025-12-15T00:00:00"/>
    <s v="FB"/>
    <s v="admani Mustufa"/>
    <m/>
    <s v="Gujarat "/>
    <x v="3"/>
    <s v="   1,77,000"/>
    <x v="37"/>
  </r>
  <r>
    <s v="EOS1150"/>
    <d v="2025-12-15T00:00:00"/>
    <s v="FB"/>
    <s v="Nilu Ravar Dev"/>
    <s v="Vadodara"/>
    <s v="Gujarat "/>
    <x v="0"/>
    <s v="   1,77,000"/>
    <x v="24"/>
  </r>
  <r>
    <s v="EOS1151"/>
    <d v="2025-12-15T00:00:00"/>
    <s v="FB"/>
    <s v="Harshita Nehal shah"/>
    <s v="Dwarka"/>
    <s v="Gujarat "/>
    <x v="3"/>
    <s v="   1,77,000"/>
    <x v="170"/>
  </r>
  <r>
    <s v="EOS1152"/>
    <d v="2025-12-15T00:00:00"/>
    <s v="FB"/>
    <s v="Prem Dave"/>
    <s v="Jafarabad"/>
    <s v="Gujarat "/>
    <x v="0"/>
    <s v="   1,77,000"/>
    <x v="165"/>
  </r>
  <r>
    <s v="EOS1153"/>
    <d v="2025-12-15T00:00:00"/>
    <s v="FB"/>
    <s v="Emran Shek"/>
    <s v="Rajkot"/>
    <s v="Gujarat "/>
    <x v="3"/>
    <s v="   1,77,000"/>
    <x v="37"/>
  </r>
  <r>
    <s v="EOS1154"/>
    <d v="2025-12-15T00:00:00"/>
    <s v="FB"/>
    <s v="sandip Dobariy"/>
    <s v="Balasinor"/>
    <s v="Gujarat "/>
    <x v="0"/>
    <s v="   1,77,000"/>
    <x v="165"/>
  </r>
  <r>
    <s v="EOS1155"/>
    <d v="2025-12-15T00:00:00"/>
    <s v="FB"/>
    <s v="Mitesh Patel"/>
    <s v=" Bhavnagar"/>
    <s v="Gujarat "/>
    <x v="3"/>
    <s v="   1,77,000"/>
    <x v="37"/>
  </r>
  <r>
    <s v="EOS1156"/>
    <d v="2025-12-15T00:00:00"/>
    <s v="FB"/>
    <s v="Gohil Udayrajsinh"/>
    <s v="Dhanera"/>
    <s v="Gujarat "/>
    <x v="3"/>
    <s v="   1,77,000"/>
    <x v="37"/>
  </r>
  <r>
    <s v="EOS1157"/>
    <d v="2025-12-15T00:00:00"/>
    <s v="FB"/>
    <s v="Bharat Soni Dhanera"/>
    <s v="Rajkot"/>
    <s v="Gujarat "/>
    <x v="0"/>
    <s v="   1,77,000"/>
    <x v="165"/>
  </r>
  <r>
    <s v="EOS1158"/>
    <d v="2025-12-15T00:00:00"/>
    <s v="FB"/>
    <s v="Nilu Ravar Dev"/>
    <s v="Surat "/>
    <s v="Gujarat "/>
    <x v="3"/>
    <n v="200000"/>
    <x v="37"/>
  </r>
  <r>
    <s v="EOS1159"/>
    <d v="2025-12-18T00:00:00"/>
    <s v="FB"/>
    <s v="Arvind Patel"/>
    <s v="Patan"/>
    <s v="Gujarat "/>
    <x v="0"/>
    <s v="   1,77,000"/>
    <x v="24"/>
  </r>
  <r>
    <s v="EOS1160"/>
    <d v="2025-12-18T00:00:00"/>
    <s v="FB"/>
    <s v="Omkar Gauswami"/>
    <s v="keshod "/>
    <s v="Gujarat "/>
    <x v="3"/>
    <n v="200000"/>
    <x v="37"/>
  </r>
  <r>
    <s v="EOS1161"/>
    <d v="2025-12-18T00:00:00"/>
    <s v="FB"/>
    <s v="kripalsinh"/>
    <s v="Ahmedabad"/>
    <s v="Gujarat "/>
    <x v="3"/>
    <s v="   1,77,000"/>
    <x v="153"/>
  </r>
  <r>
    <s v="EOS1162"/>
    <d v="2025-12-19T00:00:00"/>
    <s v="FB"/>
    <s v="Patoliya Arpit"/>
    <s v="Madvi "/>
    <s v="Gujarat "/>
    <x v="3"/>
    <s v="   1,77,000"/>
    <x v="153"/>
  </r>
  <r>
    <s v="EOS1163"/>
    <d v="2025-12-19T00:00:00"/>
    <s v="FB"/>
    <s v="Arbaaz"/>
    <s v="Surendranagar"/>
    <s v="Gujarat "/>
    <x v="3"/>
    <n v="200000"/>
    <x v="37"/>
  </r>
  <r>
    <s v="EOS1164"/>
    <d v="2025-12-19T00:00:00"/>
    <s v="FB"/>
    <s v="Dharmesh Detroja"/>
    <s v="Ahmedabad"/>
    <s v="Gujarat "/>
    <x v="3"/>
    <s v="   1,77,000"/>
    <x v="153"/>
  </r>
  <r>
    <s v="EOS1165"/>
    <d v="2025-12-20T00:00:00"/>
    <s v="FB"/>
    <s v="Sahil Adani"/>
    <s v="Ahmedabad"/>
    <s v="Gujarat "/>
    <x v="3"/>
    <n v="200000"/>
    <x v="153"/>
  </r>
  <r>
    <s v="EOS1166"/>
    <d v="2025-12-23T00:00:00"/>
    <s v="FB"/>
    <s v="Thakur Suraj Singh"/>
    <s v="himmatnagar"/>
    <s v="Gujarat "/>
    <x v="3"/>
    <n v="200000"/>
    <x v="153"/>
  </r>
  <r>
    <s v="EOS1167"/>
    <d v="2025-12-23T00:00:00"/>
    <s v="FB"/>
    <s v="Kalp Patel"/>
    <s v="Navagam "/>
    <s v="Gujarat "/>
    <x v="3"/>
    <n v="200000"/>
    <x v="153"/>
  </r>
  <r>
    <s v="EOS1168"/>
    <d v="2025-12-23T00:00:00"/>
    <s v="FB"/>
    <s v="Avesh Juneja"/>
    <s v="Junagadh"/>
    <s v="Gujarat "/>
    <x v="3"/>
    <n v="200000"/>
    <x v="153"/>
  </r>
  <r>
    <s v="EOS1169"/>
    <d v="2025-12-23T00:00:00"/>
    <s v="FB"/>
    <s v="Mohit akhed"/>
    <m/>
    <s v="Gujarat "/>
    <x v="3"/>
    <n v="200000"/>
    <x v="153"/>
  </r>
  <r>
    <s v="EOS1170"/>
    <d v="2025-12-23T00:00:00"/>
    <s v="FB"/>
    <s v="Chintan Patel"/>
    <s v="Ahmedabad"/>
    <s v="Gujarat "/>
    <x v="3"/>
    <n v="200000"/>
    <x v="37"/>
  </r>
  <r>
    <s v="EOS1171"/>
    <d v="2025-12-29T00:00:00"/>
    <s v="FB"/>
    <s v="Mukesh Kapadia"/>
    <s v="Surat"/>
    <s v="Gujarat "/>
    <x v="0"/>
    <n v="200000"/>
    <x v="42"/>
  </r>
  <r>
    <s v="EOS1172"/>
    <d v="2025-12-29T00:00:00"/>
    <s v="FB"/>
    <s v="Kaushik VyAs"/>
    <s v="himmatnagar"/>
    <s v="Gujarat "/>
    <x v="3"/>
    <n v="200000"/>
    <x v="37"/>
  </r>
  <r>
    <s v="EOS1173"/>
    <d v="2025-12-29T00:00:00"/>
    <s v="FB"/>
    <s v="Hitesh Patel"/>
    <s v="Padra"/>
    <s v="Gujarat "/>
    <x v="3"/>
    <n v="200000"/>
    <x v="37"/>
  </r>
  <r>
    <s v="EOS1174"/>
    <d v="2025-12-29T00:00:00"/>
    <s v="FB"/>
    <s v="Azaz kulad "/>
    <s v="Gol"/>
    <s v="Uttar Pradesh "/>
    <x v="0"/>
    <n v="200000"/>
    <x v="171"/>
  </r>
  <r>
    <s v="EOS1175"/>
    <d v="2026-01-02T00:00:00"/>
    <s v="FB"/>
    <s v="Mazhar Ali"/>
    <s v="himmatnagar"/>
    <s v="Gujarat "/>
    <x v="0"/>
    <n v="200000"/>
    <x v="172"/>
  </r>
  <r>
    <s v="EOS1176"/>
    <d v="2026-01-02T00:00:00"/>
    <s v="FB"/>
    <s v="yashpalsingh"/>
    <s v="Galodar "/>
    <s v="Gujarat "/>
    <x v="0"/>
    <n v="200000"/>
    <x v="173"/>
  </r>
  <r>
    <s v="EOS1177"/>
    <d v="2026-01-02T00:00:00"/>
    <s v="FB"/>
    <s v="maulik sindhav"/>
    <s v="Nadiad"/>
    <s v="Gujarat "/>
    <x v="3"/>
    <n v="200000"/>
    <x v="37"/>
  </r>
  <r>
    <s v="EOS1178"/>
    <d v="2026-01-02T00:00:00"/>
    <s v="FB"/>
    <s v="Kamleshsinh Solanki "/>
    <s v="Vinchhiya"/>
    <s v="gujarat "/>
    <x v="0"/>
    <n v="200000"/>
    <x v="50"/>
  </r>
  <r>
    <s v="EOS1179"/>
    <d v="2026-01-02T00:00:00"/>
    <s v="FB"/>
    <s v="Pankaj Mer"/>
    <s v=" Bhavnagar"/>
    <s v="Gujarat "/>
    <x v="3"/>
    <n v="200000"/>
    <x v="37"/>
  </r>
  <r>
    <s v="EOS1180"/>
    <d v="2026-01-02T00:00:00"/>
    <s v="FB"/>
    <s v="Tushar"/>
    <s v="Botad "/>
    <s v="Gujarat "/>
    <x v="0"/>
    <n v="200000"/>
    <x v="0"/>
  </r>
  <r>
    <s v="EOS1181"/>
    <d v="2026-01-02T00:00:00"/>
    <s v="FB"/>
    <s v="it's__KANBHAA"/>
    <s v="Vadodara"/>
    <s v="Gujarat "/>
    <x v="3"/>
    <n v="200000"/>
    <x v="37"/>
  </r>
  <r>
    <s v="EOS1182"/>
    <d v="2026-01-02T00:00:00"/>
    <s v="FB"/>
    <s v="aadil shaikh"/>
    <s v="Surat "/>
    <s v="Gujarat "/>
    <x v="3"/>
    <n v="200000"/>
    <x v="37"/>
  </r>
  <r>
    <s v="EOS1183"/>
    <d v="2026-01-02T00:00:00"/>
    <s v="FB"/>
    <s v="Rudra"/>
    <s v="Surat "/>
    <s v="Gujarat "/>
    <x v="3"/>
    <n v="200000"/>
    <x v="37"/>
  </r>
  <r>
    <s v="EOS1184"/>
    <d v="2026-01-02T00:00:00"/>
    <s v="FB"/>
    <s v="Hiralal bhai"/>
    <s v="kothara "/>
    <s v="gujarat "/>
    <x v="0"/>
    <n v="200000"/>
    <x v="24"/>
  </r>
  <r>
    <s v="EOS1185"/>
    <d v="2026-01-02T00:00:00"/>
    <s v="FB"/>
    <s v="Amin Miyaji"/>
    <s v="Gandhinagar"/>
    <s v="Gujarat "/>
    <x v="3"/>
    <n v="200000"/>
    <x v="37"/>
  </r>
  <r>
    <s v="EOS1186"/>
    <d v="2026-01-03T00:00:00"/>
    <s v="FB"/>
    <s v="Thakkar Darshan"/>
    <s v="Wankaner"/>
    <s v="Gujarat "/>
    <x v="3"/>
    <n v="200000"/>
    <x v="174"/>
  </r>
  <r>
    <s v="EOS1187"/>
    <d v="2026-01-03T00:00:00"/>
    <s v="FB"/>
    <s v="Anis"/>
    <s v="Nadiad"/>
    <s v="Gujarat "/>
    <x v="3"/>
    <n v="200000"/>
    <x v="37"/>
  </r>
  <r>
    <s v="EOS1188"/>
    <d v="2026-01-03T00:00:00"/>
    <s v="FB"/>
    <s v="Rushi_3111"/>
    <s v="Mehsana"/>
    <s v="Gujarat "/>
    <x v="3"/>
    <n v="200000"/>
    <x v="145"/>
  </r>
  <r>
    <s v="EOS1189"/>
    <d v="2026-01-03T00:00:00"/>
    <s v="FB"/>
    <s v="margi prajapati "/>
    <s v="Ahmedabad"/>
    <s v="Gujarat "/>
    <x v="3"/>
    <n v="200000"/>
    <x v="37"/>
  </r>
  <r>
    <s v="EOS1190"/>
    <d v="2026-01-03T00:00:00"/>
    <s v="FB"/>
    <s v="Koshti Mihir"/>
    <s v="Palanpur"/>
    <s v="Gujarat "/>
    <x v="3"/>
    <n v="200000"/>
    <x v="37"/>
  </r>
  <r>
    <s v="EOS1191"/>
    <d v="2026-01-03T00:00:00"/>
    <s v="FB"/>
    <s v="Kamlesh Barva"/>
    <m/>
    <s v="Gujarat "/>
    <x v="3"/>
    <n v="200000"/>
    <x v="37"/>
  </r>
  <r>
    <s v="EOS1192"/>
    <d v="2026-01-03T00:00:00"/>
    <s v="FB"/>
    <s v="Jayesh"/>
    <m/>
    <s v="gujarat "/>
    <x v="0"/>
    <n v="200000"/>
    <x v="68"/>
  </r>
  <r>
    <s v="EOS1193"/>
    <d v="2026-01-03T00:00:00"/>
    <s v="WA"/>
    <s v="DILIP Thakor"/>
    <s v="Rajkot"/>
    <s v="Gujarat "/>
    <x v="3"/>
    <n v="200000"/>
    <x v="175"/>
  </r>
  <r>
    <s v="EOS1194"/>
    <d v="2026-01-05T00:00:00"/>
    <s v="FB"/>
    <s v="Pithiyakuldee"/>
    <s v="Junagadh"/>
    <s v="gujarat "/>
    <x v="0"/>
    <n v="200000"/>
    <x v="176"/>
  </r>
  <r>
    <s v="EOS1195"/>
    <d v="2026-01-05T00:00:00"/>
    <s v="FB "/>
    <s v="Hiren "/>
    <s v="Jambusar"/>
    <s v="gujarat "/>
    <x v="0"/>
    <n v="200000"/>
    <x v="0"/>
  </r>
  <r>
    <s v="EOS1196"/>
    <d v="2026-01-05T00:00:00"/>
    <s v="FB "/>
    <s v="Satyajitsinh Rajput"/>
    <s v="Surat "/>
    <s v="gujarat "/>
    <x v="0"/>
    <n v="200000"/>
    <x v="177"/>
  </r>
  <r>
    <s v="EOS1197"/>
    <d v="2026-01-05T00:00:00"/>
    <s v="FB "/>
    <s v="Mahesh"/>
    <s v="Balasinor"/>
    <s v="gujarat "/>
    <x v="0"/>
    <n v="200000"/>
    <x v="136"/>
  </r>
  <r>
    <s v="EOS1198"/>
    <d v="2026-01-05T00:00:00"/>
    <s v="FB "/>
    <s v="MV Shaikh"/>
    <s v="jhagadia"/>
    <s v="gujarat "/>
    <x v="0"/>
    <n v="200000"/>
    <x v="136"/>
  </r>
  <r>
    <s v="EOS1199"/>
    <d v="2026-01-05T00:00:00"/>
    <s v="FB "/>
    <s v="Shaikh idrish"/>
    <s v="Jamnagar"/>
    <s v="Gujarat "/>
    <x v="3"/>
    <n v="200000"/>
    <x v="37"/>
  </r>
  <r>
    <s v="EOS1200"/>
    <d v="2026-01-05T00:00:00"/>
    <s v="FB"/>
    <s v="Ajay"/>
    <s v="Mundra"/>
    <s v="Gujarat "/>
    <x v="0"/>
    <n v="200000"/>
    <x v="136"/>
  </r>
  <r>
    <s v="EOS1201"/>
    <d v="2026-01-05T00:00:00"/>
    <s v="FB "/>
    <m/>
    <m/>
    <s v="Gujarat "/>
    <x v="3"/>
    <n v="200000"/>
    <x v="37"/>
  </r>
  <r>
    <s v="EOS1202"/>
    <d v="2026-01-05T00:00:00"/>
    <s v="FB"/>
    <s v="Tushar Patel"/>
    <s v="Kadi "/>
    <s v="Gujarat "/>
    <x v="3"/>
    <n v="200000"/>
    <x v="37"/>
  </r>
  <r>
    <s v="EOS1203"/>
    <d v="2026-01-05T00:00:00"/>
    <s v="FB"/>
    <s v="Maulik Patel"/>
    <s v="Nadiad"/>
    <s v="Gujarat "/>
    <x v="3"/>
    <n v="200000"/>
    <x v="37"/>
  </r>
  <r>
    <s v="EOS1204"/>
    <d v="2026-01-05T00:00:00"/>
    <s v="FB"/>
    <s v="jadeja virendra"/>
    <s v="Surat "/>
    <s v="Gujarat "/>
    <x v="3"/>
    <n v="200000"/>
    <x v="37"/>
  </r>
  <r>
    <s v="EOS1205"/>
    <d v="2026-01-05T00:00:00"/>
    <s v="FB"/>
    <s v="bhargav variya "/>
    <s v="Ahmedabad"/>
    <s v="Gujarat "/>
    <x v="3"/>
    <n v="200000"/>
    <x v="37"/>
  </r>
  <r>
    <s v="EOS1206"/>
    <d v="2026-01-05T00:00:00"/>
    <s v="FB"/>
    <s v="milan"/>
    <s v="bhesan "/>
    <s v="gujarat "/>
    <x v="0"/>
    <n v="200000"/>
    <x v="24"/>
  </r>
  <r>
    <s v="EOS1207"/>
    <d v="2026-01-05T00:00:00"/>
    <s v="FB "/>
    <s v="Jayveer Khuman"/>
    <s v="Surat "/>
    <s v="gujarat "/>
    <x v="0"/>
    <n v="200000"/>
    <x v="24"/>
  </r>
  <r>
    <s v="EOS1208"/>
    <d v="2026-01-05T00:00:00"/>
    <s v="FB "/>
    <s v="Pradip Beladiya"/>
    <s v="bahjoi"/>
    <s v="uttar pradesh "/>
    <x v="3"/>
    <n v="200000"/>
    <x v="37"/>
  </r>
  <r>
    <s v="EOS1209"/>
    <d v="2026-01-05T00:00:00"/>
    <s v="FB"/>
    <s v="Lokesh Gupta"/>
    <s v="lucknow "/>
    <s v="uttar pradesh "/>
    <x v="3"/>
    <n v="200000"/>
    <x v="37"/>
  </r>
  <r>
    <s v="EOS1210"/>
    <d v="2026-01-05T00:00:00"/>
    <s v="FB"/>
    <s v="Akhilesh Nath Tripathi"/>
    <s v="morbi "/>
    <s v="gujarat "/>
    <x v="0"/>
    <n v="200000"/>
    <x v="42"/>
  </r>
  <r>
    <s v="EOS1211"/>
    <d v="2026-01-06T00:00:00"/>
    <s v="FB"/>
    <s v="Vajsi chavda"/>
    <s v="Vadodara"/>
    <s v="Gujarat "/>
    <x v="3"/>
    <n v="200000"/>
    <x v="37"/>
  </r>
  <r>
    <s v="EOS1212"/>
    <d v="2026-01-06T00:00:00"/>
    <s v="FB"/>
    <s v="chirag darji"/>
    <s v="navsari "/>
    <s v="gujarat "/>
    <x v="0"/>
    <n v="200000"/>
    <x v="42"/>
  </r>
  <r>
    <s v="EOS1213"/>
    <d v="2026-01-06T00:00:00"/>
    <s v="FB"/>
    <s v="Feral s Rathod"/>
    <s v="Junagadh"/>
    <s v="Gujarat "/>
    <x v="3"/>
    <n v="200000"/>
    <x v="178"/>
  </r>
  <r>
    <s v="EOS1214"/>
    <d v="2026-01-06T00:00:00"/>
    <s v="FB"/>
    <s v="Rajan Ahir"/>
    <s v="Rajkot"/>
    <s v="gujarat "/>
    <x v="0"/>
    <n v="200000"/>
    <x v="24"/>
  </r>
  <r>
    <s v="EOS1215"/>
    <d v="2026-01-06T00:00:00"/>
    <s v="FB"/>
    <s v="Yogvirsinh Zala"/>
    <s v="Ahmedabad"/>
    <s v="Gujarat "/>
    <x v="3"/>
    <m/>
    <x v="179"/>
  </r>
  <r>
    <s v="EOS1216"/>
    <d v="2026-01-07T00:00:00"/>
    <s v="FB"/>
    <s v="Manan chauhan"/>
    <s v="Surat"/>
    <s v="Gujarat "/>
    <x v="3"/>
    <n v="200000"/>
    <x v="37"/>
  </r>
  <r>
    <s v="EOS1217"/>
    <d v="2026-01-07T00:00:00"/>
    <s v="FB"/>
    <s v="Dhruval Radadiya"/>
    <m/>
    <s v="Gujarat "/>
    <x v="3"/>
    <n v="200000"/>
    <x v="37"/>
  </r>
  <r>
    <s v="EOS1218"/>
    <d v="2026-01-07T00:00:00"/>
    <s v="FB"/>
    <s v="Saleh Dantrolia"/>
    <m/>
    <s v="Gujarat "/>
    <x v="3"/>
    <n v="200000"/>
    <x v="37"/>
  </r>
  <r>
    <s v="EOS1219"/>
    <d v="2026-01-07T00:00:00"/>
    <s v="FB"/>
    <s v="Parth Patel"/>
    <m/>
    <s v="Gujarat "/>
    <x v="3"/>
    <n v="200000"/>
    <x v="37"/>
  </r>
  <r>
    <s v="EOS1220"/>
    <d v="2026-01-07T00:00:00"/>
    <s v="FB"/>
    <s v="Akil Hingora"/>
    <s v="Vadodara"/>
    <s v="Gujarat "/>
    <x v="3"/>
    <n v="200000"/>
    <x v="180"/>
  </r>
  <r>
    <s v="EOS1221"/>
    <d v="2026-01-07T00:00:00"/>
    <s v="FB"/>
    <s v="Bimal Pandya"/>
    <m/>
    <s v="Gujarat "/>
    <x v="3"/>
    <n v="200000"/>
    <x v="37"/>
  </r>
  <r>
    <s v="EOS1222"/>
    <d v="2026-01-07T00:00:00"/>
    <s v="FB"/>
    <s v="Hitesh Patel "/>
    <m/>
    <s v="Gujarat "/>
    <x v="3"/>
    <n v="200000"/>
    <x v="37"/>
  </r>
  <r>
    <s v="EOS1223"/>
    <d v="2026-01-07T00:00:00"/>
    <s v="FB"/>
    <s v="Apurv Patel"/>
    <s v="mahngrol "/>
    <s v="Gujarat "/>
    <x v="3"/>
    <n v="200000"/>
    <x v="37"/>
  </r>
  <r>
    <s v="EOS1224"/>
    <d v="2026-01-08T00:00:00"/>
    <s v="FB"/>
    <s v="Safdar Shaikh"/>
    <m/>
    <s v="Gujarat "/>
    <x v="3"/>
    <n v="200000"/>
    <x v="37"/>
  </r>
  <r>
    <s v="EOS1225"/>
    <d v="2026-01-08T00:00:00"/>
    <s v="FB"/>
    <s v="RUSHAABH"/>
    <m/>
    <s v="Gujarat "/>
    <x v="3"/>
    <n v="200000"/>
    <x v="37"/>
  </r>
  <r>
    <s v="EOS1226"/>
    <d v="2026-01-08T00:00:00"/>
    <s v="FB"/>
    <s v="chandrapal sinh virpura milan "/>
    <m/>
    <s v="Gujarat "/>
    <x v="3"/>
    <n v="200000"/>
    <x v="37"/>
  </r>
  <r>
    <s v="EOS1227"/>
    <d v="2026-01-08T00:00:00"/>
    <s v="FB"/>
    <s v="Raju Desai "/>
    <s v="Surat "/>
    <s v="Gujarat "/>
    <x v="3"/>
    <n v="200000"/>
    <x v="37"/>
  </r>
  <r>
    <s v="EOS1228"/>
    <d v="2026-01-09T00:00:00"/>
    <s v="FB"/>
    <s v="Gauri Padaya"/>
    <s v="Bhavangar"/>
    <s v="Gujarat "/>
    <x v="3"/>
    <n v="200000"/>
    <x v="37"/>
  </r>
  <r>
    <s v="EOS1229"/>
    <d v="2026-01-09T00:00:00"/>
    <s v="FB"/>
    <m/>
    <m/>
    <s v="Gujarat "/>
    <x v="3"/>
    <n v="200000"/>
    <x v="37"/>
  </r>
  <r>
    <s v="EOS1230"/>
    <d v="2026-01-12T00:00:00"/>
    <s v="FB"/>
    <s v="Chirag Bha"/>
    <m/>
    <s v="Gujarat "/>
    <x v="3"/>
    <n v="200000"/>
    <x v="37"/>
  </r>
  <r>
    <s v="EOS1231"/>
    <d v="2026-01-12T00:00:00"/>
    <s v="FB"/>
    <s v="VIRAL THAKKER"/>
    <s v="Ahmedabad"/>
    <s v="Gujarat "/>
    <x v="3"/>
    <n v="200000"/>
    <x v="37"/>
  </r>
  <r>
    <s v="EOS1232"/>
    <d v="2026-01-13T00:00:00"/>
    <s v="FB"/>
    <s v="Kishan Chudasama"/>
    <s v="Gogamba"/>
    <s v="Gujarat "/>
    <x v="3"/>
    <n v="130000"/>
    <x v="181"/>
  </r>
  <r>
    <s v="EOS1233"/>
    <d v="2026-01-13T00:00:00"/>
    <s v="FB"/>
    <s v="Mehul vanzara"/>
    <s v="Ahmedabad"/>
    <s v="Gujarat "/>
    <x v="3"/>
    <n v="200000"/>
    <x v="37"/>
  </r>
  <r>
    <s v="EOS1234"/>
    <d v="2026-01-13T00:00:00"/>
    <s v="FB"/>
    <s v="Navaz Pathan"/>
    <s v="Surat"/>
    <s v="Gujarat "/>
    <x v="3"/>
    <n v="200000"/>
    <x v="37"/>
  </r>
  <r>
    <s v="EOS1235"/>
    <d v="2026-01-13T00:00:00"/>
    <s v="FB"/>
    <s v="Prathamsinh bhati"/>
    <s v="Gandhinagar"/>
    <s v="Gujarat "/>
    <x v="3"/>
    <n v="200000"/>
    <x v="182"/>
  </r>
  <r>
    <s v="EOS1236"/>
    <d v="2026-01-13T00:00:00"/>
    <s v="FB"/>
    <s v="Pravin Prajapati"/>
    <s v="Surat"/>
    <s v="Gujarat "/>
    <x v="3"/>
    <n v="200000"/>
    <x v="37"/>
  </r>
  <r>
    <s v="EOS1237"/>
    <d v="2026-01-16T00:00:00"/>
    <s v="FB"/>
    <s v="Krulay Desai"/>
    <s v="Ahmedabad"/>
    <s v="Gujarat "/>
    <x v="3"/>
    <n v="200000"/>
    <x v="37"/>
  </r>
  <r>
    <s v="EOS1238"/>
    <d v="2026-01-16T00:00:00"/>
    <s v="FB"/>
    <s v="Jigar Thakkar"/>
    <s v="Ahmedabad"/>
    <s v="Gujarat "/>
    <x v="3"/>
    <n v="200000"/>
    <x v="37"/>
  </r>
  <r>
    <s v="EOS1239"/>
    <d v="2026-01-16T00:00:00"/>
    <s v="FB"/>
    <s v="Nirmal Rajpurohit"/>
    <s v="Mangrol"/>
    <s v="Gujarat "/>
    <x v="3"/>
    <n v="200000"/>
    <x v="37"/>
  </r>
  <r>
    <s v="EOS1240"/>
    <d v="2026-01-16T00:00:00"/>
    <s v="FB"/>
    <s v="Aftab Kadu"/>
    <s v="Rajkot"/>
    <s v="Gujarat "/>
    <x v="3"/>
    <n v="200000"/>
    <x v="37"/>
  </r>
  <r>
    <s v="EOS1241"/>
    <d v="2026-01-16T00:00:00"/>
    <s v="FB"/>
    <s v="Raj Rupapara"/>
    <s v="Junagadh"/>
    <s v="Gujarat "/>
    <x v="3"/>
    <n v="200000"/>
    <x v="37"/>
  </r>
  <r>
    <s v="EOS1242"/>
    <d v="2026-01-16T00:00:00"/>
    <s v="FB"/>
    <s v="Nirmal"/>
    <s v="Veraval"/>
    <s v="Gujarat "/>
    <x v="3"/>
    <n v="200000"/>
    <x v="37"/>
  </r>
  <r>
    <s v="EOS1243"/>
    <d v="2026-01-16T00:00:00"/>
    <s v="FB"/>
    <s v="Sumra Faizan"/>
    <m/>
    <s v="Gujarat "/>
    <x v="3"/>
    <n v="200000"/>
    <x v="37"/>
  </r>
  <r>
    <s v="EOS1244"/>
    <d v="2026-01-16T00:00:00"/>
    <s v="FB"/>
    <s v="Shekh Munzamilbhai M"/>
    <s v="Daman"/>
    <s v="Gujarat "/>
    <x v="3"/>
    <n v="200000"/>
    <x v="37"/>
  </r>
  <r>
    <s v="EOS1245"/>
    <d v="2026-01-16T00:00:00"/>
    <s v="FB"/>
    <s v="Mustafa"/>
    <s v="Junagadh"/>
    <s v="Gujarat "/>
    <x v="3"/>
    <n v="200000"/>
    <x v="183"/>
  </r>
  <r>
    <s v="EOS1246"/>
    <d v="2026-01-17T00:00:00"/>
    <s v="FB"/>
    <s v="S_K_Babi_0786"/>
    <s v="Rajkot"/>
    <s v="Gujarat"/>
    <x v="3"/>
    <n v="200000"/>
    <x v="153"/>
  </r>
  <r>
    <s v="EOS1247"/>
    <d v="2026-01-17T00:00:00"/>
    <s v="FB"/>
    <s v="Manthan Upadhyay"/>
    <s v=" Bhavnagar"/>
    <s v="Gujarat"/>
    <x v="0"/>
    <n v="200000"/>
    <x v="24"/>
  </r>
  <r>
    <s v="EOS1248"/>
    <d v="2026-01-17T00:00:00"/>
    <s v="FB "/>
    <s v="Shekh Muhmmad"/>
    <s v="Kalol"/>
    <s v="Gujarat"/>
    <x v="3"/>
    <n v="200000"/>
    <x v="153"/>
  </r>
  <r>
    <s v="EOS1249"/>
    <d v="2026-01-17T00:00:00"/>
    <s v="FB"/>
    <s v="Panchani Arvind"/>
    <s v="Junagadh"/>
    <s v="Gujarat"/>
    <x v="3"/>
    <n v="200000"/>
    <x v="153"/>
  </r>
  <r>
    <s v="EOS1250"/>
    <d v="2026-01-17T00:00:00"/>
    <s v="FB"/>
    <s v="JETHAVA navaz"/>
    <s v="Vadodara"/>
    <s v="Gujarat"/>
    <x v="0"/>
    <n v="200000"/>
    <x v="184"/>
  </r>
  <r>
    <s v="EOS1251"/>
    <d v="2026-01-17T00:00:00"/>
    <s v="FB "/>
    <s v="PusHpendrasinh Raulji"/>
    <s v="Ahmedabad"/>
    <s v="Gujarat"/>
    <x v="0"/>
    <n v="200000"/>
    <x v="50"/>
  </r>
  <r>
    <s v="EOS1252"/>
    <d v="2026-01-17T00:00:00"/>
    <s v="FB "/>
    <s v="Dipak murlidha"/>
    <s v="Surat"/>
    <s v="Gujarat"/>
    <x v="0"/>
    <n v="200000"/>
    <x v="50"/>
  </r>
  <r>
    <s v="EOS1253"/>
    <d v="2026-01-17T00:00:00"/>
    <s v="FB "/>
    <s v="Akshay mehta"/>
    <s v="Gandhinagar"/>
    <s v="Gujarat"/>
    <x v="3"/>
    <n v="200000"/>
    <x v="153"/>
  </r>
  <r>
    <s v="EOS1254"/>
    <d v="2026-01-17T00:00:00"/>
    <s v="FB"/>
    <m/>
    <s v="Ahmedabad"/>
    <s v="Gujarat"/>
    <x v="3"/>
    <n v="200000"/>
    <x v="175"/>
  </r>
  <r>
    <s v="EOS1255"/>
    <d v="2026-01-17T00:00:00"/>
    <s v="FB"/>
    <s v="Solanki bhavesh "/>
    <s v="Ahmedabad"/>
    <s v="Gujarat "/>
    <x v="3"/>
    <n v="200000"/>
    <x v="185"/>
  </r>
  <r>
    <s v="EOS1256"/>
    <d v="2026-01-17T00:00:00"/>
    <s v="FB"/>
    <s v="Jadeja Yuvrajsinh Hatdi"/>
    <s v="Vadodara"/>
    <s v="Gujarat"/>
    <x v="0"/>
    <n v="200000"/>
    <x v="136"/>
  </r>
  <r>
    <s v="EOS1257"/>
    <d v="2026-01-17T00:00:00"/>
    <s v="FB "/>
    <s v="Dinesh Bhaliya"/>
    <s v="Surat"/>
    <s v="Gujarat "/>
    <x v="3"/>
    <n v="200000"/>
    <x v="37"/>
  </r>
  <r>
    <s v="EOS1258"/>
    <d v="2026-01-17T00:00:00"/>
    <s v="FB"/>
    <s v="Harshil Katakiya"/>
    <s v="Shehera"/>
    <s v="Gujarat "/>
    <x v="3"/>
    <n v="200000"/>
    <x v="143"/>
  </r>
  <r>
    <s v="EOS1259"/>
    <d v="2026-01-17T00:00:00"/>
    <s v="FB"/>
    <s v="Nilesh Solanki"/>
    <m/>
    <s v="Gujarat "/>
    <x v="3"/>
    <n v="200000"/>
    <x v="37"/>
  </r>
  <r>
    <s v="EOS1260"/>
    <d v="2026-01-17T00:00:00"/>
    <s v="FB"/>
    <s v="Dipakbhai pravinbhai"/>
    <m/>
    <s v="Gujarat"/>
    <x v="3"/>
    <n v="200000"/>
    <x v="153"/>
  </r>
  <r>
    <s v="EOS1261"/>
    <d v="2026-01-19T00:00:00"/>
    <s v="FB"/>
    <s v="Kalpesh Ninama"/>
    <s v="Dabhoi"/>
    <s v="Gujarat"/>
    <x v="3"/>
    <n v="200000"/>
    <x v="153"/>
  </r>
  <r>
    <s v="EOS1262"/>
    <d v="2026-01-19T00:00:00"/>
    <s v="FB"/>
    <s v="Safwan wadiwala"/>
    <s v="Gondal"/>
    <s v="Gujarat"/>
    <x v="3"/>
    <n v="200000"/>
    <x v="153"/>
  </r>
  <r>
    <s v="EOS1263"/>
    <d v="2026-01-19T00:00:00"/>
    <s v="FB"/>
    <s v="Chuhan samir"/>
    <s v="Gandhinagar"/>
    <s v="Gujarat"/>
    <x v="3"/>
    <n v="200000"/>
    <x v="153"/>
  </r>
  <r>
    <s v="EOS1264"/>
    <d v="2026-01-19T00:00:00"/>
    <s v="FB"/>
    <s v="Hirenkumar arvindbhai"/>
    <s v="Rajkot"/>
    <s v="Gujarat"/>
    <x v="3"/>
    <n v="200000"/>
    <x v="153"/>
  </r>
  <r>
    <s v="EOS1265"/>
    <d v="2026-01-19T00:00:00"/>
    <s v="FB"/>
    <s v="Bhuva Rushik"/>
    <s v="Kalol"/>
    <s v="Gujarat"/>
    <x v="3"/>
    <n v="200000"/>
    <x v="153"/>
  </r>
  <r>
    <s v="EOS1266"/>
    <d v="2026-01-19T00:00:00"/>
    <s v="FB"/>
    <s v="Chetan _172"/>
    <s v="Nadiad"/>
    <s v="Gujarat"/>
    <x v="3"/>
    <n v="200000"/>
    <x v="153"/>
  </r>
  <r>
    <s v="EOS1267"/>
    <d v="2026-01-19T00:00:00"/>
    <s v="FB"/>
    <s v="Prit Thakor"/>
    <s v="Godhra"/>
    <s v="Gujarat"/>
    <x v="3"/>
    <n v="200000"/>
    <x v="153"/>
  </r>
  <r>
    <s v="EOS1268"/>
    <d v="2026-01-19T00:00:00"/>
    <s v="FB"/>
    <s v="Samir Bhatuk"/>
    <s v="Surat"/>
    <s v="Gujarat "/>
    <x v="3"/>
    <n v="200000"/>
    <x v="186"/>
  </r>
  <r>
    <s v="EOS1269"/>
    <d v="2026-01-19T00:00:00"/>
    <s v="FB"/>
    <s v="Vyas Alpesh"/>
    <s v="Adipur"/>
    <s v="Gujarat"/>
    <x v="3"/>
    <n v="200000"/>
    <x v="138"/>
  </r>
  <r>
    <s v="EOS1270"/>
    <d v="2026-01-19T00:00:00"/>
    <s v="FB"/>
    <s v="Himanshu Lalwani"/>
    <s v="Dholka"/>
    <s v="Gujarat"/>
    <x v="3"/>
    <n v="200000"/>
    <x v="153"/>
  </r>
  <r>
    <s v="EOS1271"/>
    <d v="2026-01-19T00:00:00"/>
    <s v="FB"/>
    <s v="Veeru C Gohil"/>
    <m/>
    <s v="Gujarat"/>
    <x v="3"/>
    <n v="200000"/>
    <x v="153"/>
  </r>
  <r>
    <s v="EOS1272"/>
    <d v="2026-01-21T00:00:00"/>
    <s v="FB"/>
    <s v="Dineshkherajan"/>
    <s v="Nadiad"/>
    <s v="Gujarat"/>
    <x v="3"/>
    <n v="200000"/>
    <x v="153"/>
  </r>
  <r>
    <s v="EOS1273"/>
    <d v="2026-01-21T00:00:00"/>
    <s v="FB"/>
    <s v="PINANK NIMBARK"/>
    <m/>
    <s v="Gujarat"/>
    <x v="3"/>
    <n v="200000"/>
    <x v="153"/>
  </r>
  <r>
    <s v="EOS1274"/>
    <d v="2026-01-21T00:00:00"/>
    <s v="FB"/>
    <s v="Harshad"/>
    <s v="Vadodara"/>
    <s v="Gujarat "/>
    <x v="3"/>
    <n v="200000"/>
    <x v="150"/>
  </r>
  <r>
    <s v="EOS1275"/>
    <d v="2026-01-21T00:00:00"/>
    <s v="FB"/>
    <s v="Maaj Maaj vohra"/>
    <s v="Surat"/>
    <s v="Gujarat "/>
    <x v="3"/>
    <n v="200000"/>
    <x v="37"/>
  </r>
  <r>
    <s v="EOS1276"/>
    <d v="2026-01-21T00:00:00"/>
    <s v="FB"/>
    <s v="Shakil farid saiyed"/>
    <s v="Anand"/>
    <s v="Gujarat "/>
    <x v="3"/>
    <n v="200000"/>
    <x v="37"/>
  </r>
  <r>
    <s v="EOS1277"/>
    <d v="2026-01-21T00:00:00"/>
    <s v="FB"/>
    <s v="MS"/>
    <s v="Kheralu"/>
    <s v="Gujarat"/>
    <x v="0"/>
    <n v="200000"/>
    <x v="187"/>
  </r>
  <r>
    <s v="EOS1278"/>
    <d v="2026-01-21T00:00:00"/>
    <s v="FB"/>
    <s v="Hetax Thakor"/>
    <s v="Surat "/>
    <s v="Gujarat "/>
    <x v="3"/>
    <n v="200000"/>
    <x v="37"/>
  </r>
  <r>
    <s v="EOS1279"/>
    <d v="2026-01-21T00:00:00"/>
    <s v="FB"/>
    <s v="Vyas Alpesh"/>
    <s v="Jasdan "/>
    <s v="Gujarat "/>
    <x v="3"/>
    <n v="200000"/>
    <x v="188"/>
  </r>
  <r>
    <s v="EOS1280"/>
    <d v="2026-01-21T00:00:00"/>
    <s v="FB"/>
    <s v="Vipul Mithapara"/>
    <s v="Ahmedabad"/>
    <s v="Gujarat"/>
    <x v="3"/>
    <n v="200000"/>
    <x v="153"/>
  </r>
  <r>
    <s v="EOS1281"/>
    <d v="2026-01-21T00:00:00"/>
    <s v="FB"/>
    <s v="krupesh patel "/>
    <s v="Ahmedabad"/>
    <s v="Gujarat "/>
    <x v="3"/>
    <n v="200000"/>
    <x v="37"/>
  </r>
  <r>
    <s v="EOS1282"/>
    <d v="2026-01-21T00:00:00"/>
    <s v="FB"/>
    <s v="Shivam Gupta"/>
    <s v="Port Porbandar"/>
    <s v="Gujarat"/>
    <x v="0"/>
    <n v="200000"/>
    <x v="136"/>
  </r>
  <r>
    <s v="EOS1283"/>
    <d v="2026-01-21T00:00:00"/>
    <s v="FB"/>
    <s v="SUNIL PITERSAN"/>
    <s v="Junagadh"/>
    <s v="Gujarat"/>
    <x v="0"/>
    <n v="200000"/>
    <x v="136"/>
  </r>
  <r>
    <s v="EOS1284"/>
    <d v="2026-01-22T00:00:00"/>
    <s v="FB"/>
    <s v="Gajera Deep"/>
    <s v="Ahmedabad"/>
    <s v="Gujarat "/>
    <x v="3"/>
    <n v="200000"/>
    <x v="37"/>
  </r>
  <r>
    <s v="EOS1285"/>
    <d v="2026-01-22T00:00:00"/>
    <s v="FB"/>
    <s v="Pandya Vasan"/>
    <s v="Ahmedabad"/>
    <s v="Gujarat "/>
    <x v="3"/>
    <n v="200000"/>
    <x v="37"/>
  </r>
  <r>
    <s v="EOS1286"/>
    <d v="2026-01-22T00:00:00"/>
    <s v="FB"/>
    <s v="Sanjay Jain"/>
    <s v="Sihor"/>
    <s v="Gujarat"/>
    <x v="0"/>
    <n v="200000"/>
    <x v="189"/>
  </r>
  <r>
    <s v="EOS1287"/>
    <d v="2026-01-22T00:00:00"/>
    <s v="FB"/>
    <s v="RB_"/>
    <s v="Ahmedabad"/>
    <s v="Gujarat"/>
    <x v="3"/>
    <n v="200000"/>
    <x v="37"/>
  </r>
  <r>
    <s v="EOS1288"/>
    <d v="2026-01-25T00:00:00"/>
    <s v="FB"/>
    <s v="bhagaram"/>
    <s v="Ankleshwar"/>
    <s v="Gujarat"/>
    <x v="3"/>
    <n v="200000"/>
    <x v="37"/>
  </r>
  <r>
    <s v="EOS1289"/>
    <d v="2026-01-25T00:00:00"/>
    <s v="FB"/>
    <s v="Mukesh Patel"/>
    <s v="Delhi"/>
    <s v="Delhi "/>
    <x v="3"/>
    <n v="200000"/>
    <x v="37"/>
  </r>
  <r>
    <s v="EOS1290"/>
    <d v="2026-01-25T00:00:00"/>
    <s v="FB"/>
    <s v="Golu Rathour"/>
    <s v="Gorakhpur"/>
    <s v="Gujarat"/>
    <x v="3"/>
    <n v="200000"/>
    <x v="37"/>
  </r>
  <r>
    <s v="EOS1291"/>
    <d v="2026-01-25T00:00:00"/>
    <s v="FB"/>
    <s v="Abhay Upadhyay"/>
    <m/>
    <s v="Gujarat"/>
    <x v="3"/>
    <n v="200000"/>
    <x v="37"/>
  </r>
  <r>
    <s v="EOS1292"/>
    <d v="2026-01-25T00:00:00"/>
    <s v="FB"/>
    <s v="Mahipal Singh Jadega"/>
    <s v="Rajkot"/>
    <s v="Gujarat"/>
    <x v="3"/>
    <n v="200000"/>
    <x v="37"/>
  </r>
  <r>
    <s v="EOS1293"/>
    <d v="2026-01-25T00:00:00"/>
    <s v="FB"/>
    <s v="Arjun"/>
    <s v="Ahmedabad"/>
    <s v="Gujarat"/>
    <x v="3"/>
    <n v="200000"/>
    <x v="37"/>
  </r>
  <r>
    <s v="EOS1294"/>
    <d v="2026-01-25T00:00:00"/>
    <s v="FB"/>
    <s v="Alpeshji Padihar"/>
    <s v="Junagadh"/>
    <s v="Gujarat"/>
    <x v="3"/>
    <n v="200000"/>
    <x v="37"/>
  </r>
  <r>
    <s v="EOS1295"/>
    <d v="2026-01-25T00:00:00"/>
    <s v="FB"/>
    <s v="Bhakti gondaliya"/>
    <s v="bareilly"/>
    <s v="Gujarat "/>
    <x v="3"/>
    <n v="200000"/>
    <x v="37"/>
  </r>
  <r>
    <s v="EOS1296"/>
    <d v="2026-01-25T00:00:00"/>
    <s v="FB"/>
    <s v="Deepak Gangwa"/>
    <s v="Unnao"/>
    <s v="Gujarat"/>
    <x v="3"/>
    <n v="200000"/>
    <x v="37"/>
  </r>
  <r>
    <s v="EOS1297"/>
    <d v="2026-01-25T00:00:00"/>
    <s v="FB"/>
    <s v="Shukla Pradeep"/>
    <s v="Aligarh"/>
    <s v="uttar pradesh "/>
    <x v="3"/>
    <n v="200000"/>
    <x v="37"/>
  </r>
  <r>
    <s v="EOS1298"/>
    <d v="2026-01-25T00:00:00"/>
    <s v="FB"/>
    <s v="Narayan up 81"/>
    <s v="Agar"/>
    <s v="Delhi "/>
    <x v="3"/>
    <n v="200000"/>
    <x v="37"/>
  </r>
  <r>
    <s v="EOS1299"/>
    <d v="2026-01-27T00:00:00"/>
    <s v="FB"/>
    <s v="Aridaman Singh"/>
    <s v="kalol "/>
    <s v="Gujarat"/>
    <x v="3"/>
    <n v="200000"/>
    <x v="37"/>
  </r>
  <r>
    <s v="EOS1300"/>
    <d v="2026-01-27T00:00:00"/>
    <s v="FB"/>
    <s v="Patel Nikunj A"/>
    <s v="Gandhinagar"/>
    <s v="Gujarat"/>
    <x v="3"/>
    <n v="200000"/>
    <x v="37"/>
  </r>
  <r>
    <s v="EOS1301"/>
    <d v="2026-01-27T00:00:00"/>
    <s v="FB"/>
    <s v="harry.331"/>
    <s v="Naroda "/>
    <s v="Gujarat"/>
    <x v="3"/>
    <n v="200000"/>
    <x v="37"/>
  </r>
  <r>
    <s v="EOS1302"/>
    <d v="2026-01-27T00:00:00"/>
    <s v="FB"/>
    <s v="shalini maurya"/>
    <m/>
    <s v="Gujarat"/>
    <x v="3"/>
    <n v="200000"/>
    <x v="37"/>
  </r>
  <r>
    <s v="EOS1303"/>
    <d v="2026-01-27T00:00:00"/>
    <s v="FB"/>
    <s v="jaydeep "/>
    <s v="Gandhinagar"/>
    <s v="Gujarat"/>
    <x v="3"/>
    <n v="200000"/>
    <x v="37"/>
  </r>
  <r>
    <s v="EOS1304"/>
    <d v="2026-01-27T00:00:00"/>
    <s v="FB"/>
    <s v="Shrimali brijesh"/>
    <m/>
    <s v="Gujarat"/>
    <x v="3"/>
    <n v="200000"/>
    <x v="153"/>
  </r>
  <r>
    <s v="EOS1305"/>
    <d v="2026-01-29T00:00:00"/>
    <s v="FB"/>
    <s v="subash"/>
    <s v="Khambhalia"/>
    <s v="Gujarat"/>
    <x v="3"/>
    <n v="200000"/>
    <x v="153"/>
  </r>
  <r>
    <s v="EOS1306"/>
    <d v="2026-01-29T00:00:00"/>
    <s v="FB"/>
    <s v="Ranvirsinh Dayma"/>
    <s v="Wankaner"/>
    <s v="Gujarat"/>
    <x v="0"/>
    <n v="200000"/>
    <x v="190"/>
  </r>
  <r>
    <s v="EOS1307"/>
    <d v="2026-01-29T00:00:00"/>
    <s v="FB"/>
    <s v="Tushar Baraiya"/>
    <s v="Wankaner"/>
    <s v="Gujarat"/>
    <x v="3"/>
    <n v="200000"/>
    <x v="153"/>
  </r>
  <r>
    <s v="EOS1308"/>
    <d v="2026-01-29T00:00:00"/>
    <s v="FB"/>
    <s v="Shubh"/>
    <s v="Surat"/>
    <s v="Gujarat"/>
    <x v="3"/>
    <n v="200000"/>
    <x v="153"/>
  </r>
  <r>
    <s v="EOS1309"/>
    <d v="2026-01-29T00:00:00"/>
    <s v="FB"/>
    <s v="Abhay Jam"/>
    <m/>
    <s v="Gujarat"/>
    <x v="3"/>
    <n v="200000"/>
    <x v="153"/>
  </r>
  <r>
    <s v="EOS1310"/>
    <d v="2026-01-29T00:00:00"/>
    <s v="FB"/>
    <s v="Amit "/>
    <m/>
    <m/>
    <x v="3"/>
    <n v="200000"/>
    <x v="153"/>
  </r>
  <r>
    <s v="EOS1311"/>
    <d v="2026-01-29T00:00:00"/>
    <s v="FB"/>
    <s v="Kamlesh Ahir"/>
    <m/>
    <m/>
    <x v="3"/>
    <n v="200000"/>
    <x v="153"/>
  </r>
  <r>
    <s v="EOS1312"/>
    <d v="2026-01-29T00:00:00"/>
    <s v="FB"/>
    <s v="Rajendra kapadia"/>
    <m/>
    <m/>
    <x v="3"/>
    <n v="200000"/>
    <x v="153"/>
  </r>
  <r>
    <s v="EOS1313"/>
    <d v="2026-01-29T00:00:00"/>
    <s v="FB"/>
    <s v="Thakor Labhubhai"/>
    <m/>
    <m/>
    <x v="3"/>
    <n v="200000"/>
    <x v="153"/>
  </r>
  <r>
    <s v="EOS1314"/>
    <d v="2026-01-29T00:00:00"/>
    <s v="FB"/>
    <s v="Javid Majothi"/>
    <s v="Ambala "/>
    <s v="haryana "/>
    <x v="3"/>
    <n v="200000"/>
    <x v="153"/>
  </r>
  <r>
    <s v="EOS1315"/>
    <d v="2026-01-29T00:00:00"/>
    <s v="FB"/>
    <s v="Kp Parjapati"/>
    <s v="Agar"/>
    <s v="uttar pradesh "/>
    <x v="3"/>
    <n v="200000"/>
    <x v="153"/>
  </r>
  <r>
    <s v="EOS1316"/>
    <d v="2026-01-29T00:00:00"/>
    <s v="FB"/>
    <s v="Yogesh kumar"/>
    <s v="Farrukhabad"/>
    <s v="uttar pradesh "/>
    <x v="3"/>
    <n v="200000"/>
    <x v="153"/>
  </r>
  <r>
    <s v="EOS1317"/>
    <d v="2026-01-29T00:00:00"/>
    <s v="FB"/>
    <s v="Vikram Kumar Kashya"/>
    <s v="Salempur"/>
    <s v="uttar pradesh "/>
    <x v="3"/>
    <n v="200000"/>
    <x v="153"/>
  </r>
  <r>
    <s v="EOS1318"/>
    <d v="2026-01-29T00:00:00"/>
    <s v="FB"/>
    <s v="vikas kushwaha"/>
    <m/>
    <s v="Gujarat"/>
    <x v="3"/>
    <n v="200000"/>
    <x v="153"/>
  </r>
  <r>
    <s v="EOS1319"/>
    <d v="2026-01-29T00:00:00"/>
    <s v="FB"/>
    <s v="Sahil"/>
    <s v="himmatnagar"/>
    <s v="Gujarat"/>
    <x v="3"/>
    <n v="200000"/>
    <x v="153"/>
  </r>
  <r>
    <s v="EOS1320"/>
    <d v="2026-01-30T00:00:00"/>
    <s v="FB"/>
    <s v="Dev Patel"/>
    <s v="Botad"/>
    <s v="Gujarat"/>
    <x v="3"/>
    <n v="200000"/>
    <x v="153"/>
  </r>
  <r>
    <s v="EOS1321"/>
    <d v="2026-01-30T00:00:00"/>
    <s v="FB"/>
    <s v="Sandip Himani"/>
    <s v="Patan"/>
    <s v="Gujarat"/>
    <x v="3"/>
    <n v="200000"/>
    <x v="153"/>
  </r>
  <r>
    <s v="EOS1322"/>
    <d v="2026-01-31T00:00:00"/>
    <s v="FB"/>
    <s v="Rawat yogesh"/>
    <s v="Lucknow"/>
    <s v="uttar pradesh "/>
    <x v="0"/>
    <n v="200000"/>
    <x v="50"/>
  </r>
  <r>
    <s v="EOS1323"/>
    <d v="2026-02-03T00:00:00"/>
    <s v="FB"/>
    <s v="Piyush Mishra"/>
    <s v="Varanasi"/>
    <s v="uttar pradesh "/>
    <x v="3"/>
    <n v="200000"/>
    <x v="37"/>
  </r>
  <r>
    <s v="EOS1324"/>
    <d v="2026-02-03T00:00:00"/>
    <s v="FB"/>
    <s v="Akhilesh Mishra"/>
    <s v="Ahmedabad"/>
    <s v="Gujarat"/>
    <x v="3"/>
    <n v="200000"/>
    <x v="153"/>
  </r>
  <r>
    <s v="EOS1325"/>
    <d v="2026-02-03T00:00:00"/>
    <s v="FB"/>
    <s v="Manish"/>
    <s v="Rajkot"/>
    <s v="Gujarat"/>
    <x v="3"/>
    <n v="200000"/>
    <x v="153"/>
  </r>
  <r>
    <s v="EOS1326"/>
    <d v="2026-02-03T00:00:00"/>
    <s v="FB"/>
    <s v="Vimal Doshi"/>
    <s v="Ankleshwar"/>
    <s v="Gujarat"/>
    <x v="3"/>
    <n v="200000"/>
    <x v="153"/>
  </r>
  <r>
    <s v="EOS1327"/>
    <d v="2026-02-03T00:00:00"/>
    <s v="FB"/>
    <s v="Sandeep Prasad"/>
    <s v="Surat"/>
    <s v="Gujarat"/>
    <x v="3"/>
    <n v="200000"/>
    <x v="191"/>
  </r>
  <r>
    <s v="EOS1328"/>
    <d v="2026-02-03T00:00:00"/>
    <s v="FB"/>
    <s v="Mehul Rajput"/>
    <s v="Azamgarh"/>
    <s v="uttar pradesh "/>
    <x v="3"/>
    <n v="200000"/>
    <x v="153"/>
  </r>
  <r>
    <s v="EOS1329"/>
    <d v="2026-02-03T00:00:00"/>
    <s v="FB"/>
    <s v="Anupam Rathore"/>
    <s v="Jetalpur"/>
    <s v="Gujarat"/>
    <x v="3"/>
    <n v="200000"/>
    <x v="153"/>
  </r>
  <r>
    <s v="EOS1330"/>
    <d v="2026-02-03T00:00:00"/>
    <s v="FB"/>
    <s v="Baraiya Ajay"/>
    <s v="Surat"/>
    <s v="Gujarat"/>
    <x v="3"/>
    <n v="200000"/>
    <x v="153"/>
  </r>
  <r>
    <s v="EOS1331"/>
    <d v="2026-02-03T00:00:00"/>
    <s v="FB"/>
    <s v="Pradip Chauhan"/>
    <s v="Ahmedabad"/>
    <s v="Gujarat"/>
    <x v="3"/>
    <n v="200000"/>
    <x v="37"/>
  </r>
  <r>
    <s v="EOS1332"/>
    <d v="2026-02-03T00:00:00"/>
    <s v="FB"/>
    <s v="Patel Mana"/>
    <s v="Anand"/>
    <s v="Gujarat"/>
    <x v="3"/>
    <n v="200000"/>
    <x v="37"/>
  </r>
  <r>
    <s v="EOS1333"/>
    <d v="2026-02-03T00:00:00"/>
    <s v="FB"/>
    <s v="JUNED BABA"/>
    <s v="Dholka"/>
    <s v="Gujarat"/>
    <x v="3"/>
    <n v="200000"/>
    <x v="153"/>
  </r>
  <r>
    <s v="EOS1334"/>
    <d v="2026-02-03T00:00:00"/>
    <s v="FB"/>
    <s v="Pathan Sajjad Pathan"/>
    <s v="Morbi "/>
    <s v="Gujarat"/>
    <x v="3"/>
    <n v="200000"/>
    <x v="153"/>
  </r>
  <r>
    <s v="EOS1335"/>
    <d v="2026-02-03T00:00:00"/>
    <s v="FB"/>
    <s v="Pavan Nakum"/>
    <s v="Surat"/>
    <s v="Gujarat"/>
    <x v="3"/>
    <n v="200000"/>
    <x v="37"/>
  </r>
  <r>
    <s v="EOS1336"/>
    <d v="2026-02-04T00:00:00"/>
    <s v="FB"/>
    <s v="Paras Borda"/>
    <s v="Jamnagar"/>
    <s v="Gujarat"/>
    <x v="3"/>
    <n v="200000"/>
    <x v="153"/>
  </r>
  <r>
    <s v="EOS1337"/>
    <d v="2026-02-04T00:00:00"/>
    <s v="FB"/>
    <s v="Gangani Vijay"/>
    <s v="Surat"/>
    <s v="Gujarat"/>
    <x v="3"/>
    <n v="200000"/>
    <x v="153"/>
  </r>
  <r>
    <s v="EOS1338"/>
    <d v="2026-02-04T00:00:00"/>
    <s v="FB"/>
    <s v="Dev yadav"/>
    <m/>
    <s v="Gujarat"/>
    <x v="0"/>
    <n v="200000"/>
    <x v="50"/>
  </r>
  <r>
    <s v="EOS1339"/>
    <d v="2026-02-04T00:00:00"/>
    <s v="FB"/>
    <s v="Anahu Kumar"/>
    <s v="Port Porbandar"/>
    <s v="Gujarat"/>
    <x v="0"/>
    <n v="200000"/>
    <x v="192"/>
  </r>
  <r>
    <s v="EOS1340"/>
    <d v="2026-02-04T00:00:00"/>
    <s v="FB "/>
    <s v="Theba sufiyan"/>
    <s v="Rajkot"/>
    <s v="Gujarat "/>
    <x v="3"/>
    <n v="200000"/>
    <x v="37"/>
  </r>
  <r>
    <s v="EOS1341"/>
    <d v="2026-02-06T00:00:00"/>
    <s v="FB"/>
    <s v="Ashishkumar Lunagariya"/>
    <s v="Ahmedabad"/>
    <s v="Gujarat "/>
    <x v="0"/>
    <n v="200000"/>
    <x v="0"/>
  </r>
  <r>
    <s v="EOS1342"/>
    <d v="2026-02-06T00:00:00"/>
    <s v="FB "/>
    <s v="Shyam"/>
    <s v="vadoadra"/>
    <s v="Gujarat "/>
    <x v="3"/>
    <n v="200000"/>
    <x v="37"/>
  </r>
  <r>
    <s v="EOS1343"/>
    <d v="2026-02-06T00:00:00"/>
    <s v="FB"/>
    <s v="jalpesh.patel"/>
    <s v="Rajkot"/>
    <s v="Gujarat "/>
    <x v="0"/>
    <n v="200000"/>
    <x v="0"/>
  </r>
  <r>
    <s v="EOS1344"/>
    <d v="2026-02-09T00:00:00"/>
    <s v="FB "/>
    <s v="Sagar Bharvad"/>
    <s v="mundra"/>
    <s v="Gujarat "/>
    <x v="3"/>
    <n v="200000"/>
    <x v="153"/>
  </r>
  <r>
    <s v="EOS1345"/>
    <d v="2026-02-09T00:00:00"/>
    <s v="FB"/>
    <s v="Sardarsinh Zala"/>
    <m/>
    <s v="Gujarat "/>
    <x v="3"/>
    <n v="200000"/>
    <x v="153"/>
  </r>
  <r>
    <s v="EOS1346"/>
    <d v="2026-02-09T00:00:00"/>
    <s v="FB"/>
    <s v="Dhruvesh"/>
    <s v=" Bhavnagar"/>
    <s v="Gujarat "/>
    <x v="3"/>
    <n v="200000"/>
    <x v="37"/>
  </r>
  <r>
    <s v="EOS1347"/>
    <d v="2026-02-09T00:00:00"/>
    <s v="FB"/>
    <s v="Arvind Kothariy"/>
    <s v="Dhandhuka"/>
    <s v="Gujarat "/>
    <x v="0"/>
    <n v="200000"/>
    <x v="50"/>
  </r>
  <r>
    <s v="EOS1348"/>
    <d v="2026-02-09T00:00:00"/>
    <s v="FB "/>
    <s v="Nayan Solank"/>
    <s v="Ahmedabad"/>
    <s v="Gujarat "/>
    <x v="3"/>
    <n v="200000"/>
    <x v="153"/>
  </r>
  <r>
    <s v="EOS1349"/>
    <d v="2026-02-09T00:00:00"/>
    <s v="FB"/>
    <s v="Gaurav Raval"/>
    <s v="Ahmedabad"/>
    <s v="Gujarat "/>
    <x v="3"/>
    <n v="200000"/>
    <x v="37"/>
  </r>
  <r>
    <s v="EOS1350"/>
    <d v="2026-02-09T00:00:00"/>
    <s v="FB"/>
    <s v="Shahid ali Quresh"/>
    <s v="Veraval"/>
    <s v="Gujarat "/>
    <x v="3"/>
    <n v="200000"/>
    <x v="193"/>
  </r>
  <r>
    <s v="EOS1351"/>
    <d v="2026-02-09T00:00:00"/>
    <s v="FB"/>
    <s v="Mahesh Chagli"/>
    <s v="Haldwani"/>
    <s v="bihar "/>
    <x v="0"/>
    <n v="200000"/>
    <x v="0"/>
  </r>
  <r>
    <s v="EOS1352"/>
    <d v="2026-02-09T00:00:00"/>
    <s v="FB "/>
    <s v="Jitendra"/>
    <s v="Rajkot"/>
    <s v="Gujarat "/>
    <x v="4"/>
    <n v="200000"/>
    <x v="193"/>
  </r>
  <r>
    <s v="EOS1353"/>
    <d v="2026-02-09T00:00:00"/>
    <s v="FB "/>
    <s v="mustak shaikh"/>
    <s v="Visavadar"/>
    <s v="Gujarat "/>
    <x v="0"/>
    <n v="200000"/>
    <x v="0"/>
  </r>
  <r>
    <s v="EOS1354"/>
    <d v="2026-02-09T00:00:00"/>
    <s v="FB "/>
    <s v="Vishal"/>
    <s v="Palanpur"/>
    <s v="Gujarat "/>
    <x v="3"/>
    <n v="200000"/>
    <x v="153"/>
  </r>
  <r>
    <s v="EOS1355"/>
    <d v="2026-02-09T00:00:00"/>
    <s v="FB"/>
    <s v="Ravi Pate"/>
    <s v="Faridabad"/>
    <s v="Haryana"/>
    <x v="3"/>
    <n v="200000"/>
    <x v="194"/>
  </r>
  <r>
    <s v="EOS1356"/>
    <d v="2026-02-09T00:00:00"/>
    <s v="FB"/>
    <s v="Satyabhan Tamar"/>
    <s v="Vadodara"/>
    <s v="Gujarat "/>
    <x v="0"/>
    <n v="200000"/>
    <x v="0"/>
  </r>
  <r>
    <s v="EOS1357"/>
    <d v="2025-12-27T00:00:00"/>
    <s v="Ref "/>
    <s v="Chintan panchal "/>
    <s v="Surat "/>
    <s v="Gujarat"/>
    <x v="3"/>
    <n v="200000"/>
    <x v="153"/>
  </r>
  <r>
    <s v="EOS1358"/>
    <d v="2026-02-09T00:00:00"/>
    <s v="FB"/>
    <s v="Shiyal jayesh bhai"/>
    <s v="Botad"/>
    <s v="Gujarat "/>
    <x v="3"/>
    <n v="200000"/>
    <x v="195"/>
  </r>
  <r>
    <s v="EOS1359"/>
    <d v="2026-02-09T00:00:00"/>
    <s v="FB"/>
    <s v="Ashish Sojitra"/>
    <s v="Valsad"/>
    <s v="Gujarat "/>
    <x v="0"/>
    <n v="200000"/>
    <x v="196"/>
  </r>
  <r>
    <s v="EOS1360"/>
    <d v="2026-02-09T00:00:00"/>
    <s v="FB "/>
    <s v="Dhruv"/>
    <s v="Botad"/>
    <s v="Gujarat "/>
    <x v="3"/>
    <n v="200000"/>
    <x v="37"/>
  </r>
  <r>
    <s v="EOS1361"/>
    <d v="2026-02-09T00:00:00"/>
    <s v="FB"/>
    <s v="Vipul Patel"/>
    <s v="Jasdan"/>
    <s v="Gujarat"/>
    <x v="0"/>
    <n v="200000"/>
    <x v="0"/>
  </r>
  <r>
    <s v="EOS1362"/>
    <d v="2026-02-09T00:00:00"/>
    <s v="FB "/>
    <s v="kt"/>
    <s v="Talbahet"/>
    <s v="uttar pradesh "/>
    <x v="0"/>
    <n v="200000"/>
    <x v="24"/>
  </r>
  <r>
    <s v="EOS1363"/>
    <d v="2026-02-09T00:00:00"/>
    <s v="FB "/>
    <s v="Sachendra Yadav"/>
    <s v="Hamirpur"/>
    <s v="uttar pradesh "/>
    <x v="4"/>
    <n v="200000"/>
    <x v="197"/>
  </r>
  <r>
    <s v="EOS1364"/>
    <d v="2026-02-09T00:00:00"/>
    <s v="FB "/>
    <s v="Vikas omar"/>
    <s v="Halol"/>
    <s v="Gujarat "/>
    <x v="3"/>
    <n v="200000"/>
    <x v="198"/>
  </r>
  <r>
    <s v="EOS1365"/>
    <d v="2026-02-10T00:00:00"/>
    <s v="FB"/>
    <s v="Parthu Patel"/>
    <s v="Surat"/>
    <s v="Gujarat"/>
    <x v="3"/>
    <n v="200000"/>
    <x v="153"/>
  </r>
  <r>
    <s v="EOS1366"/>
    <d v="2026-02-10T00:00:00"/>
    <s v="FB"/>
    <s v="Pritesh Parmar"/>
    <s v="Upetla "/>
    <s v="Gujarat"/>
    <x v="3"/>
    <n v="200000"/>
    <x v="153"/>
  </r>
  <r>
    <s v="EOS1367"/>
    <d v="2026-02-10T00:00:00"/>
    <s v="FB"/>
    <s v="Kalpesh bharai"/>
    <s v="halol"/>
    <s v="Gujarat"/>
    <x v="3"/>
    <n v="200000"/>
    <x v="153"/>
  </r>
  <r>
    <s v="EOS1368"/>
    <d v="2026-02-10T00:00:00"/>
    <s v="FB"/>
    <s v="ravi rana "/>
    <s v="Mehsana"/>
    <s v="Gujarat"/>
    <x v="3"/>
    <n v="200000"/>
    <x v="153"/>
  </r>
  <r>
    <s v="EOS1369"/>
    <d v="2026-02-10T00:00:00"/>
    <s v="FB"/>
    <s v="Kasif"/>
    <s v="Jamnagar"/>
    <s v="Gujarat"/>
    <x v="0"/>
    <n v="200000"/>
    <x v="42"/>
  </r>
  <r>
    <s v="EOS1370"/>
    <d v="2026-02-10T00:00:00"/>
    <s v="WA"/>
    <s v="Vara Gautam"/>
    <m/>
    <s v="Gujarat"/>
    <x v="3"/>
    <n v="200000"/>
    <x v="153"/>
  </r>
  <r>
    <s v="EOS1371"/>
    <d v="2026-02-10T00:00:00"/>
    <s v="FB"/>
    <s v="Pravin Choudhary"/>
    <s v="Junagadh"/>
    <s v="Gujarat"/>
    <x v="3"/>
    <n v="200000"/>
    <x v="153"/>
  </r>
  <r>
    <s v="EOS1372"/>
    <d v="2026-02-10T00:00:00"/>
    <s v="FB"/>
    <s v="SAHIL HIRAPARA"/>
    <m/>
    <s v="Gujarat "/>
    <x v="3"/>
    <n v="200000"/>
    <x v="37"/>
  </r>
  <r>
    <s v="EOS1373"/>
    <d v="2026-02-11T00:00:00"/>
    <s v="FB"/>
    <s v="Savan patel "/>
    <s v="Surat"/>
    <s v="Gujarat"/>
    <x v="3"/>
    <n v="200000"/>
    <x v="153"/>
  </r>
  <r>
    <s v="EOS1374"/>
    <d v="2026-02-11T00:00:00"/>
    <s v="FB"/>
    <s v="Dhaval Kanani"/>
    <s v="Una "/>
    <s v="Gujarat "/>
    <x v="3"/>
    <n v="200000"/>
    <x v="37"/>
  </r>
  <r>
    <s v="EOS1375"/>
    <d v="2026-02-11T00:00:00"/>
    <s v="FB"/>
    <s v="Rohit Vaja"/>
    <m/>
    <s v="Gujarat"/>
    <x v="3"/>
    <n v="200000"/>
    <x v="153"/>
  </r>
  <r>
    <s v="EOS1376"/>
    <d v="2026-02-11T00:00:00"/>
    <s v="FB"/>
    <s v="Dipak"/>
    <m/>
    <s v="Gujarat"/>
    <x v="3"/>
    <n v="200000"/>
    <x v="191"/>
  </r>
  <r>
    <s v="EOS1377"/>
    <d v="2026-02-11T00:00:00"/>
    <s v="FB"/>
    <s v="Rudresh vya"/>
    <s v="Ahmedabad"/>
    <s v="Gujarat"/>
    <x v="3"/>
    <n v="200000"/>
    <x v="37"/>
  </r>
  <r>
    <s v="EOS1378"/>
    <d v="2026-02-12T00:00:00"/>
    <s v="FB"/>
    <s v="Aaftab Lala Khan Pathan"/>
    <s v="Ahmedabad"/>
    <s v="Gujarat "/>
    <x v="3"/>
    <n v="200000"/>
    <x v="37"/>
  </r>
  <r>
    <s v="EOS1379"/>
    <d v="2026-02-12T00:00:00"/>
    <s v="FB"/>
    <s v="Ajay"/>
    <s v="Deesa"/>
    <s v="Gujarat"/>
    <x v="3"/>
    <n v="200000"/>
    <x v="153"/>
  </r>
  <r>
    <s v="EOS1380"/>
    <d v="2026-02-12T00:00:00"/>
    <s v="FB"/>
    <s v="Adit Solanki"/>
    <s v="vav"/>
    <s v="Gujarat"/>
    <x v="3"/>
    <n v="200000"/>
    <x v="153"/>
  </r>
  <r>
    <s v="EOS1381"/>
    <d v="2026-02-12T00:00:00"/>
    <s v="FB"/>
    <s v="Vipulsinh Rajput"/>
    <s v="Kushinagar"/>
    <s v="uttar pradesh "/>
    <x v="4"/>
    <n v="200000"/>
    <x v="199"/>
  </r>
  <r>
    <s v="EOS1382"/>
    <d v="2026-02-12T00:00:00"/>
    <s v="FB "/>
    <s v="Mumtaj Ali"/>
    <s v="Rajkot"/>
    <s v="Gujarat"/>
    <x v="3"/>
    <n v="200000"/>
    <x v="37"/>
  </r>
  <r>
    <s v="EOS1383"/>
    <d v="2026-02-12T00:00:00"/>
    <s v="FB"/>
    <s v="Akshay zala"/>
    <s v="Rajkot"/>
    <s v="Gujarat"/>
    <x v="0"/>
    <n v="200000"/>
    <x v="0"/>
  </r>
  <r>
    <s v="EOS1384"/>
    <d v="2026-02-12T00:00:00"/>
    <s v="FB "/>
    <s v="Ankit Kanpariya"/>
    <s v="Tharad"/>
    <s v="Gujarat"/>
    <x v="3"/>
    <n v="200000"/>
    <x v="191"/>
  </r>
  <r>
    <s v="EOS1385"/>
    <d v="2026-02-12T00:00:00"/>
    <s v="FB"/>
    <s v="JAYRAJSINH RAJPUT"/>
    <s v="Vijapur"/>
    <s v="Gujarat"/>
    <x v="4"/>
    <n v="200000"/>
    <x v="162"/>
  </r>
  <r>
    <s v="EOS1386"/>
    <d v="2026-02-12T00:00:00"/>
    <s v="FB "/>
    <s v="Pradip parmar"/>
    <s v="Anand "/>
    <s v="Gujarat "/>
    <x v="3"/>
    <n v="200000"/>
    <x v="37"/>
  </r>
  <r>
    <s v="EOS1387"/>
    <d v="2026-02-12T00:00:00"/>
    <s v="FB"/>
    <s v="patel dhruval"/>
    <s v="nawada"/>
    <s v="Bihar"/>
    <x v="0"/>
    <n v="200000"/>
    <x v="0"/>
  </r>
  <r>
    <s v="EOS1388"/>
    <d v="2026-02-12T00:00:00"/>
    <s v="FB "/>
    <s v="Narendra kumar Niraj"/>
    <s v="Bokaro"/>
    <s v="Jharkhand"/>
    <x v="0"/>
    <n v="200000"/>
    <x v="0"/>
  </r>
  <r>
    <s v="EOS1389"/>
    <d v="2026-02-12T00:00:00"/>
    <s v="FB "/>
    <s v="Shailendra Prasad"/>
    <s v="Visnagar"/>
    <s v="Gujarat "/>
    <x v="3"/>
    <n v="200000"/>
    <x v="0"/>
  </r>
  <r>
    <s v="EOS1390"/>
    <d v="2026-02-12T00:00:00"/>
    <s v="FB"/>
    <s v="Kishan"/>
    <s v="Surat"/>
    <s v="Gujarat "/>
    <x v="3"/>
    <n v="200000"/>
    <x v="37"/>
  </r>
  <r>
    <s v="EOS1391"/>
    <d v="2026-02-13T00:00:00"/>
    <s v="FB"/>
    <s v="Jayesh"/>
    <s v="Mehsana"/>
    <s v="Gujarat "/>
    <x v="3"/>
    <n v="200000"/>
    <x v="37"/>
  </r>
  <r>
    <s v="EOS1392"/>
    <d v="2026-02-13T00:00:00"/>
    <s v="FB"/>
    <s v="Chintan Modi"/>
    <s v="Gandhinagar"/>
    <s v="Gujarat "/>
    <x v="3"/>
    <n v="200000"/>
    <x v="37"/>
  </r>
  <r>
    <s v="EOS1393"/>
    <d v="2026-02-13T00:00:00"/>
    <s v="FB"/>
    <s v="Nirmal"/>
    <s v="Ahmedabad"/>
    <s v="Gujarat "/>
    <x v="3"/>
    <n v="200000"/>
    <x v="37"/>
  </r>
  <r>
    <s v="EOS1394"/>
    <d v="2026-02-13T00:00:00"/>
    <s v="FB"/>
    <s v="Ravi Dave"/>
    <m/>
    <s v="Gujarat "/>
    <x v="3"/>
    <n v="200000"/>
    <x v="37"/>
  </r>
  <r>
    <s v="EOS1395"/>
    <d v="2026-02-13T00:00:00"/>
    <s v="FB"/>
    <s v="Jay Parmar"/>
    <s v="Khambhalia"/>
    <s v="Gujarat "/>
    <x v="3"/>
    <n v="200000"/>
    <x v="37"/>
  </r>
  <r>
    <s v="EOS1396"/>
    <d v="2026-02-14T00:00:00"/>
    <s v="FB"/>
    <s v="Javed darvesh"/>
    <s v="Prachi"/>
    <s v="Gujarat "/>
    <x v="3"/>
    <n v="200000"/>
    <x v="37"/>
  </r>
  <r>
    <s v="EOS1397"/>
    <d v="2026-02-14T00:00:00"/>
    <s v="FB"/>
    <s v="Rohitsinh Jadav"/>
    <s v="Barabanki"/>
    <s v="uttar pradesh "/>
    <x v="3"/>
    <n v="200000"/>
    <x v="37"/>
  </r>
  <r>
    <s v="EOS1398"/>
    <d v="2026-02-14T00:00:00"/>
    <s v="FB"/>
    <s v="Abhay Gupta"/>
    <s v="Karwi"/>
    <s v="uttar pradesh "/>
    <x v="3"/>
    <n v="200000"/>
    <x v="138"/>
  </r>
  <r>
    <s v="EOS1399"/>
    <d v="2026-02-14T00:00:00"/>
    <s v="FB"/>
    <s v="Mohit Singh"/>
    <s v="Gandhinagar"/>
    <s v="Gujarat"/>
    <x v="5"/>
    <n v="200000"/>
    <x v="50"/>
  </r>
  <r>
    <s v="EOS1400"/>
    <d v="2026-02-14T00:00:00"/>
    <s v="FB"/>
    <s v="vahid shaikh"/>
    <s v="Kanpur"/>
    <s v="uttar pradesh "/>
    <x v="0"/>
    <n v="200000"/>
    <x v="50"/>
  </r>
  <r>
    <s v="EOS1401"/>
    <d v="2026-02-16T00:00:00"/>
    <s v="FB "/>
    <s v="Gaurav gautam"/>
    <s v="Khambhalia"/>
    <s v="Gujarat "/>
    <x v="3"/>
    <n v="200000"/>
    <x v="37"/>
  </r>
  <r>
    <s v="EOS1402"/>
    <d v="2026-02-16T00:00:00"/>
    <s v="FB"/>
    <s v="Javed darvesh"/>
    <s v="bhanvad"/>
    <s v="Gujarat "/>
    <x v="3"/>
    <n v="200000"/>
    <x v="37"/>
  </r>
  <r>
    <s v="EOS1403"/>
    <d v="2026-02-16T00:00:00"/>
    <s v="FB"/>
    <s v="Hiren Odedra"/>
    <s v="Chotila"/>
    <s v="Gujarat "/>
    <x v="3"/>
    <n v="200000"/>
    <x v="37"/>
  </r>
  <r>
    <s v="EOS1404"/>
    <d v="2026-02-16T00:00:00"/>
    <s v="FB"/>
    <s v="Maldip Darbar"/>
    <s v=" Bhavnagar"/>
    <s v="Gujarat"/>
    <x v="3"/>
    <n v="200000"/>
    <x v="37"/>
  </r>
  <r>
    <s v="EOS1405"/>
    <d v="2026-02-16T00:00:00"/>
    <s v="FB"/>
    <s v="Harshit makwana"/>
    <s v="Jamnagar"/>
    <s v="Gujarat "/>
    <x v="3"/>
    <n v="200000"/>
    <x v="138"/>
  </r>
  <r>
    <s v="EOS1406"/>
    <d v="2026-02-16T00:00:00"/>
    <s v="FB"/>
    <s v="Mahavirsinh Solanki"/>
    <s v="Surat"/>
    <s v="Gujarat "/>
    <x v="3"/>
    <n v="200000"/>
    <x v="37"/>
  </r>
  <r>
    <s v="EOS1407"/>
    <d v="2026-02-16T00:00:00"/>
    <s v="FB"/>
    <s v="Ronak"/>
    <s v="Ahmedabad"/>
    <s v="Gujarat "/>
    <x v="3"/>
    <n v="200000"/>
    <x v="37"/>
  </r>
  <r>
    <s v="EOS1408"/>
    <d v="2026-02-16T00:00:00"/>
    <s v="FB"/>
    <s v="AD Rajput"/>
    <s v=" "/>
    <s v="Gujarat "/>
    <x v="3"/>
    <n v="200000"/>
    <x v="37"/>
  </r>
  <r>
    <s v="EOS1409"/>
    <d v="2026-02-16T00:00:00"/>
    <s v="FB"/>
    <s v="PRUTHVI SINGH V THAKOR"/>
    <s v="Porbandar"/>
    <s v="Gujarat"/>
    <x v="3"/>
    <n v="200000"/>
    <x v="153"/>
  </r>
  <r>
    <s v="EOS1410"/>
    <d v="2026-02-16T00:00:00"/>
    <s v="FB"/>
    <s v="Vijay Modhvadiya"/>
    <s v="utraula"/>
    <s v="uttar pradesh "/>
    <x v="3"/>
    <n v="200000"/>
    <x v="37"/>
  </r>
  <r>
    <s v="EOS1411"/>
    <d v="2026-02-16T00:00:00"/>
    <s v="FB"/>
    <s v="Asrar Ahmad Raini"/>
    <s v="Noida"/>
    <s v="uttar pradesh "/>
    <x v="3"/>
    <n v="200000"/>
    <x v="37"/>
  </r>
  <r>
    <s v="EOS1412"/>
    <d v="2026-02-16T00:00:00"/>
    <s v="FB"/>
    <s v="mdaman"/>
    <s v=" Bhavnagar"/>
    <s v="Gujarat "/>
    <x v="3"/>
    <n v="200000"/>
    <x v="37"/>
  </r>
  <r>
    <s v="EOS1413"/>
    <d v="2026-02-17T00:00:00"/>
    <s v="FB"/>
    <s v="Shaktisinh Gohil"/>
    <s v="Ahmedabad"/>
    <s v="Gujarat "/>
    <x v="3"/>
    <n v="200000"/>
    <x v="37"/>
  </r>
  <r>
    <s v="EOS1414"/>
    <d v="2026-02-17T00:00:00"/>
    <s v="FB"/>
    <s v="Dipen Gandhi"/>
    <s v="Surat "/>
    <s v="Gujarat "/>
    <x v="3"/>
    <n v="200000"/>
    <x v="37"/>
  </r>
  <r>
    <s v="EOS1415"/>
    <d v="2026-02-17T00:00:00"/>
    <s v="FB"/>
    <s v="Ahir Chintan"/>
    <s v="Dedana"/>
    <s v="Gujarat "/>
    <x v="3"/>
    <n v="200000"/>
    <x v="37"/>
  </r>
  <r>
    <s v="EOS1416"/>
    <d v="2026-02-17T00:00:00"/>
    <s v="FB"/>
    <s v="Vyas Yogesh"/>
    <s v="Bharuch"/>
    <s v="Gujarat "/>
    <x v="3"/>
    <n v="200000"/>
    <x v="37"/>
  </r>
  <r>
    <s v="EOS1417"/>
    <d v="2026-02-17T00:00:00"/>
    <s v="FB"/>
    <s v="Monik Mehta"/>
    <s v="agra"/>
    <s v="uttar pradesh "/>
    <x v="3"/>
    <n v="200000"/>
    <x v="37"/>
  </r>
  <r>
    <s v="EOS1418"/>
    <d v="2026-02-17T00:00:00"/>
    <s v="FB"/>
    <s v="Vishal Sharma"/>
    <s v="Noida"/>
    <s v="uttar pradesh "/>
    <x v="3"/>
    <n v="200000"/>
    <x v="37"/>
  </r>
  <r>
    <s v="EOS1419"/>
    <d v="2026-02-17T00:00:00"/>
    <s v="FB"/>
    <s v="Sonu Choudhary"/>
    <s v="Mau"/>
    <s v="uttar pradesh "/>
    <x v="3"/>
    <n v="200000"/>
    <x v="37"/>
  </r>
  <r>
    <s v="EOS1420"/>
    <d v="2026-02-17T00:00:00"/>
    <s v="FB"/>
    <s v="Anand mohan singh"/>
    <s v="Ahmedabad"/>
    <s v="Gujarat "/>
    <x v="3"/>
    <n v="200000"/>
    <x v="37"/>
  </r>
  <r>
    <s v="EOS1421"/>
    <d v="2026-02-17T00:00:00"/>
    <s v="FB"/>
    <s v="Sanket kothiya"/>
    <s v="Anand"/>
    <s v="Gujarat "/>
    <x v="3"/>
    <n v="200000"/>
    <x v="37"/>
  </r>
  <r>
    <s v="EOS1422"/>
    <d v="2026-02-18T00:00:00"/>
    <s v="FB"/>
    <s v="prakash"/>
    <s v="Bardoli"/>
    <s v="Gujarat "/>
    <x v="3"/>
    <n v="200000"/>
    <x v="37"/>
  </r>
  <r>
    <s v="EOS1423"/>
    <d v="2026-02-18T00:00:00"/>
    <s v="FB"/>
    <s v="Vicky Biscuitwala"/>
    <s v="Dwarka"/>
    <s v="Gujarat"/>
    <x v="0"/>
    <n v="200000"/>
    <x v="0"/>
  </r>
  <r>
    <s v="EOS1424"/>
    <d v="2026-02-18T00:00:00"/>
    <s v="FB "/>
    <s v="Aryan Bhai"/>
    <s v="Halol"/>
    <s v="Gujarat "/>
    <x v="3"/>
    <n v="200000"/>
    <x v="37"/>
  </r>
  <r>
    <s v="EOS1425"/>
    <d v="2026-02-18T00:00:00"/>
    <s v="FB"/>
    <s v="Talati Mittul"/>
    <s v="Vapi"/>
    <s v="Gujarat "/>
    <x v="3"/>
    <n v="200000"/>
    <x v="37"/>
  </r>
  <r>
    <s v="EOS1426"/>
    <d v="2026-02-18T00:00:00"/>
    <s v="FB"/>
    <s v="Anil Patadiya"/>
    <s v="Rajkot"/>
    <s v="Gujarat "/>
    <x v="3"/>
    <n v="200000"/>
    <x v="37"/>
  </r>
  <r>
    <s v="EOS1427"/>
    <d v="2026-02-18T00:00:00"/>
    <s v="FB"/>
    <s v="kishan"/>
    <s v="Ghaziabad"/>
    <s v="uttar pradesh "/>
    <x v="3"/>
    <n v="200000"/>
    <x v="138"/>
  </r>
  <r>
    <s v="EOS1428"/>
    <d v="2026-02-18T00:00:00"/>
    <s v="FB"/>
    <s v="Deepak Bansal"/>
    <s v="Kolkata"/>
    <s v="WB "/>
    <x v="3"/>
    <n v="200000"/>
    <x v="153"/>
  </r>
  <r>
    <s v="EOS1429"/>
    <d v="2026-02-18T00:00:00"/>
    <s v="FB"/>
    <s v="Arup Saha(Arpan)"/>
    <s v="Khambhalia"/>
    <s v="Gujarat "/>
    <x v="3"/>
    <n v="200000"/>
    <x v="138"/>
  </r>
  <r>
    <s v="EOS1430"/>
    <d v="2026-02-18T00:00:00"/>
    <s v="FB"/>
    <s v="Devdan Rudach"/>
    <s v="Ahmedabad"/>
    <s v="Gujarat "/>
    <x v="3"/>
    <n v="200000"/>
    <x v="153"/>
  </r>
  <r>
    <s v="EOS1431"/>
    <d v="2026-02-21T00:00:00"/>
    <s v="FB"/>
    <s v="Satvara Sandip"/>
    <s v="Ahmedabad"/>
    <s v="Gujarat "/>
    <x v="3"/>
    <n v="200000"/>
    <x v="153"/>
  </r>
  <r>
    <s v="EOS1432"/>
    <d v="2026-02-21T00:00:00"/>
    <s v="FB"/>
    <s v="Krish "/>
    <s v="Mangrol"/>
    <s v="Gujarat "/>
    <x v="3"/>
    <n v="200000"/>
    <x v="37"/>
  </r>
  <r>
    <s v="EOS1433"/>
    <d v="2026-02-21T00:00:00"/>
    <s v="FB"/>
    <s v="Dilip Mokariya"/>
    <s v="Rajkot "/>
    <s v="Gujarat "/>
    <x v="3"/>
    <n v="200000"/>
    <x v="37"/>
  </r>
  <r>
    <s v="EOS1434"/>
    <d v="2026-02-21T00:00:00"/>
    <s v="FB"/>
    <s v="Satish Ahir"/>
    <m/>
    <s v="uttar pradesh "/>
    <x v="3"/>
    <n v="200000"/>
    <x v="37"/>
  </r>
  <r>
    <s v="EOS1435"/>
    <d v="2026-02-21T00:00:00"/>
    <s v="FB"/>
    <s v="Hemant Sharma"/>
    <s v="haridwar "/>
    <s v="uttar pradesh "/>
    <x v="3"/>
    <n v="200000"/>
    <x v="37"/>
  </r>
  <r>
    <s v="EOS1436"/>
    <d v="2026-02-21T00:00:00"/>
    <s v="FB"/>
    <s v="Adv. Ikram Ansari"/>
    <s v="Surat"/>
    <s v="Gujarat "/>
    <x v="0"/>
    <n v="200000"/>
    <x v="50"/>
  </r>
  <r>
    <s v="EOS1437"/>
    <d v="2026-02-21T00:00:00"/>
    <s v="FB "/>
    <s v="mahesh mevada"/>
    <s v="Valasan"/>
    <s v="Gujarat"/>
    <x v="0"/>
    <n v="200000"/>
    <x v="50"/>
  </r>
  <r>
    <s v="EOS1438"/>
    <d v="2026-02-21T00:00:00"/>
    <s v="FB "/>
    <s v="Aadil Vahora"/>
    <s v="Kapadwan"/>
    <s v="Gujarat"/>
    <x v="3"/>
    <n v="200000"/>
    <x v="191"/>
  </r>
  <r>
    <s v="EOS1439"/>
    <d v="2026-02-21T00:00:00"/>
    <s v="FB"/>
    <s v="Yash"/>
    <s v="Kheda"/>
    <s v="Gujarat"/>
    <x v="3"/>
    <n v="200000"/>
    <x v="191"/>
  </r>
  <r>
    <s v="EOS1440"/>
    <d v="2026-02-21T00:00:00"/>
    <s v="FB"/>
    <s v="Rutwik"/>
    <s v="Ahmedabad"/>
    <s v="Gujarat"/>
    <x v="0"/>
    <n v="200000"/>
    <x v="0"/>
  </r>
  <r>
    <s v="EOS1441"/>
    <d v="2026-02-21T00:00:00"/>
    <s v="FB "/>
    <s v="Krish "/>
    <s v="Dahod"/>
    <s v="Gujarat"/>
    <x v="0"/>
    <n v="200000"/>
    <x v="0"/>
  </r>
  <r>
    <s v="EOS1442"/>
    <d v="2026-02-21T00:00:00"/>
    <s v="FB "/>
    <s v="Hitesh Manglani"/>
    <s v="dwarka"/>
    <s v="Gujarat"/>
    <x v="3"/>
    <n v="200000"/>
    <x v="37"/>
  </r>
  <r>
    <s v="EOS1443"/>
    <d v="2026-02-21T00:00:00"/>
    <s v="FB"/>
    <s v="CHAVDA LAKHANKUMAR DHARMENDRABHAI"/>
    <s v="Gandhidham"/>
    <s v="Gujarat"/>
    <x v="3"/>
    <n v="200000"/>
    <x v="37"/>
  </r>
  <r>
    <s v="EOS1444"/>
    <d v="2026-02-22T00:00:00"/>
    <s v="FB"/>
    <s v="Ankit Chaudhary"/>
    <s v="Ahmedabad"/>
    <s v="Gujarat"/>
    <x v="3"/>
    <n v="200000"/>
    <x v="200"/>
  </r>
  <r>
    <s v="EOS1445"/>
    <d v="2026-02-25T00:00:00"/>
    <s v="FB"/>
    <s v="Prakash Matlani"/>
    <s v="Ahmedabad"/>
    <m/>
    <x v="3"/>
    <n v="200000"/>
    <x v="200"/>
  </r>
  <r>
    <s v="EOS1446"/>
    <d v="2026-02-25T00:00:00"/>
    <s v="FB"/>
    <s v="NAVYA"/>
    <s v="Bhavnagar"/>
    <s v="Gujarat"/>
    <x v="3"/>
    <n v="200000"/>
    <x v="138"/>
  </r>
  <r>
    <s v="EOS1447"/>
    <d v="2026-03-12T00:00:00"/>
    <s v="FB"/>
    <s v="Vijay Solanki"/>
    <s v="Vadodara"/>
    <s v="Gujarat"/>
    <x v="3"/>
    <n v="200000"/>
    <x v="153"/>
  </r>
  <r>
    <s v="EOS1448"/>
    <d v="2026-03-12T00:00:00"/>
    <s v="FB"/>
    <s v="Ronak Maheshwari"/>
    <s v="Ahemdabad"/>
    <s v="Gujarat"/>
    <x v="3"/>
    <n v="200000"/>
    <x v="201"/>
  </r>
  <r>
    <s v="EOS1449"/>
    <d v="2026-03-13T00:00:00"/>
    <s v="FB"/>
    <s v="Narayan Singh Rathore"/>
    <s v="Vadodara"/>
    <s v="Gujarat"/>
    <x v="3"/>
    <n v="200000"/>
    <x v="201"/>
  </r>
  <r>
    <s v="EOS1450"/>
    <d v="2026-03-13T00:00:00"/>
    <s v="FB"/>
    <s v="Juber_T"/>
    <s v="Botad"/>
    <s v="Gujarat"/>
    <x v="3"/>
    <n v="200000"/>
    <x v="201"/>
  </r>
  <r>
    <s v="EOS1451"/>
    <d v="2026-03-16T00:00:00"/>
    <s v="FB"/>
    <s v="Parikshitsinh padhiyar"/>
    <s v="Bharuch"/>
    <s v="Gujarat"/>
    <x v="3"/>
    <n v="200000"/>
    <x v="37"/>
  </r>
  <r>
    <s v="EOS1452"/>
    <d v="2026-03-16T00:00:00"/>
    <s v="FB"/>
    <s v="Uvesh Amin"/>
    <s v="Mehsana"/>
    <s v="Gujarat"/>
    <x v="3"/>
    <n v="200000"/>
    <x v="37"/>
  </r>
  <r>
    <s v="EOS1453"/>
    <d v="2026-03-16T00:00:00"/>
    <s v="FB"/>
    <s v="Smith patel"/>
    <s v="Junagadh"/>
    <s v="Gujarat"/>
    <x v="3"/>
    <n v="200000"/>
    <x v="37"/>
  </r>
  <r>
    <s v="EOS1454"/>
    <d v="2026-03-16T00:00:00"/>
    <s v="FB"/>
    <s v="Pradipsinh Solanki"/>
    <s v="Chikhli"/>
    <s v="Gujarat"/>
    <x v="3"/>
    <n v="200000"/>
    <x v="37"/>
  </r>
  <r>
    <s v="EOS1455"/>
    <d v="2026-03-16T00:00:00"/>
    <s v="FB"/>
    <s v="Yogesh Patel"/>
    <s v="Ahmedabad"/>
    <s v="Gujarat"/>
    <x v="3"/>
    <n v="200000"/>
    <x v="37"/>
  </r>
  <r>
    <s v="EOS1456"/>
    <d v="2026-03-16T00:00:00"/>
    <s v="FB"/>
    <s v="Dhaval Bhavsar"/>
    <s v="Vadodara"/>
    <s v="Gujarat"/>
    <x v="3"/>
    <n v="200000"/>
    <x v="37"/>
  </r>
  <r>
    <s v="EOS1457"/>
    <d v="2026-03-16T00:00:00"/>
    <s v="FB"/>
    <s v="Shaikh Mo Uvesh Khslid"/>
    <s v="Godhra"/>
    <s v="Gujarat"/>
    <x v="3"/>
    <n v="200000"/>
    <x v="138"/>
  </r>
  <r>
    <s v="EOS1458"/>
    <d v="2026-03-16T00:00:00"/>
    <s v="FB"/>
    <s v="Irfan Chanki"/>
    <s v="Ahmedabad"/>
    <s v="Gujarat"/>
    <x v="0"/>
    <n v="200000"/>
    <x v="0"/>
  </r>
  <r>
    <s v="EOS1459"/>
    <d v="2026-03-16T00:00:00"/>
    <s v="FB"/>
    <s v="PRAKASH VAGHELA"/>
    <s v="Ahmedabad"/>
    <s v="Gujarat"/>
    <x v="3"/>
    <n v="200000"/>
    <x v="138"/>
  </r>
  <r>
    <s v="EOS1460"/>
    <d v="2026-03-16T00:00:00"/>
    <s v="FB"/>
    <s v="Ronak Solanki"/>
    <s v="Junagadh"/>
    <s v="Gujarat"/>
    <x v="3"/>
    <n v="200000"/>
    <x v="138"/>
  </r>
  <r>
    <s v="EOS1461"/>
    <d v="2026-03-16T00:00:00"/>
    <s v="FB"/>
    <s v="Hardik Bhanushali"/>
    <s v="Jetpur "/>
    <s v="Gujarat"/>
    <x v="3"/>
    <n v="200000"/>
    <x v="138"/>
  </r>
  <r>
    <s v="EOS1462"/>
    <d v="2026-03-16T00:00:00"/>
    <s v="FB"/>
    <s v="Ketan"/>
    <s v="Bhavnagar"/>
    <s v="Gujarat"/>
    <x v="3"/>
    <n v="200000"/>
    <x v="138"/>
  </r>
  <r>
    <s v="EOS1463"/>
    <d v="2026-03-16T00:00:00"/>
    <s v="FB"/>
    <s v="Gohil Bapu"/>
    <s v="Gandhidham"/>
    <s v="Gujarat"/>
    <x v="3"/>
    <n v="200000"/>
    <x v="138"/>
  </r>
  <r>
    <s v="EOS1464"/>
    <d v="2026-03-16T00:00:00"/>
    <s v="FB"/>
    <s v="Ankit Chaudhary"/>
    <s v="Anjar"/>
    <s v="Gujarat"/>
    <x v="3"/>
    <n v="200000"/>
    <x v="202"/>
  </r>
  <r>
    <s v="EOS1465"/>
    <d v="2026-03-16T00:00:00"/>
    <s v="FB"/>
    <s v="Parth Patel"/>
    <s v="Ahmednagar"/>
    <s v="Maharastra"/>
    <x v="3"/>
    <n v="200000"/>
    <x v="138"/>
  </r>
  <r>
    <s v="EOS1466"/>
    <d v="2026-03-16T00:00:00"/>
    <s v="FB"/>
    <s v="R K Ravindra Karad"/>
    <s v="Wankaner"/>
    <s v="Gujarat"/>
    <x v="3"/>
    <n v="200000"/>
    <x v="138"/>
  </r>
  <r>
    <s v="EOS1467"/>
    <d v="2026-03-17T00:00:00"/>
    <s v="FB"/>
    <s v="Tosif Bloch"/>
    <s v="Junagadh"/>
    <s v="Gujarat"/>
    <x v="3"/>
    <n v="200000"/>
    <x v="138"/>
  </r>
  <r>
    <s v="EOS1468"/>
    <d v="2026-03-17T00:00:00"/>
    <s v="FB"/>
    <s v="Ravi patel"/>
    <s v="Bharuch"/>
    <s v="Gujarat"/>
    <x v="3"/>
    <n v="200000"/>
    <x v="143"/>
  </r>
  <r>
    <s v="EOS1469"/>
    <d v="2026-03-17T00:00:00"/>
    <s v="FB"/>
    <s v="shoaib.mansuri"/>
    <m/>
    <s v="Gujarat"/>
    <x v="3"/>
    <n v="200000"/>
    <x v="143"/>
  </r>
  <r>
    <s v="EOS1470"/>
    <d v="2026-03-17T00:00:00"/>
    <s v="FB"/>
    <s v="Dilip Prajapati"/>
    <s v="Matar"/>
    <s v="Gujarat"/>
    <x v="3"/>
    <n v="200000"/>
    <x v="143"/>
  </r>
  <r>
    <s v="EOS1471"/>
    <d v="2026-03-17T00:00:00"/>
    <s v="FB"/>
    <s v="Rabari Vikram"/>
    <s v="Anand"/>
    <s v="Gujarat"/>
    <x v="3"/>
    <n v="200000"/>
    <x v="203"/>
  </r>
  <r>
    <s v="EOS1472"/>
    <d v="2026-03-18T00:00:00"/>
    <s v="FB"/>
    <s v="Ammar Vahora"/>
    <s v="Silvassa"/>
    <s v="Gujarat"/>
    <x v="3"/>
    <n v="200000"/>
    <x v="204"/>
  </r>
  <r>
    <s v="EOS1473"/>
    <d v="2026-03-18T00:00:00"/>
    <s v="FB"/>
    <s v="mukeshlagdhir"/>
    <s v="Ahmedabad"/>
    <s v="Gujarat"/>
    <x v="0"/>
    <n v="200000"/>
    <x v="205"/>
  </r>
  <r>
    <s v="EOS1474"/>
    <d v="2026-03-20T00:00:00"/>
    <s v="FB"/>
    <s v="Dhruv Patel"/>
    <s v="Khambhalia"/>
    <s v="Gujarat"/>
    <x v="3"/>
    <n v="200000"/>
    <x v="206"/>
  </r>
  <r>
    <s v="EOS1475"/>
    <d v="2026-03-20T00:00:00"/>
    <s v="FB"/>
    <s v="Parth Rajgor"/>
    <s v="Petlad"/>
    <s v="Gujarat"/>
    <x v="3"/>
    <n v="200000"/>
    <x v="207"/>
  </r>
  <r>
    <s v="EOS1476"/>
    <d v="2026-03-20T00:00:00"/>
    <s v="FB"/>
    <s v="Patel"/>
    <s v="kadi"/>
    <s v="Gujarat"/>
    <x v="3"/>
    <n v="200000"/>
    <x v="208"/>
  </r>
  <r>
    <s v="EOS1477"/>
    <d v="2026-03-20T00:00:00"/>
    <s v="FB"/>
    <s v="Sunil Prajapati"/>
    <s v="Bhuj"/>
    <s v="Gujarat"/>
    <x v="3"/>
    <n v="200000"/>
    <x v="209"/>
  </r>
  <r>
    <s v="EOS1478"/>
    <d v="2026-03-20T00:00:00"/>
    <s v="FB"/>
    <s v="??RAAVAL MIHIIR?"/>
    <s v="Surat mandvi"/>
    <s v="Gujarat"/>
    <x v="3"/>
    <n v="200000"/>
    <x v="143"/>
  </r>
  <r>
    <s v="EOS1479"/>
    <d v="2026-03-20T00:00:00"/>
    <s v="FB"/>
    <s v="Chaudhari Naitik"/>
    <s v="Ahmedabad"/>
    <s v="Gujarat"/>
    <x v="3"/>
    <n v="200000"/>
    <x v="210"/>
  </r>
  <r>
    <s v="EOS1480"/>
    <d v="2026-03-20T00:00:00"/>
    <s v="FB"/>
    <s v="Prince vaitha"/>
    <s v="Godhra"/>
    <s v="Gujarat"/>
    <x v="3"/>
    <n v="200000"/>
    <x v="211"/>
  </r>
  <r>
    <s v="EOS1481"/>
    <d v="2026-03-20T00:00:00"/>
    <s v="FB"/>
    <s v="Panchal Siddharth"/>
    <s v="Gandhidham"/>
    <s v="Gujarat"/>
    <x v="3"/>
    <n v="200000"/>
    <x v="153"/>
  </r>
  <r>
    <s v="EOS1482"/>
    <d v="2026-03-20T00:00:00"/>
    <s v="FB"/>
    <s v="Bipin"/>
    <s v="Navsari"/>
    <s v="Gujarat"/>
    <x v="3"/>
    <n v="200000"/>
    <x v="153"/>
  </r>
  <r>
    <s v="EOS1483"/>
    <d v="2026-03-20T00:00:00"/>
    <s v="FB"/>
    <s v="Piyush Chauhan"/>
    <s v="Amreli"/>
    <s v="Gujarat"/>
    <x v="3"/>
    <n v="200000"/>
    <x v="153"/>
  </r>
  <r>
    <s v="EOS1484"/>
    <d v="2026-03-20T00:00:00"/>
    <s v="FB"/>
    <s v="Vivek Borsaniya"/>
    <s v="Rajkot"/>
    <s v="Gujarat"/>
    <x v="3"/>
    <s v="   1,07,000"/>
    <x v="138"/>
  </r>
  <r>
    <s v="EOS1485"/>
    <d v="2026-03-20T00:00:00"/>
    <s v="FB"/>
    <s v="Nikhil"/>
    <s v="Rajkot"/>
    <s v="Gujarat"/>
    <x v="3"/>
    <s v="   1,07,000"/>
    <x v="143"/>
  </r>
  <r>
    <s v="EOS1486"/>
    <d v="2026-03-21T00:00:00"/>
    <s v="FB"/>
    <s v="Alkesh Suba"/>
    <s v="Jetpur"/>
    <s v="Gujarat"/>
    <x v="3"/>
    <m/>
    <x v="143"/>
  </r>
  <r>
    <s v="EOS1487"/>
    <d v="2026-03-21T00:00:00"/>
    <s v="FB"/>
    <s v="Kanji Tilavat"/>
    <m/>
    <s v="Gujarat"/>
    <x v="3"/>
    <m/>
    <x v="143"/>
  </r>
  <r>
    <s v="EOS1488"/>
    <d v="2026-03-21T00:00:00"/>
    <s v="FB"/>
    <s v="Pran Singh Pa"/>
    <s v="Vishnagar "/>
    <s v="Gujarat"/>
    <x v="2"/>
    <s v="   1,40,000"/>
    <x v="1"/>
  </r>
  <r>
    <s v="EOS1489"/>
    <d v="2026-03-21T00:00:00"/>
    <s v="FB "/>
    <s v="Dev Patel "/>
    <s v="Botad"/>
    <s v="Gujarat"/>
    <x v="0"/>
    <m/>
    <x v="212"/>
  </r>
  <r>
    <s v="EOS1490"/>
    <d v="2026-03-23T00:00:00"/>
    <s v="FB"/>
    <s v="Afjal Minapars"/>
    <s v="Vadodara"/>
    <s v="Gujarat"/>
    <x v="3"/>
    <m/>
    <x v="138"/>
  </r>
  <r>
    <s v="EOS1491"/>
    <d v="2026-03-23T00:00:00"/>
    <s v="FB"/>
    <s v="Sunil Patel"/>
    <s v="Ahmedabad"/>
    <s v="Gujarat"/>
    <x v="3"/>
    <m/>
    <x v="138"/>
  </r>
  <r>
    <s v="EOS1492"/>
    <d v="2026-03-23T00:00:00"/>
    <s v="FB"/>
    <s v="Hiren Koshti"/>
    <s v="Surat"/>
    <s v="Gujarat"/>
    <x v="3"/>
    <m/>
    <x v="138"/>
  </r>
  <r>
    <s v="EOS1493"/>
    <d v="2026-03-23T00:00:00"/>
    <s v="FB"/>
    <s v="Rashtrapal Vankhede"/>
    <s v="Dabhoi"/>
    <s v="Gujarat"/>
    <x v="3"/>
    <m/>
    <x v="153"/>
  </r>
  <r>
    <s v="EOS1494"/>
    <d v="2026-03-23T00:00:00"/>
    <s v="FB"/>
    <s v="Mansuri Sohil"/>
    <s v="mahuava"/>
    <s v="Gujarat"/>
    <x v="3"/>
    <m/>
    <x v="153"/>
  </r>
  <r>
    <s v="EOS1495"/>
    <d v="2026-03-23T00:00:00"/>
    <s v="FB"/>
    <s v="Idris Shahidbhai Saiyad"/>
    <s v="Ahmedabad"/>
    <s v="Gujarat"/>
    <x v="3"/>
    <m/>
    <x v="153"/>
  </r>
  <r>
    <s v="EOS1496"/>
    <d v="2026-03-24T00:00:00"/>
    <s v="FB"/>
    <s v="Sanjay thakor"/>
    <s v="Rajkot"/>
    <s v="Gujarat"/>
    <x v="3"/>
    <m/>
    <x v="153"/>
  </r>
  <r>
    <s v="EOS1497"/>
    <d v="2026-03-24T00:00:00"/>
    <s v="FB"/>
    <s v="Dhaval gohel"/>
    <s v="Sitapur"/>
    <s v="Uttar Pradesh"/>
    <x v="3"/>
    <m/>
    <x v="138"/>
  </r>
  <r>
    <s v="EOS1498"/>
    <d v="2026-03-24T00:00:00"/>
    <s v="FB"/>
    <s v="Mo Irfan Riyaj"/>
    <m/>
    <s v="Uttar Pradesh"/>
    <x v="3"/>
    <m/>
    <x v="138"/>
  </r>
  <r>
    <s v="EOS1499"/>
    <d v="2026-03-24T00:00:00"/>
    <s v="FB"/>
    <s v="Ramendra singh"/>
    <s v="Morbi"/>
    <s v="Gujarat"/>
    <x v="3"/>
    <m/>
    <x v="143"/>
  </r>
  <r>
    <s v="EOS1500"/>
    <d v="2026-03-24T00:00:00"/>
    <s v="FB"/>
    <s v=" Daud Chaniya"/>
    <s v="Ahmedabad"/>
    <s v="Gujarat"/>
    <x v="3"/>
    <m/>
    <x v="138"/>
  </r>
  <r>
    <s v="EOS1501"/>
    <d v="2026-03-24T00:00:00"/>
    <s v="FB"/>
    <s v="Mahesh bhai"/>
    <s v="Varanasi"/>
    <s v="Uttar Pradesh"/>
    <x v="3"/>
    <m/>
    <x v="153"/>
  </r>
  <r>
    <s v="EOS1502"/>
    <d v="2026-03-24T00:00:00"/>
    <s v="FB"/>
    <s v="Aniketsoni"/>
    <s v="jaso"/>
    <s v="MP"/>
    <x v="3"/>
    <m/>
    <x v="153"/>
  </r>
  <r>
    <s v="EOS1503"/>
    <d v="2026-03-24T00:00:00"/>
    <s v="FB"/>
    <s v="Rohit Singh Parihar"/>
    <m/>
    <m/>
    <x v="3"/>
    <m/>
    <x v="153"/>
  </r>
  <r>
    <s v="EOS1504"/>
    <d v="2026-03-24T00:00:00"/>
    <s v="FB"/>
    <s v="CHANDEGARA HARSH A"/>
    <s v=" Bhavnagar"/>
    <s v="Gujarat "/>
    <x v="3"/>
    <s v="   1,77,000"/>
    <x v="156"/>
  </r>
  <r>
    <s v="EOS1505"/>
    <d v="2025-10-22T00:00:00"/>
    <s v="FB"/>
    <s v="Nirav ratnottar"/>
    <s v="Bhuj"/>
    <s v="Gujarat"/>
    <x v="6"/>
    <n v="177000"/>
    <x v="37"/>
  </r>
  <r>
    <s v="EOS1506"/>
    <d v="2026-04-01T00:00:00"/>
    <s v="FB"/>
    <s v="Madhavi Bhatt"/>
    <s v="idar"/>
    <s v="Gujarat"/>
    <x v="6"/>
    <n v="177000"/>
    <x v="0"/>
  </r>
  <r>
    <s v="EOS1507"/>
    <d v="2026-04-01T00:00:00"/>
    <s v="FB"/>
    <s v="divyapalsinh Bhupendrasinh rathod "/>
    <s v="Ahmedabad"/>
    <s v="Gujarat"/>
    <x v="6"/>
    <n v="177000"/>
    <x v="0"/>
  </r>
  <r>
    <s v="EOS1508"/>
    <d v="2026-04-01T00:00:00"/>
    <s v="FB"/>
    <s v="Sunilgiri Goswami"/>
    <s v="vadodara "/>
    <s v="Gujarat"/>
    <x v="6"/>
    <n v="177000"/>
    <x v="0"/>
  </r>
  <r>
    <s v="EOS1509"/>
    <d v="2026-04-01T00:00:00"/>
    <s v="FB"/>
    <s v="Vivek arunraop"/>
    <s v="Ahmedabad"/>
    <s v="Gujarat"/>
    <x v="6"/>
    <n v="177000"/>
    <x v="0"/>
  </r>
  <r>
    <s v="EOS1510"/>
    <d v="2026-04-01T00:00:00"/>
    <s v="FB"/>
    <s v="krartik patel"/>
    <s v="Himatnagar"/>
    <s v="Gujarat"/>
    <x v="6"/>
    <n v="177000"/>
    <x v="0"/>
  </r>
  <r>
    <s v="EOS1511"/>
    <d v="2026-04-01T00:00:00"/>
    <s v="FB"/>
    <s v="Darshan Doshi"/>
    <s v="Mainpuri"/>
    <s v="Uttar Pradesh"/>
    <x v="6"/>
    <n v="177000"/>
    <x v="0"/>
  </r>
  <r>
    <s v="EOS1512"/>
    <d v="2026-04-01T00:00:00"/>
    <s v="FB"/>
    <s v="Gopal chauhan"/>
    <s v="Samastipur"/>
    <s v="Bihar"/>
    <x v="6"/>
    <n v="177000"/>
    <x v="0"/>
  </r>
  <r>
    <s v="EOS1513"/>
    <d v="2026-04-02T00:00:00"/>
    <s v="FB"/>
    <s v="Navin Singh"/>
    <s v="Rajkot "/>
    <s v="Gujarat"/>
    <x v="6"/>
    <n v="30000"/>
    <x v="0"/>
  </r>
  <r>
    <s v="EOS1514"/>
    <d v="2026-04-02T00:00:00"/>
    <s v="FB"/>
    <s v="Akshay Patel "/>
    <s v="Surat"/>
    <s v="Gujarat"/>
    <x v="6"/>
    <n v="177000"/>
    <x v="0"/>
  </r>
  <r>
    <s v="EOS1515"/>
    <d v="2026-04-02T00:00:00"/>
    <s v="FB"/>
    <s v="Mohammed memo"/>
    <s v="Surat"/>
    <s v="Gujarat"/>
    <x v="6"/>
    <n v="177000"/>
    <x v="0"/>
  </r>
  <r>
    <s v="EOS1516"/>
    <d v="2026-04-02T00:00:00"/>
    <s v="FB"/>
    <s v="Raju Boliya"/>
    <s v="Botad"/>
    <s v="Gujarat"/>
    <x v="6"/>
    <n v="177000"/>
    <x v="0"/>
  </r>
  <r>
    <s v="EOS1517"/>
    <d v="2026-04-02T00:00:00"/>
    <s v="FB"/>
    <s v="Arman "/>
    <s v="Junagadh"/>
    <s v="Gujarat"/>
    <x v="6"/>
    <n v="177000"/>
    <x v="0"/>
  </r>
  <r>
    <s v="EOS1518"/>
    <d v="2026-04-02T00:00:00"/>
    <s v="FB"/>
    <s v="Jaydip Ram"/>
    <s v="Mangrol"/>
    <s v="Gujarat"/>
    <x v="6"/>
    <n v="177000"/>
    <x v="0"/>
  </r>
  <r>
    <s v="EOS1519"/>
    <d v="2026-04-02T00:00:00"/>
    <s v="FB"/>
    <s v="Hamzu Shaikh "/>
    <s v="Visnagar"/>
    <s v="Gujarat"/>
    <x v="6"/>
    <n v="177000"/>
    <x v="0"/>
  </r>
  <r>
    <s v="EOS1520"/>
    <d v="2026-04-02T00:00:00"/>
    <s v="FB"/>
    <s v="Chand Patel "/>
    <s v="Samana"/>
    <s v="Punjab"/>
    <x v="6"/>
    <n v="177000"/>
    <x v="0"/>
  </r>
  <r>
    <s v="EOS1521"/>
    <d v="2026-04-02T00:00:00"/>
    <s v="FB"/>
    <s v="Manav Garg"/>
    <s v="Etawah "/>
    <s v="Uttar Pradesh"/>
    <x v="6"/>
    <n v="177000"/>
    <x v="0"/>
  </r>
  <r>
    <s v="EOS1522"/>
    <d v="2026-04-02T00:00:00"/>
    <s v="FB"/>
    <s v="Jeetu Yadav "/>
    <m/>
    <s v="Maharashtra"/>
    <x v="6"/>
    <n v="177000"/>
    <x v="37"/>
  </r>
  <r>
    <s v="EOS1523"/>
    <d v="2026-04-02T00:00:00"/>
    <s v="WA"/>
    <s v="Vidya Shinde "/>
    <s v="Surendranagar"/>
    <s v="Gujarat"/>
    <x v="6"/>
    <n v="177000"/>
    <x v="0"/>
  </r>
  <r>
    <s v="EOS1524"/>
    <d v="2026-04-02T00:00:00"/>
    <s v="FB"/>
    <s v=" Mr Bharvad"/>
    <s v="Surat"/>
    <s v="Gujarat"/>
    <x v="6"/>
    <n v="177000"/>
    <x v="0"/>
  </r>
  <r>
    <s v="EOS1525"/>
    <d v="2026-04-02T00:00:00"/>
    <s v="FB"/>
    <s v="Bhagirath Talaviya"/>
    <s v="Vadodara"/>
    <s v="Gujarat"/>
    <x v="6"/>
    <n v="177000"/>
    <x v="0"/>
  </r>
  <r>
    <s v="EOS1526"/>
    <d v="2026-04-03T00:00:00"/>
    <s v="FB"/>
    <s v="Aabid Bhai"/>
    <s v="visanagar"/>
    <s v="Gujarat"/>
    <x v="6"/>
    <n v="177000"/>
    <x v="0"/>
  </r>
  <r>
    <s v="EOS1527"/>
    <d v="2026-04-03T00:00:00"/>
    <s v="FB"/>
    <s v="Chaudhari Dhaval "/>
    <s v="siddhpur"/>
    <s v="Gujarat"/>
    <x v="6"/>
    <n v="177000"/>
    <x v="37"/>
  </r>
  <r>
    <s v="EOS1528"/>
    <d v="2026-04-04T00:00:00"/>
    <s v="FB"/>
    <s v="moghaji thakor "/>
    <s v="Rajkot"/>
    <s v="Gujarat"/>
    <x v="6"/>
    <n v="177000"/>
    <x v="37"/>
  </r>
  <r>
    <s v="EOS1529"/>
    <d v="2026-04-04T00:00:00"/>
    <s v="FB"/>
    <s v="Vihan "/>
    <s v="Kalol "/>
    <s v="Gujarat"/>
    <x v="6"/>
    <n v="177000"/>
    <x v="0"/>
  </r>
  <r>
    <s v="EOS1530"/>
    <d v="2026-04-04T00:00:00"/>
    <s v="FB"/>
    <s v="Aadi "/>
    <s v="Vadodara"/>
    <s v="Gujarat"/>
    <x v="6"/>
    <n v="177000"/>
    <x v="37"/>
  </r>
  <r>
    <s v="EOS1531"/>
    <d v="2026-04-04T00:00:00"/>
    <s v="FB"/>
    <s v="Bharatbhai zaverbhai rohit "/>
    <s v="Gandhidham"/>
    <s v="Gujarat"/>
    <x v="6"/>
    <n v="177000"/>
    <x v="0"/>
  </r>
  <r>
    <s v="EOS1532"/>
    <d v="2026-04-04T00:00:00"/>
    <s v="FB"/>
    <s v="Ranjit Shih Bapu "/>
    <s v="rohtak"/>
    <s v="haryana"/>
    <x v="6"/>
    <n v="177000"/>
    <x v="0"/>
  </r>
  <r>
    <s v="EOS1533"/>
    <d v="2026-04-04T00:00:00"/>
    <s v="FB"/>
    <s v="Kavita Sharma"/>
    <s v="Safidon"/>
    <s v="Haryana"/>
    <x v="6"/>
    <n v="177000"/>
    <x v="0"/>
  </r>
  <r>
    <s v="EOS1534"/>
    <d v="2026-04-04T00:00:00"/>
    <s v="FB"/>
    <s v="Mohit "/>
    <s v="Indore"/>
    <s v="Madhay Pradesh"/>
    <x v="6"/>
    <n v="177000"/>
    <x v="0"/>
  </r>
  <r>
    <s v="EOS1535"/>
    <d v="2026-04-04T00:00:00"/>
    <s v="FB"/>
    <s v="Ankit Pal"/>
    <s v="Indore"/>
    <s v="Madhay Pradesh"/>
    <x v="6"/>
    <n v="177000"/>
    <x v="0"/>
  </r>
  <r>
    <s v="EOS1536"/>
    <d v="2026-04-04T00:00:00"/>
    <s v="FB"/>
    <s v="Shalendra Rathore"/>
    <m/>
    <s v="Gujarat"/>
    <x v="6"/>
    <n v="177000"/>
    <x v="153"/>
  </r>
  <r>
    <s v="EOS1537"/>
    <d v="2026-04-06T00:00:00"/>
    <s v="FB"/>
    <s v="DIVYESH NATHA"/>
    <m/>
    <s v="Gujarat"/>
    <x v="6"/>
    <n v="177000"/>
    <x v="153"/>
  </r>
  <r>
    <s v="EOS1538"/>
    <d v="2026-04-06T00:00:00"/>
    <s v="FB"/>
    <s v="Devesh solanki "/>
    <s v="Wankaner"/>
    <s v="Gujarat"/>
    <x v="6"/>
    <n v="177000"/>
    <x v="199"/>
  </r>
  <r>
    <s v="EOS1539"/>
    <d v="2026-04-06T00:00:00"/>
    <s v="FB"/>
    <s v="Alam bhai "/>
    <s v="Surendranagar"/>
    <s v="Gujarat"/>
    <x v="6"/>
    <n v="177000"/>
    <x v="199"/>
  </r>
  <r>
    <s v="EOS1540"/>
    <d v="2026-04-06T00:00:00"/>
    <s v="FB"/>
    <s v="smit Madhar"/>
    <s v="Ahmedabad"/>
    <s v="Gujarat"/>
    <x v="6"/>
    <n v="177000"/>
    <x v="199"/>
  </r>
  <r>
    <s v="EOS1541"/>
    <d v="2026-04-06T00:00:00"/>
    <s v="FB"/>
    <s v="Parth Borad"/>
    <m/>
    <s v="Gujarat"/>
    <x v="6"/>
    <n v="177000"/>
    <x v="166"/>
  </r>
  <r>
    <s v="EOS1542"/>
    <d v="2026-04-06T00:00:00"/>
    <s v="FB"/>
    <s v="Somnth  Patil"/>
    <s v="Vadodara"/>
    <s v="Gujarat"/>
    <x v="6"/>
    <n v="177000"/>
    <x v="166"/>
  </r>
  <r>
    <s v="EOS1543"/>
    <d v="2026-04-06T00:00:00"/>
    <s v="FB"/>
    <s v="Shishupal Singh Chauhan Jhab"/>
    <s v="Ahmedabad"/>
    <s v="Gujarat"/>
    <x v="6"/>
    <n v="177000"/>
    <x v="166"/>
  </r>
  <r>
    <s v="EOS1544"/>
    <d v="2026-04-06T00:00:00"/>
    <s v="FB"/>
    <s v="Sanny S Patel"/>
    <s v="Khambhalia"/>
    <s v="Gujarat"/>
    <x v="6"/>
    <n v="177000"/>
    <x v="166"/>
  </r>
  <r>
    <s v="EOS1545"/>
    <d v="2026-04-06T00:00:00"/>
    <s v="FB"/>
    <s v="Divyesh Modi"/>
    <s v="Bilkha"/>
    <s v="Gujarat"/>
    <x v="6"/>
    <n v="177000"/>
    <x v="166"/>
  </r>
  <r>
    <s v="EOS1546"/>
    <d v="2026-04-06T00:00:00"/>
    <s v="FB"/>
    <s v="Wishal Virani"/>
    <s v="Ahmedabad"/>
    <s v="Gujarat"/>
    <x v="6"/>
    <n v="177000"/>
    <x v="166"/>
  </r>
  <r>
    <s v="EOS1547"/>
    <d v="2026-04-06T00:00:00"/>
    <s v="FB"/>
    <s v="Anand Bhatt Ahmedabad"/>
    <s v="RANAVAV"/>
    <s v="Gujarat"/>
    <x v="6"/>
    <n v="177000"/>
    <x v="166"/>
  </r>
  <r>
    <s v="EOS1548"/>
    <d v="2026-04-06T00:00:00"/>
    <s v="FB"/>
    <s v="dashrathsinh Makwana"/>
    <s v="Derdi khumbhajii"/>
    <s v="Gujarat"/>
    <x v="6"/>
    <n v="177000"/>
    <x v="166"/>
  </r>
  <r>
    <s v="EOS1549"/>
    <d v="2026-04-06T00:00:00"/>
    <s v="FB"/>
    <s v="Bhaumik"/>
    <s v="Bhabhar"/>
    <s v="Gujarat"/>
    <x v="6"/>
    <n v="177000"/>
    <x v="166"/>
  </r>
  <r>
    <s v="EOS1550"/>
    <d v="2026-04-06T00:00:00"/>
    <s v="FB"/>
    <s v="M R Chaudhary"/>
    <s v="Kapadawanj"/>
    <s v="Gujarat"/>
    <x v="6"/>
    <n v="177000"/>
    <x v="166"/>
  </r>
  <r>
    <s v="EOS1551"/>
    <d v="2026-04-07T00:00:00"/>
    <s v="FB"/>
    <s v="Ayan Saiyad"/>
    <s v="Ghazipur"/>
    <s v="Uttar Pradesh"/>
    <x v="6"/>
    <n v="177000"/>
    <x v="166"/>
  </r>
  <r>
    <s v="EOS1552"/>
    <d v="2026-04-07T00:00:00"/>
    <s v="FB"/>
    <s v="Sushil Kumar Gupta"/>
    <s v="Ballia"/>
    <s v="Uttar Pradesh"/>
    <x v="6"/>
    <n v="177000"/>
    <x v="0"/>
  </r>
  <r>
    <s v="EOS1553"/>
    <d v="2026-04-07T00:00:00"/>
    <s v="FB"/>
    <s v="Amit Prajapati"/>
    <s v="Khambhalia"/>
    <s v="Gujarat"/>
    <x v="6"/>
    <n v="177000"/>
    <x v="166"/>
  </r>
  <r>
    <s v="EOS1554"/>
    <d v="2026-04-07T00:00:00"/>
    <s v="FB"/>
    <s v="Divyesh Modi"/>
    <s v="Bilkha"/>
    <s v="Gujarat"/>
    <x v="6"/>
    <n v="177000"/>
    <x v="166"/>
  </r>
  <r>
    <s v="EOS1555"/>
    <d v="2026-04-08T00:00:00"/>
    <s v="FB"/>
    <s v="Wishal Virani"/>
    <s v="Ahmedabad"/>
    <s v="Gujarat"/>
    <x v="6"/>
    <n v="177000"/>
    <x v="166"/>
  </r>
  <r>
    <s v="EOS1556"/>
    <d v="2026-04-08T00:00:00"/>
    <s v="FB"/>
    <s v="Anand Bhatt Ahmedabad"/>
    <s v="RANAVAV"/>
    <s v="Gujarat"/>
    <x v="6"/>
    <n v="177000"/>
    <x v="166"/>
  </r>
  <r>
    <s v="EOS1557"/>
    <d v="2026-04-08T00:00:00"/>
    <s v="FB"/>
    <s v="dashrathsinh Makwana"/>
    <s v="Derdi khumbhajii"/>
    <s v="Gujarat"/>
    <x v="6"/>
    <n v="177000"/>
    <x v="166"/>
  </r>
  <r>
    <s v="EOS1558"/>
    <d v="2026-04-08T00:00:00"/>
    <s v="FB"/>
    <s v="Bhaumik"/>
    <s v="Bhabhar"/>
    <s v="Gujarat"/>
    <x v="6"/>
    <n v="177000"/>
    <x v="166"/>
  </r>
  <r>
    <s v="EOS1559"/>
    <d v="2026-04-09T00:00:00"/>
    <s v="FB"/>
    <s v="M R Chaudhary"/>
    <s v="Kapadawanj"/>
    <s v="Gujarat"/>
    <x v="6"/>
    <n v="177000"/>
    <x v="166"/>
  </r>
  <r>
    <s v="EOS1560"/>
    <d v="2026-04-10T00:00:00"/>
    <s v="FB"/>
    <s v="Ayan Saiyad"/>
    <s v="Ghazipur"/>
    <s v="Uttar Pradesh"/>
    <x v="6"/>
    <n v="177000"/>
    <x v="166"/>
  </r>
  <r>
    <s v="EOS1561"/>
    <d v="2026-04-10T00:00:00"/>
    <s v="FB"/>
    <s v="Sushil Kumar Gupta"/>
    <s v="Ballia"/>
    <s v="Uttar Pradesh"/>
    <x v="6"/>
    <n v="177000"/>
    <x v="0"/>
  </r>
  <r>
    <s v="EOS1562"/>
    <d v="2026-04-10T00:00:00"/>
    <s v="FB"/>
    <s v="Amit Prajapati"/>
    <s v="Nadiad"/>
    <s v="Gujarat"/>
    <x v="6"/>
    <n v="177000"/>
    <x v="166"/>
  </r>
  <r>
    <s v="EOS1563"/>
    <d v="2026-04-10T00:00:00"/>
    <s v="FB"/>
    <s v="Arpan Kansara"/>
    <s v="Ahmedabad"/>
    <s v="Gujarat"/>
    <x v="6"/>
    <n v="177000"/>
    <x v="166"/>
  </r>
  <r>
    <s v="EOS1564"/>
    <d v="2026-04-10T00:00:00"/>
    <s v="FB"/>
    <s v="Gupta Akhilesh"/>
    <s v="Ahmedabad"/>
    <s v="Gujarat"/>
    <x v="6"/>
    <n v="177000"/>
    <x v="166"/>
  </r>
  <r>
    <s v="EOS1565"/>
    <d v="2026-04-10T00:00:00"/>
    <s v="FB"/>
    <s v="Ammar saiyed"/>
    <s v="NA"/>
    <s v="Gujarat"/>
    <x v="6"/>
    <n v="177000"/>
    <x v="166"/>
  </r>
  <r>
    <s v="EOS1566"/>
    <d v="2026-04-11T00:00:00"/>
    <s v="FB"/>
    <s v="Ankit Patel"/>
    <s v="Upleta"/>
    <s v="Gujarat"/>
    <x v="6"/>
    <n v="177000"/>
    <x v="166"/>
  </r>
  <r>
    <s v="EOS1567"/>
    <d v="2026-04-11T00:00:00"/>
    <s v="FB"/>
    <s v="Haresh Ahir"/>
    <s v="Kim"/>
    <s v="Gujarat"/>
    <x v="6"/>
    <n v="177000"/>
    <x v="166"/>
  </r>
  <r>
    <s v="EOS1568"/>
    <d v="2026-04-13T00:00:00"/>
    <s v="FB"/>
    <s v="Musef"/>
    <s v="Mathura"/>
    <s v="Uttar Pradesh"/>
    <x v="6"/>
    <n v="177000"/>
    <x v="166"/>
  </r>
  <r>
    <s v="EOS1569"/>
    <d v="2026-04-13T00:00:00"/>
    <s v="FB"/>
    <s v="Pankaj Saraswat"/>
    <s v="NA"/>
    <s v="Gujarat"/>
    <x v="6"/>
    <n v="177000"/>
    <x v="166"/>
  </r>
  <r>
    <s v="EOS1570"/>
    <d v="2026-04-13T00:00:00"/>
    <s v="FB"/>
    <s v="haresh"/>
    <s v="Berhampur"/>
    <s v="Odisha"/>
    <x v="6"/>
    <n v="177000"/>
    <x v="0"/>
  </r>
  <r>
    <s v="EOS1571"/>
    <d v="2026-04-13T00:00:00"/>
    <s v="FB"/>
    <s v="Number@18"/>
    <s v="Ahmedabad"/>
    <s v="Gujarat"/>
    <x v="6"/>
    <n v="177000"/>
    <x v="166"/>
  </r>
  <r>
    <s v="EOS1572"/>
    <d v="2026-04-13T00:00:00"/>
    <s v="FB"/>
    <s v="Pankaj mevada"/>
    <s v="BODELI"/>
    <s v="Gujarat"/>
    <x v="6"/>
    <n v="177000"/>
    <x v="166"/>
  </r>
  <r>
    <s v="EOS1573"/>
    <d v="2026-04-13T00:00:00"/>
    <s v="FB"/>
    <s v="Jaya A Rathva"/>
    <s v="Gorakhpur"/>
    <s v="Uttar Pradesh"/>
    <x v="6"/>
    <n v="177000"/>
    <x v="166"/>
  </r>
  <r>
    <s v="EOS1574"/>
    <d v="2026-04-13T00:00:00"/>
    <s v="FB"/>
    <s v="piyush"/>
    <s v="Kaptanganj kushinagar"/>
    <s v="Uttar Pradesh"/>
    <x v="6"/>
    <n v="177000"/>
    <x v="166"/>
  </r>
  <r>
    <s v="EOS1575"/>
    <d v="2026-04-13T00:00:00"/>
    <s v="FB"/>
    <s v="Abhishek Shukla"/>
    <s v="NA"/>
    <s v="Gujarat"/>
    <x v="6"/>
    <n v="177000"/>
    <x v="166"/>
  </r>
  <r>
    <s v="EOS1576"/>
    <d v="2026-04-14T00:00:00"/>
    <s v="FB"/>
    <s v="Jabbar"/>
    <s v="NA"/>
    <s v="Gujarat"/>
    <x v="6"/>
    <n v="177000"/>
    <x v="166"/>
  </r>
  <r>
    <s v="EOS1577"/>
    <d v="2026-04-14T00:00:00"/>
    <s v="FB"/>
    <s v="Neha"/>
    <s v="Ahmedabad"/>
    <s v="Gujarat"/>
    <x v="6"/>
    <n v="177000"/>
    <x v="166"/>
  </r>
  <r>
    <s v="EOS1578"/>
    <d v="2026-04-14T00:00:00"/>
    <s v="FB"/>
    <s v="Radhe Radhe"/>
    <s v="Jam Khmbhaliya Pin : no. 361306"/>
    <s v="Gujarat"/>
    <x v="6"/>
    <n v="177000"/>
    <x v="166"/>
  </r>
  <r>
    <s v="EOS1579"/>
    <d v="2026-04-14T00:00:00"/>
    <s v="FB"/>
    <s v="Vishal Ahir"/>
    <s v="Ahmedabad"/>
    <s v="Gujarat"/>
    <x v="6"/>
    <n v="177000"/>
    <x v="166"/>
  </r>
  <r>
    <s v="EOS1580"/>
    <d v="2026-04-14T00:00:00"/>
    <s v="FB"/>
    <s v="Kapila Kapu"/>
    <s v="Surat"/>
    <s v="Gujarat"/>
    <x v="6"/>
    <n v="177000"/>
    <x v="166"/>
  </r>
  <r>
    <s v="EOS1581"/>
    <d v="2026-04-15T00:00:00"/>
    <s v="FB"/>
    <s v="hadiyabharatbhai"/>
    <s v="Ahmedabad"/>
    <s v="Gujarat"/>
    <x v="6"/>
    <n v="177000"/>
    <x v="166"/>
  </r>
  <r>
    <s v="EOS1582"/>
    <d v="2026-04-15T00:00:00"/>
    <s v="FB"/>
    <s v="Patel Vishal"/>
    <s v="Palitana"/>
    <s v="Gujarat"/>
    <x v="6"/>
    <n v="177000"/>
    <x v="166"/>
  </r>
  <r>
    <s v="EOS1583"/>
    <d v="2026-04-15T00:00:00"/>
    <s v="FB"/>
    <s v="Sameer Bilakhiya"/>
    <s v="Anand"/>
    <s v="Gujarat"/>
    <x v="6"/>
    <n v="177000"/>
    <x v="166"/>
  </r>
  <r>
    <s v="EOS1584"/>
    <d v="2026-04-15T00:00:00"/>
    <s v="FB"/>
    <s v="Rahul Chauhan"/>
    <s v="Moti chanol"/>
    <s v="Gujarat"/>
    <x v="6"/>
    <n v="177000"/>
    <x v="166"/>
  </r>
  <r>
    <s v="EOS1585"/>
    <d v="2026-04-15T00:00:00"/>
    <s v="FB"/>
    <s v="?????????????????? ????????????"/>
    <s v="kalol"/>
    <s v="Gujarat"/>
    <x v="6"/>
    <n v="177000"/>
    <x v="166"/>
  </r>
  <r>
    <s v="EOS1586"/>
    <d v="2026-04-15T00:00:00"/>
    <s v="FB"/>
    <s v="Patel Nikunj A"/>
    <s v="Vadodara"/>
    <s v="Gujarat"/>
    <x v="6"/>
    <n v="177000"/>
    <x v="166"/>
  </r>
  <r>
    <s v="EOS1587"/>
    <d v="2026-04-15T00:00:00"/>
    <s v="FB"/>
    <s v="Pranesh"/>
    <s v="Sirat"/>
    <s v="Gujarat"/>
    <x v="6"/>
    <n v="177000"/>
    <x v="166"/>
  </r>
  <r>
    <s v="EOS1588"/>
    <d v="2026-04-15T00:00:00"/>
    <s v="FB"/>
    <s v="Deny Virani"/>
    <s v="Una"/>
    <s v="Gujarat"/>
    <x v="6"/>
    <n v="177000"/>
    <x v="166"/>
  </r>
  <r>
    <s v="EOS1589"/>
    <d v="2026-04-16T00:00:00"/>
    <s v="FB"/>
    <s v="Divyesh Rabari"/>
    <s v="Wankaner"/>
    <s v="Gujarat"/>
    <x v="6"/>
    <n v="177000"/>
    <x v="166"/>
  </r>
  <r>
    <s v="EOS1590"/>
    <d v="2026-04-16T00:00:00"/>
    <s v="FB"/>
    <s v="Shubh_724"/>
    <s v="Porbandar"/>
    <s v="Gujarat"/>
    <x v="6"/>
    <n v="177000"/>
    <x v="166"/>
  </r>
  <r>
    <s v="EOS1591"/>
    <d v="2026-04-16T00:00:00"/>
    <s v="FB"/>
    <s v="Mr_Milan_Bapodara"/>
    <s v="Mangrol"/>
    <s v="Gujarat"/>
    <x v="6"/>
    <n v="177000"/>
    <x v="166"/>
  </r>
  <r>
    <s v="EOS1592"/>
    <d v="2026-04-18T00:00:00"/>
    <s v="FB"/>
    <s v="Vijay Muchhal"/>
    <s v="Ahmedabad"/>
    <s v="Gujarat"/>
    <x v="6"/>
    <n v="177000"/>
    <x v="166"/>
  </r>
  <r>
    <s v="EOS1593"/>
    <d v="2026-04-18T00:00:00"/>
    <s v="FB"/>
    <s v="Arvind Patel"/>
    <s v="Ahmedabad"/>
    <s v="Gujarat"/>
    <x v="6"/>
    <n v="177000"/>
    <x v="166"/>
  </r>
  <r>
    <s v="EOS1594"/>
    <d v="2026-04-18T00:00:00"/>
    <s v="FB"/>
    <s v="arvnd borana"/>
    <s v="Surat"/>
    <s v="Gujarat"/>
    <x v="6"/>
    <n v="177000"/>
    <x v="166"/>
  </r>
  <r>
    <s v="EOS1595"/>
    <d v="2026-04-18T00:00:00"/>
    <s v="FB"/>
    <s v="J.k. Kamani"/>
    <s v="Bhavngar"/>
    <s v="Gujarat"/>
    <x v="6"/>
    <n v="177000"/>
    <x v="166"/>
  </r>
  <r>
    <s v="EOS1596"/>
    <d v="2026-04-18T00:00:00"/>
    <s v="FB"/>
    <s v="Ajitsinh Bhandari 1885"/>
    <s v="Vijapur"/>
    <s v="Gujarat"/>
    <x v="6"/>
    <n v="177000"/>
    <x v="166"/>
  </r>
  <r>
    <s v="EOS1597"/>
    <d v="2026-04-20T00:00:00"/>
    <s v="FB"/>
    <s v="Shailesh Patel"/>
    <s v="Rajkot"/>
    <s v="Gujarat"/>
    <x v="6"/>
    <n v="177000"/>
    <x v="166"/>
  </r>
  <r>
    <s v="EOS1598"/>
    <d v="2026-04-20T00:00:00"/>
    <s v="FB"/>
    <s v="Hala Faizal Firozbhai"/>
    <s v="Rajko"/>
    <s v="Gujarat"/>
    <x v="6"/>
    <n v="177000"/>
    <x v="166"/>
  </r>
  <r>
    <s v="EOS1599"/>
    <d v="2026-04-20T00:00:00"/>
    <s v="FB"/>
    <s v="Parth"/>
    <s v="Jam khambhaliya"/>
    <s v="Gujarat"/>
    <x v="6"/>
    <n v="177000"/>
    <x v="166"/>
  </r>
  <r>
    <s v="EOS1600"/>
    <d v="2026-04-20T00:00:00"/>
    <s v="FB"/>
    <s v="mahadev siva"/>
    <s v="Anand"/>
    <s v="Gujarat"/>
    <x v="6"/>
    <n v="177000"/>
    <x v="166"/>
  </r>
  <r>
    <s v="EOS1601"/>
    <d v="2026-04-20T00:00:00"/>
    <s v="FB"/>
    <s v="prakash"/>
    <s v="Nadiad"/>
    <s v="Gujarat"/>
    <x v="6"/>
    <n v="177000"/>
    <x v="166"/>
  </r>
  <r>
    <s v="EOS1602"/>
    <d v="2026-04-20T00:00:00"/>
    <s v="FB"/>
    <s v="Anantsinh Rana"/>
    <s v="Ahmedabad"/>
    <s v="Gujarat"/>
    <x v="6"/>
    <n v="177000"/>
    <x v="166"/>
  </r>
  <r>
    <s v="EOS1603"/>
    <d v="2026-04-20T00:00:00"/>
    <s v="FB"/>
    <s v="??????????"/>
    <s v="Halol"/>
    <s v="Gujarat"/>
    <x v="6"/>
    <n v="177000"/>
    <x v="166"/>
  </r>
  <r>
    <s v="EOS1604"/>
    <d v="2026-04-20T00:00:00"/>
    <s v="FB"/>
    <s v="JAIMINSINH BARIA"/>
    <s v="Junagadh"/>
    <s v="Gujarat"/>
    <x v="6"/>
    <n v="177000"/>
    <x v="166"/>
  </r>
  <r>
    <s v="EOS1605"/>
    <d v="2026-04-20T00:00:00"/>
    <s v="FB"/>
    <s v="Nilesh Mevcha"/>
    <s v="Jasdan"/>
    <s v="Gujarat"/>
    <x v="6"/>
    <n v="177000"/>
    <x v="166"/>
  </r>
  <r>
    <s v="EOS1606"/>
    <d v="2026-04-21T00:00:00"/>
    <s v="FB"/>
    <s v="MAYUR GOHIL"/>
    <s v="Mahisagar"/>
    <s v="Gujarat"/>
    <x v="6"/>
    <n v="177000"/>
    <x v="166"/>
  </r>
  <r>
    <s v="EOS1607"/>
    <d v="2026-04-21T00:00:00"/>
    <s v="FB"/>
    <s v="CHAUHAN VISHALSINH PRAVINSINH"/>
    <s v="Dhar"/>
    <s v="Madhay Pradesh"/>
    <x v="6"/>
    <n v="177000"/>
    <x v="0"/>
  </r>
  <r>
    <s v="EOS1608"/>
    <d v="2026-04-21T00:00:00"/>
    <s v="FB"/>
    <s v="Rajiv rane"/>
    <s v="Bhavnagar"/>
    <s v="Gujarat"/>
    <x v="6"/>
    <n v="177000"/>
    <x v="166"/>
  </r>
  <r>
    <s v="EOS1609"/>
    <d v="2026-04-21T00:00:00"/>
    <s v="FB"/>
    <s v="Afcone Speakers"/>
    <s v="Sirat"/>
    <s v="Gujarat"/>
    <x v="6"/>
    <n v="177000"/>
    <x v="166"/>
  </r>
  <r>
    <s v="EOS1610"/>
    <d v="2026-04-23T00:00:00"/>
    <s v="FB"/>
    <s v="Hiren  kaladiya"/>
    <s v="Ahmedabad"/>
    <s v="Gujarat"/>
    <x v="6"/>
    <n v="177000"/>
    <x v="166"/>
  </r>
  <r>
    <s v="EOS1611"/>
    <d v="2026-04-23T00:00:00"/>
    <s v="FB"/>
    <s v="Mukesh Singhal"/>
    <s v="Ahmedabad"/>
    <s v="Gujarat"/>
    <x v="6"/>
    <n v="177000"/>
    <x v="166"/>
  </r>
  <r>
    <s v="EOS1612"/>
    <d v="2026-04-23T00:00:00"/>
    <s v="FB"/>
    <s v="Harsh Sharma"/>
    <s v="Silvassa"/>
    <s v="Gujarat"/>
    <x v="6"/>
    <n v="177000"/>
    <x v="166"/>
  </r>
  <r>
    <s v="EOS1613"/>
    <d v="2026-04-23T00:00:00"/>
    <s v="FB"/>
    <s v="Raje Patil"/>
    <s v="Dahod"/>
    <s v="Gujarat"/>
    <x v="6"/>
    <n v="177000"/>
    <x v="166"/>
  </r>
  <r>
    <s v="EOS1614"/>
    <d v="2026-04-24T00:00:00"/>
    <s v="FB"/>
    <s v="Kamlesh Varelani"/>
    <s v="Talaja"/>
    <s v="Gujarat"/>
    <x v="6"/>
    <n v="177000"/>
    <x v="166"/>
  </r>
  <r>
    <s v="EOS1615"/>
    <d v="2026-04-24T00:00:00"/>
    <s v="FB"/>
    <s v="ASHARAF_NAGARIYA"/>
    <s v="Chhatarpur"/>
    <s v="Madhay Pradesh"/>
    <x v="6"/>
    <n v="177000"/>
    <x v="0"/>
  </r>
  <r>
    <s v="EOS1616"/>
    <d v="2026-04-24T00:00:00"/>
    <s v="FB"/>
    <s v="Shashank Shrivastava"/>
    <s v="Gwalior"/>
    <s v="Madhay Pradesh"/>
    <x v="6"/>
    <n v="177000"/>
    <x v="0"/>
  </r>
  <r>
    <s v="EOS1617"/>
    <d v="2026-04-24T00:00:00"/>
    <s v="FB"/>
    <s v="jagroop Singh Baghel"/>
    <s v="Wankaner"/>
    <s v="Gujarat"/>
    <x v="6"/>
    <n v="177000"/>
    <x v="166"/>
  </r>
  <r>
    <s v="EOS1618"/>
    <d v="2026-04-24T00:00:00"/>
    <s v="FB"/>
    <s v="Alam bhai"/>
    <s v="Surendranagar"/>
    <s v="Gujarat"/>
    <x v="6"/>
    <n v="177000"/>
    <x v="166"/>
  </r>
  <r>
    <s v="EOS1619"/>
    <d v="2026-04-24T00:00:00"/>
    <s v="FB"/>
    <s v="__SUMBHA_1204__"/>
    <s v="Ahmedabad"/>
    <s v="Gujarat"/>
    <x v="6"/>
    <n v="177000"/>
    <x v="166"/>
  </r>
  <r>
    <s v="EOS1620"/>
    <d v="2026-04-25T00:00:00"/>
    <s v="FB"/>
    <s v="Parth Borad"/>
    <s v="Surat"/>
    <s v="Gujarat"/>
    <x v="6"/>
    <n v="177000"/>
    <x v="166"/>
  </r>
  <r>
    <s v="EOS1621"/>
    <d v="2026-04-25T00:00:00"/>
    <s v="FB"/>
    <s v="Darshan Rupareliya"/>
    <s v="Ahmedabad"/>
    <s v="Gujarat"/>
    <x v="6"/>
    <n v="177000"/>
    <x v="166"/>
  </r>
  <r>
    <s v="EOS1622"/>
    <d v="2026-04-25T00:00:00"/>
    <s v="FB"/>
    <s v="Shahid"/>
    <s v="Vadodara"/>
    <s v="Gujarat"/>
    <x v="6"/>
    <n v="177000"/>
    <x v="166"/>
  </r>
  <r>
    <s v="EOS1623"/>
    <d v="2026-04-25T00:00:00"/>
    <s v="FB"/>
    <s v="Rahul Gohil"/>
    <s v="Rajko"/>
    <s v="Gujarat"/>
    <x v="6"/>
    <n v="177000"/>
    <x v="166"/>
  </r>
  <r>
    <s v="EOS1624"/>
    <d v="2026-04-25T00:00:00"/>
    <s v="FB"/>
    <s v="K A R A N"/>
    <s v="Abad"/>
    <s v="Gujarat"/>
    <x v="6"/>
    <n v="177000"/>
    <x v="166"/>
  </r>
  <r>
    <s v="EOS1625"/>
    <d v="2026-04-25T00:00:00"/>
    <s v="FB"/>
    <s v="Bhavin"/>
    <s v="Visnagar"/>
    <s v="Gujarat"/>
    <x v="6"/>
    <n v="177000"/>
    <x v="166"/>
  </r>
  <r>
    <s v="EOS1626"/>
    <d v="2026-04-25T00:00:00"/>
    <s v="FB"/>
    <s v="Kuldip Rajput"/>
    <s v="Rajkot"/>
    <s v="Gujarat"/>
    <x v="6"/>
    <n v="177000"/>
    <x v="166"/>
  </r>
  <r>
    <s v="EOS1627"/>
    <d v="2026-04-25T00:00:00"/>
    <s v="FB"/>
    <s v="Anil Maiyad"/>
    <s v="Vadodara"/>
    <s v="Gujarat"/>
    <x v="6"/>
    <n v="177000"/>
    <x v="166"/>
  </r>
  <r>
    <s v="EOS1628"/>
    <d v="2026-04-25T00:00:00"/>
    <s v="FB"/>
    <s v="Hardik patanvadiya"/>
    <s v="Palanpur"/>
    <s v="Gujarat"/>
    <x v="6"/>
    <n v="177000"/>
    <x v="166"/>
  </r>
  <r>
    <s v="EOS1629"/>
    <d v="2026-04-25T00:00:00"/>
    <s v="FB"/>
    <s v="Khama Khan Khama"/>
    <s v="NA"/>
    <s v="Gujarat"/>
    <x v="6"/>
    <n v="177000"/>
    <x v="166"/>
  </r>
  <r>
    <s v="EOS1630"/>
    <d v="2026-04-25T00:00:00"/>
    <s v="FB"/>
    <s v="Solanki bhavesh"/>
    <s v="Junagadh"/>
    <s v="Gujarat"/>
    <x v="6"/>
    <n v="177000"/>
    <x v="166"/>
  </r>
  <r>
    <s v="EOS1631"/>
    <d v="2026-04-25T00:00:00"/>
    <s v="FB"/>
    <s v="Dk Brand Hub"/>
    <s v="Surat"/>
    <s v="Gujarat"/>
    <x v="6"/>
    <n v="177000"/>
    <x v="166"/>
  </r>
  <r>
    <s v="EOS1632"/>
    <d v="2026-04-25T00:00:00"/>
    <s v="FB"/>
    <s v="Lalit Shekhada"/>
    <s v="Vadodara"/>
    <s v="Gujarat"/>
    <x v="6"/>
    <n v="177000"/>
    <x v="166"/>
  </r>
  <r>
    <s v="EOS1633"/>
    <d v="2026-04-25T00:00:00"/>
    <s v="FB"/>
    <s v="Fan_of_G????????????????????????"/>
    <s v="??????"/>
    <s v="Gujarat"/>
    <x v="6"/>
    <n v="177000"/>
    <x v="166"/>
  </r>
  <r>
    <s v="EOS1634"/>
    <d v="2026-04-25T00:00:00"/>
    <s v="FB"/>
    <s v="Pranav Katara"/>
    <s v="Surat"/>
    <s v="Gujarat"/>
    <x v="6"/>
    <n v="177000"/>
    <x v="166"/>
  </r>
  <r>
    <s v="EOS1635"/>
    <d v="2026-04-25T00:00:00"/>
    <s v="FB"/>
    <s v="Dhruv"/>
    <s v="Surat"/>
    <s v="Gujarat"/>
    <x v="6"/>
    <n v="177000"/>
    <x v="166"/>
  </r>
  <r>
    <s v="EOS1636"/>
    <d v="2026-04-25T00:00:00"/>
    <s v="FB"/>
    <s v="Ashwin Kalsariya"/>
    <m/>
    <s v="Gujarat"/>
    <x v="6"/>
    <n v="177000"/>
    <x v="0"/>
  </r>
  <r>
    <s v="EOS1637"/>
    <d v="2026-05-04T00:00:00"/>
    <s v="M"/>
    <s v="sibin josh"/>
    <s v="Ahmedabad"/>
    <s v="Gujarat"/>
    <x v="6"/>
    <n v="177000"/>
    <x v="0"/>
  </r>
  <r>
    <s v="EOS1638"/>
    <d v="2026-05-04T00:00:00"/>
    <s v="FB"/>
    <s v="NA"/>
    <s v="Valsad"/>
    <s v="Gujarat"/>
    <x v="6"/>
    <n v="177000"/>
    <x v="50"/>
  </r>
  <r>
    <s v="EOS1639"/>
    <d v="2026-05-04T00:00:00"/>
    <s v="FB"/>
    <s v="Chintu "/>
    <s v="Rajkot"/>
    <s v="Gujarat"/>
    <x v="6"/>
    <n v="177000"/>
    <x v="0"/>
  </r>
  <r>
    <s v="EOS1640"/>
    <d v="2026-05-04T00:00:00"/>
    <s v="FB"/>
    <s v="Imran "/>
    <s v="Baroda"/>
    <s v="Gujarat"/>
    <x v="6"/>
    <n v="177000"/>
    <x v="50"/>
  </r>
  <r>
    <s v="EOS1641"/>
    <d v="2026-05-04T00:00:00"/>
    <s v="FB"/>
    <s v="Shivam Bhil"/>
    <s v="Gandhinagar"/>
    <s v="Gujarat"/>
    <x v="6"/>
    <n v="177000"/>
    <x v="0"/>
  </r>
  <r>
    <s v="EOS1642"/>
    <d v="2026-05-04T00:00:00"/>
    <s v="FB"/>
    <s v="Parik Hapur"/>
    <s v="Anand"/>
    <s v="Gujarat"/>
    <x v="6"/>
    <n v="177000"/>
    <x v="0"/>
  </r>
  <r>
    <s v="EOS1643"/>
    <d v="2026-05-04T00:00:00"/>
    <s v="FB"/>
    <s v="Hardik Patel "/>
    <s v="Mahisagar  "/>
    <s v="Gujarat"/>
    <x v="6"/>
    <n v="177000"/>
    <x v="37"/>
  </r>
  <r>
    <s v="EOS1644"/>
    <d v="2026-05-04T00:00:00"/>
    <s v="FB"/>
    <s v="Nikhil Dabga "/>
    <s v="Mehsana"/>
    <s v="Gujarat"/>
    <x v="6"/>
    <n v="107000"/>
    <x v="0"/>
  </r>
  <r>
    <s v="EOS1645"/>
    <d v="2026-05-04T00:00:00"/>
    <s v="FB"/>
    <s v="Rajput Jitendra"/>
    <s v="Surat"/>
    <s v="Gujarat"/>
    <x v="6"/>
    <n v="177000"/>
    <x v="0"/>
  </r>
  <r>
    <s v="EOS1646"/>
    <d v="2026-05-04T00:00:00"/>
    <s v="FB"/>
    <s v="Pradeep Agrawal "/>
    <s v="Savarkundla"/>
    <s v="Gujarat"/>
    <x v="6"/>
    <n v="177000"/>
    <x v="0"/>
  </r>
  <r>
    <s v="EOS1647"/>
    <d v="2026-05-04T00:00:00"/>
    <s v="FB"/>
    <s v="majithiya jignesh "/>
    <s v="jamnagar"/>
    <s v="Gujarat"/>
    <x v="6"/>
    <n v="177000"/>
    <x v="37"/>
  </r>
  <r>
    <s v="EOS1648"/>
    <d v="2026-05-04T00:00:00"/>
    <s v="FB"/>
    <s v="Rohit Nakum"/>
    <s v="Bharuch"/>
    <s v="Gujarat"/>
    <x v="6"/>
    <n v="177000"/>
    <x v="37"/>
  </r>
  <r>
    <s v="EOS1649"/>
    <d v="2026-05-04T00:00:00"/>
    <s v="FB"/>
    <s v="Yash Rana"/>
    <s v="Jodiya"/>
    <s v="Gujarat"/>
    <x v="6"/>
    <n v="177000"/>
    <x v="50"/>
  </r>
  <r>
    <s v="EOS1650"/>
    <d v="2026-05-05T00:00:00"/>
    <s v="FB"/>
    <s v="Parmar Parmar"/>
    <s v="surat"/>
    <s v="Gujarat"/>
    <x v="6"/>
    <n v="177000"/>
    <x v="37"/>
  </r>
  <r>
    <s v="EOS1651"/>
    <d v="2026-05-05T00:00:00"/>
    <s v="FB"/>
    <s v="Jaykishan"/>
    <s v="Khambhalia"/>
    <s v="Gujarat"/>
    <x v="6"/>
    <n v="177000"/>
    <x v="0"/>
  </r>
  <r>
    <s v="EOS1652"/>
    <d v="2026-05-05T00:00:00"/>
    <s v="FB"/>
    <s v="Chauhan Anvar"/>
    <s v="junagadh"/>
    <s v="Gujarat"/>
    <x v="6"/>
    <n v="177000"/>
    <x v="37"/>
  </r>
  <r>
    <s v="EOS1653"/>
    <d v="2026-05-05T00:00:00"/>
    <s v="FB"/>
    <s v="bhavesh bhanshal"/>
    <s v="Bhavnagar"/>
    <s v="Gujarat"/>
    <x v="6"/>
    <n v="177000"/>
    <x v="0"/>
  </r>
  <r>
    <s v="EOS1654"/>
    <d v="2026-05-05T00:00:00"/>
    <s v="FB"/>
    <s v="Jay Raval"/>
    <s v="Latur"/>
    <s v="Maharashtra"/>
    <x v="6"/>
    <n v="177000"/>
    <x v="0"/>
  </r>
  <r>
    <s v="EOS1655"/>
    <d v="2026-05-05T00:00:00"/>
    <s v="FB"/>
    <s v="Balaji chate"/>
    <s v="Latur"/>
    <s v="Maharashtra"/>
    <x v="6"/>
    <n v="177000"/>
    <x v="0"/>
  </r>
  <r>
    <s v="EOS1656"/>
    <d v="2026-05-05T00:00:00"/>
    <s v="FB"/>
    <s v="jayendra gavit"/>
    <s v="Chandrpur"/>
    <s v="Maharashtra"/>
    <x v="6"/>
    <n v="177000"/>
    <x v="37"/>
  </r>
  <r>
    <s v="EOS1657"/>
    <d v="2026-05-05T00:00:00"/>
    <s v="FB"/>
    <s v="pintu chavhan"/>
    <s v="Rajkot"/>
    <s v="Gujarat"/>
    <x v="6"/>
    <n v="177000"/>
    <x v="37"/>
  </r>
  <r>
    <s v="EOS1658"/>
    <d v="2026-05-06T00:00:00"/>
    <s v="FB"/>
    <s v="Sandy Parmar"/>
    <s v="Surat"/>
    <s v="Gujarat"/>
    <x v="6"/>
    <n v="177000"/>
    <x v="0"/>
  </r>
  <r>
    <s v="EOS1659"/>
    <d v="2026-05-06T00:00:00"/>
    <s v="FB"/>
    <s v="Nilesh Pareshbhai paghadal"/>
    <s v="Vadodara "/>
    <s v="Gujarat"/>
    <x v="6"/>
    <n v="177000"/>
    <x v="37"/>
  </r>
  <r>
    <s v="EOS1660"/>
    <d v="2026-05-06T00:00:00"/>
    <s v="FB"/>
    <s v="Sahil Mansuri "/>
    <s v="Dhanera"/>
    <s v="Gujarat"/>
    <x v="6"/>
    <n v="177000"/>
    <x v="0"/>
  </r>
  <r>
    <s v="EOS1661"/>
    <d v="2026-05-06T00:00:00"/>
    <s v="FB"/>
    <s v="Vinod Chaudhary_"/>
    <s v="Ahmedabad"/>
    <s v="Gujarat"/>
    <x v="6"/>
    <n v="177000"/>
    <x v="37"/>
  </r>
  <r>
    <s v="EOS1662"/>
    <d v="2026-05-06T00:00:00"/>
    <s v="FB"/>
    <s v="Parth Borad"/>
    <s v="Porbandra "/>
    <s v="Gujarat"/>
    <x v="6"/>
    <n v="177000"/>
    <x v="37"/>
  </r>
  <r>
    <s v="EOS1663"/>
    <d v="2026-05-06T00:00:00"/>
    <s v="FB"/>
    <s v="DIVYESH NATHA"/>
    <s v="Bharuch"/>
    <s v="Gujarat"/>
    <x v="6"/>
    <n v="177000"/>
    <x v="37"/>
  </r>
  <r>
    <s v="EOS1664"/>
    <d v="2026-05-06T00:00:00"/>
    <s v="FB"/>
    <s v="Devesh solanki "/>
    <s v="Ahmedabad"/>
    <s v="Gujarat"/>
    <x v="6"/>
    <n v="177000"/>
    <x v="37"/>
  </r>
  <r>
    <s v="EOS1665"/>
    <d v="2026-05-07T00:00:00"/>
    <s v="FB"/>
    <s v="Amit Prajapati "/>
    <s v="Deesa"/>
    <s v="Gujarat"/>
    <x v="6"/>
    <n v="177000"/>
    <x v="199"/>
  </r>
  <r>
    <s v="EOS1666"/>
    <d v="2026-05-07T00:00:00"/>
    <s v="FB"/>
    <s v="Magdumhusen MunirAhmad Kuresh"/>
    <s v="Limbdi"/>
    <s v="Gujarat"/>
    <x v="6"/>
    <n v="177000"/>
    <x v="0"/>
  </r>
  <r>
    <s v="EOS1667"/>
    <d v="2026-05-07T00:00:00"/>
    <s v="FB"/>
    <s v="Parth Mehta "/>
    <s v="Veraval"/>
    <s v="Gujarat"/>
    <x v="6"/>
    <n v="177000"/>
    <x v="0"/>
  </r>
  <r>
    <s v="EOS1668"/>
    <d v="2026-05-07T00:00:00"/>
    <s v="FB"/>
    <s v="Praful Giri Aparnath"/>
    <s v="Ahmedabad"/>
    <s v="Gujarat"/>
    <x v="6"/>
    <n v="177000"/>
    <x v="199"/>
  </r>
  <r>
    <s v="EOS1669"/>
    <d v="2026-05-07T00:00:00"/>
    <s v="FB"/>
    <s v="Chauhan Nilkanth babubha"/>
    <s v="Adipur"/>
    <s v="Gujarat"/>
    <x v="6"/>
    <n v="177000"/>
    <x v="199"/>
  </r>
  <r>
    <s v="EOS1670"/>
    <d v="2026-05-07T00:00:00"/>
    <s v="FB"/>
    <s v="Sabir Shekh"/>
    <s v="Ahmedabad"/>
    <s v="Gujarat"/>
    <x v="6"/>
    <n v="177000"/>
    <x v="199"/>
  </r>
  <r>
    <s v="EOS1671"/>
    <d v="2026-05-07T00:00:00"/>
    <s v="FB"/>
    <s v="Nikhil Yadav "/>
    <s v="Bhadran"/>
    <s v="Gujarat"/>
    <x v="6"/>
    <n v="177000"/>
    <x v="0"/>
  </r>
  <r>
    <s v="EOS1672"/>
    <d v="2026-05-08T00:00:00"/>
    <s v="FB"/>
    <s v="Dinesh Solanki "/>
    <s v="Dhrol"/>
    <s v="Gujarat"/>
    <x v="6"/>
    <n v="177000"/>
    <x v="0"/>
  </r>
  <r>
    <s v="EOS1673"/>
    <d v="2026-05-08T00:00:00"/>
    <s v="FB"/>
    <s v="ketan ganatra "/>
    <s v="Lunavada"/>
    <s v="Gujarat"/>
    <x v="6"/>
    <n v="177000"/>
    <x v="0"/>
  </r>
  <r>
    <s v="EOS1674"/>
    <d v="2026-05-08T00:00:00"/>
    <s v="FB"/>
    <s v="Saurabh Patel "/>
    <s v="ahmednagar"/>
    <s v="Maharashtra"/>
    <x v="6"/>
    <n v="177000"/>
    <x v="199"/>
  </r>
  <r>
    <s v="EOS1675"/>
    <d v="2026-05-09T00:00:00"/>
    <s v="FB"/>
    <s v="Ashok Kotkar"/>
    <s v="Vadodara"/>
    <s v="Gujarat"/>
    <x v="6"/>
    <n v="177000"/>
    <x v="37"/>
  </r>
  <r>
    <s v="EOS1676"/>
    <d v="2026-05-09T00:00:00"/>
    <s v="FB"/>
    <s v="Jignesh "/>
    <s v="Himatnagar"/>
    <s v="Gujarat"/>
    <x v="6"/>
    <n v="177000"/>
    <x v="37"/>
  </r>
  <r>
    <s v="EOS1677"/>
    <d v="2026-05-11T00:00:00"/>
    <s v="FB"/>
    <s v="Vinay Patel "/>
    <s v="Satana"/>
    <s v="Madhya PradeSh"/>
    <x v="6"/>
    <n v="177000"/>
    <x v="50"/>
  </r>
  <r>
    <s v="EOS1678"/>
    <d v="2026-05-11T00:00:00"/>
    <s v="FB"/>
    <s v="Pravin "/>
    <s v="Indore"/>
    <s v="Madhya PradeSh"/>
    <x v="6"/>
    <n v="177000"/>
    <x v="37"/>
  </r>
  <r>
    <s v="EOS1679"/>
    <d v="2026-05-11T00:00:00"/>
    <s v="FB"/>
    <s v="Pawan Yadav"/>
    <s v="Allahabad"/>
    <s v="Uttar Pradesh "/>
    <x v="6"/>
    <n v="177000"/>
    <x v="37"/>
  </r>
  <r>
    <s v="EOS1680"/>
    <d v="2026-05-11T00:00:00"/>
    <s v="FB"/>
    <s v="Sarthak pratap Singh"/>
    <s v="Aligarh"/>
    <s v="Uttar Pradesh "/>
    <x v="6"/>
    <n v="177000"/>
    <x v="50"/>
  </r>
  <r>
    <s v="EOS1681"/>
    <d v="2026-05-11T00:00:00"/>
    <s v="FB"/>
    <m/>
    <s v="Diyodar"/>
    <s v="Gujarat"/>
    <x v="6"/>
    <n v="177000"/>
    <x v="0"/>
  </r>
  <r>
    <s v="EOS1682"/>
    <d v="2026-05-12T00:00:00"/>
    <s v="FB"/>
    <s v="Vipulkumar Ramnikbhai Soni"/>
    <s v="Surat "/>
    <s v="Gujarat"/>
    <x v="6"/>
    <n v="130000"/>
    <x v="37"/>
  </r>
  <r>
    <s v="EOS1683"/>
    <d v="2026-05-12T00:00:00"/>
    <s v="FB"/>
    <s v="Amit kumar "/>
    <s v="jogeshwari "/>
    <s v="Mumbai"/>
    <x v="6"/>
    <n v="177000"/>
    <x v="37"/>
  </r>
  <r>
    <s v="EOS1684"/>
    <d v="2026-05-13T00:00:00"/>
    <s v="FB"/>
    <s v="Faiz Ahmad"/>
    <s v="Baisi"/>
    <s v="Bihar"/>
    <x v="6"/>
    <n v="177000"/>
    <x v="0"/>
  </r>
  <r>
    <s v="EOS1685"/>
    <d v="2026-05-13T00:00:00"/>
    <s v="FB"/>
    <s v="Nishar Amani"/>
    <s v="Jankinagar"/>
    <s v="Bihar"/>
    <x v="6"/>
    <n v="177000"/>
    <x v="0"/>
  </r>
  <r>
    <s v="EOS1686"/>
    <d v="2026-05-14T00:00:00"/>
    <s v="FB"/>
    <s v="Nitesh Kumar"/>
    <s v="Ahmadabad "/>
    <s v="Gujarat"/>
    <x v="6"/>
    <n v="177000"/>
    <x v="199"/>
  </r>
  <r>
    <s v="EOS1687"/>
    <d v="2026-05-14T00:00:00"/>
    <s v="FB"/>
    <s v="moindiwan"/>
    <s v="Jeypore"/>
    <s v="Odisha"/>
    <x v="6"/>
    <n v="177000"/>
    <x v="0"/>
  </r>
  <r>
    <s v="EOS1688"/>
    <d v="2026-05-14T00:00:00"/>
    <s v="FB"/>
    <s v="Aditya narayan nanda"/>
    <s v="Varanasi"/>
    <s v="Uttar Pradesh "/>
    <x v="6"/>
    <n v="177000"/>
    <x v="0"/>
  </r>
  <r>
    <s v="EOS1689"/>
    <d v="2026-05-14T00:00:00"/>
    <s v="FB"/>
    <s v="Akash "/>
    <s v="Shahjahanpur"/>
    <s v="Uttar Pradesh "/>
    <x v="6"/>
    <n v="177000"/>
    <x v="0"/>
  </r>
  <r>
    <s v="EOS1690"/>
    <d v="2026-05-15T00:00:00"/>
    <s v="FB"/>
    <s v="vineet "/>
    <s v="Pipili"/>
    <s v="Odisha"/>
    <x v="6"/>
    <n v="177000"/>
    <x v="0"/>
  </r>
  <r>
    <s v="EOS1691"/>
    <d v="2026-05-15T00:00:00"/>
    <s v="FB"/>
    <s v="Suraj Khan"/>
    <s v="Ahmedabad"/>
    <s v="Gujarat"/>
    <x v="6"/>
    <n v="177000"/>
    <x v="0"/>
  </r>
  <r>
    <s v="EOS1692"/>
    <d v="2026-05-15T00:00:00"/>
    <s v="FB"/>
    <s v="Yogesh Ambani"/>
    <s v="Mapusa"/>
    <s v="Goa"/>
    <x v="6"/>
    <n v="177000"/>
    <x v="37"/>
  </r>
  <r>
    <s v="EOS1693"/>
    <d v="2026-05-15T00:00:00"/>
    <s v="FB"/>
    <s v="Vivan kudneka"/>
    <s v="Satlasan"/>
    <s v="Gujarat"/>
    <x v="6"/>
    <n v="177000"/>
    <x v="0"/>
  </r>
  <r>
    <s v="EOS1694"/>
    <d v="2026-05-16T00:00:00"/>
    <s v="FB"/>
    <s v="Aavej "/>
    <s v="Thard"/>
    <s v="Gujarat"/>
    <x v="6"/>
    <n v="177000"/>
    <x v="153"/>
  </r>
  <r>
    <s v="EOS1695"/>
    <d v="2026-05-16T00:00:00"/>
    <s v="FB"/>
    <s v="D K Rajput"/>
    <s v="Bulandshahr"/>
    <s v="Uttar Pradesh "/>
    <x v="6"/>
    <n v="177000"/>
    <x v="153"/>
  </r>
  <r>
    <s v="EOS1696"/>
    <d v="2026-05-16T00:00:00"/>
    <s v="FB"/>
    <s v="Syed Mohd Kashif"/>
    <s v="Islampur"/>
    <s v="West Bengal"/>
    <x v="6"/>
    <n v="130000"/>
    <x v="37"/>
  </r>
  <r>
    <s v="EOS1697"/>
    <d v="2026-05-16T00:00:00"/>
    <s v="FB"/>
    <s v="Subham Chowdhury Charl"/>
    <s v="bhavngar"/>
    <s v="Gujarat"/>
    <x v="6"/>
    <n v="177000"/>
    <x v="37"/>
  </r>
  <r>
    <s v="EOS1698"/>
    <d v="2026-05-22T00:00:00"/>
    <s v="FB"/>
    <m/>
    <s v="Ahmedabad"/>
    <s v="Gujarat"/>
    <x v="6"/>
    <n v="177000"/>
    <x v="37"/>
  </r>
  <r>
    <s v="EOS1699"/>
    <d v="2026-05-18T00:00:00"/>
    <s v="FB"/>
    <s v="Rudra "/>
    <s v="Ahmedabad"/>
    <s v="Gujarat"/>
    <x v="6"/>
    <n v="177000"/>
    <x v="37"/>
  </r>
  <r>
    <s v="EOS1700"/>
    <d v="2026-05-18T00:00:00"/>
    <s v="FB"/>
    <s v="Shubham Dubey"/>
    <s v="Junagadh"/>
    <s v="Gujarat"/>
    <x v="6"/>
    <n v="177000"/>
    <x v="0"/>
  </r>
  <r>
    <s v="EOS1701"/>
    <d v="2026-05-18T00:00:00"/>
    <s v="FB"/>
    <s v="Bharat Duva"/>
    <s v="Dharashiv"/>
    <s v="Maharashtra"/>
    <x v="6"/>
    <n v="177000"/>
    <x v="37"/>
  </r>
  <r>
    <s v="EOS1702"/>
    <d v="2026-05-18T00:00:00"/>
    <s v="FB"/>
    <s v="Arjun Deshmukh"/>
    <s v="Lucknow"/>
    <s v="Gujarat"/>
    <x v="6"/>
    <n v="177000"/>
    <x v="37"/>
  </r>
  <r>
    <s v="EOS1703"/>
    <d v="2026-05-18T00:00:00"/>
    <s v="FB"/>
    <s v="Amit Singh"/>
    <s v="Hamirpur"/>
    <s v="Uttar Pradesh "/>
    <x v="6"/>
    <n v="177000"/>
    <x v="37"/>
  </r>
  <r>
    <s v="EOS1704"/>
    <d v="2026-05-18T00:00:00"/>
    <s v="FB"/>
    <s v="ankit tiwari"/>
    <s v="Vadodara"/>
    <s v="Gujarat"/>
    <x v="6"/>
    <n v="177000"/>
    <x v="37"/>
  </r>
  <r>
    <s v="EOS1705"/>
    <d v="2026-05-21T00:00:00"/>
    <s v="FB"/>
    <s v="keyur patel "/>
    <s v="Valsad"/>
    <s v="Gujarat"/>
    <x v="6"/>
    <n v="177000"/>
    <x v="37"/>
  </r>
  <r>
    <s v="EOS1706"/>
    <d v="2026-05-21T00:00:00"/>
    <s v="FB"/>
    <s v="Manish "/>
    <m/>
    <s v="Gujarat"/>
    <x v="6"/>
    <n v="177000"/>
    <x v="37"/>
  </r>
  <r>
    <s v="EOS1707"/>
    <d v="2026-05-21T00:00:00"/>
    <s v="FB"/>
    <s v="Bamba Vikram"/>
    <s v="Vadodara"/>
    <s v="Gujarat"/>
    <x v="6"/>
    <n v="177000"/>
    <x v="37"/>
  </r>
  <r>
    <s v="EOS1708"/>
    <d v="2026-05-21T00:00:00"/>
    <s v="FB"/>
    <s v="Vishalkumar Shah"/>
    <s v="Ankleshwar"/>
    <s v="Gujarat"/>
    <x v="6"/>
    <n v="177000"/>
    <x v="0"/>
  </r>
  <r>
    <s v="EOS1709"/>
    <d v="2026-05-21T00:00:00"/>
    <s v="FB"/>
    <s v="Padhiyar Mehul"/>
    <s v="Bareja"/>
    <s v="Gujarat"/>
    <x v="6"/>
    <n v="177000"/>
    <x v="0"/>
  </r>
  <r>
    <s v="EOS1710"/>
    <d v="2026-05-21T00:00:00"/>
    <s v="FB"/>
    <s v="Dharmendra Agravat"/>
    <s v="Nadiad"/>
    <s v="Gujarat"/>
    <x v="6"/>
    <n v="177000"/>
    <x v="0"/>
  </r>
  <r>
    <s v="EOS1711"/>
    <d v="2026-05-21T00:00:00"/>
    <s v="FB"/>
    <s v="Shivam Patel "/>
    <s v="Rajkot"/>
    <s v="Gujarat"/>
    <x v="6"/>
    <n v="177000"/>
    <x v="153"/>
  </r>
  <r>
    <s v="EOS1712"/>
    <d v="2026-05-21T00:00:00"/>
    <s v="FB"/>
    <s v="Vikani Tejas"/>
    <m/>
    <s v="Gujarat"/>
    <x v="6"/>
    <n v="177000"/>
    <x v="153"/>
  </r>
  <r>
    <s v="EOS1713"/>
    <d v="2026-05-21T00:00:00"/>
    <s v="FB"/>
    <s v="Pradeepsinh Zala "/>
    <s v="Bareja"/>
    <s v="Gujarat"/>
    <x v="6"/>
    <n v="177000"/>
    <x v="153"/>
  </r>
  <r>
    <s v="EOS1714"/>
    <d v="2026-05-21T00:00:00"/>
    <s v="FB"/>
    <s v="Laxmikant Patel "/>
    <s v="Bhavnagar"/>
    <s v="Gujarat"/>
    <x v="6"/>
    <n v="177000"/>
    <x v="153"/>
  </r>
  <r>
    <s v="EOS1715"/>
    <d v="2026-05-21T00:00:00"/>
    <s v="FB"/>
    <s v="Rathod Virendra"/>
    <s v="Ahemdabad"/>
    <s v="Gujarat"/>
    <x v="6"/>
    <n v="177000"/>
    <x v="153"/>
  </r>
  <r>
    <s v="EOS1716"/>
    <d v="2026-05-21T00:00:00"/>
    <s v="FB"/>
    <s v="Raj Gohil"/>
    <s v="Surendranagar"/>
    <s v="Gujarat"/>
    <x v="6"/>
    <n v="177000"/>
    <x v="153"/>
  </r>
  <r>
    <s v="EOS1717"/>
    <d v="2026-05-21T00:00:00"/>
    <s v="FB"/>
    <s v="Vimal Patel "/>
    <s v="Banas Kantha"/>
    <s v="Gujarat"/>
    <x v="6"/>
    <n v="177000"/>
    <x v="153"/>
  </r>
  <r>
    <s v="EOS1718"/>
    <d v="2026-05-21T00:00:00"/>
    <s v="FB"/>
    <s v="Sravnji Thakor "/>
    <s v="mau "/>
    <s v="Uttar Pradesh "/>
    <x v="6"/>
    <n v="177000"/>
    <x v="50"/>
  </r>
  <r>
    <s v="EOS1719"/>
    <d v="2026-05-21T00:00:00"/>
    <s v="FB"/>
    <s v="Sandeep Patel "/>
    <s v="Junagada"/>
    <s v="Gujarat"/>
    <x v="6"/>
    <n v="177000"/>
    <x v="50"/>
  </r>
  <r>
    <s v="EOS1720"/>
    <d v="2026-05-21T00:00:00"/>
    <s v="FB"/>
    <s v="Ahir Rajashi"/>
    <s v="Surat"/>
    <s v="Gujarat"/>
    <x v="6"/>
    <n v="177000"/>
    <x v="37"/>
  </r>
  <r>
    <s v="EOS1721"/>
    <d v="2026-05-21T00:00:00"/>
    <s v="FB"/>
    <s v="vicky chaudhari"/>
    <s v="ahmedabad"/>
    <s v="Gujarat"/>
    <x v="6"/>
    <n v="177000"/>
    <x v="37"/>
  </r>
  <r>
    <s v="EOS1722"/>
    <d v="2026-05-21T00:00:00"/>
    <s v="FB"/>
    <s v="Rakesh Parmar"/>
    <s v="Ahmedabad"/>
    <s v="Gujarat"/>
    <x v="6"/>
    <n v="177000"/>
    <x v="37"/>
  </r>
  <r>
    <s v="EOS1723"/>
    <d v="2026-05-21T00:00:00"/>
    <s v="FB"/>
    <s v="Vipul Desai"/>
    <s v="Vadodara"/>
    <s v="Gujarat"/>
    <x v="6"/>
    <n v="177000"/>
    <x v="37"/>
  </r>
  <r>
    <s v="EOS1724"/>
    <d v="2026-05-21T00:00:00"/>
    <s v="FB"/>
    <s v="Hemant Solanki"/>
    <s v="Vadodara"/>
    <s v="Gujarat"/>
    <x v="6"/>
    <n v="177000"/>
    <x v="37"/>
  </r>
  <r>
    <s v="EOS1725"/>
    <d v="2026-05-21T00:00:00"/>
    <s v="FB"/>
    <s v="ronak parma"/>
    <s v="Petlad"/>
    <s v="Gujarat"/>
    <x v="6"/>
    <n v="177000"/>
    <x v="37"/>
  </r>
  <r>
    <s v="EOS1726"/>
    <d v="2026-05-21T00:00:00"/>
    <s v="FB"/>
    <s v="Malek Raees"/>
    <s v="Jamnagar"/>
    <s v="Gujarat"/>
    <x v="6"/>
    <n v="177000"/>
    <x v="37"/>
  </r>
  <r>
    <s v="EOS1727"/>
    <d v="2026-05-22T00:00:00"/>
    <s v="FB"/>
    <s v="Yasin Mema"/>
    <s v="Unjha"/>
    <s v="Gujarat"/>
    <x v="6"/>
    <n v="177000"/>
    <x v="37"/>
  </r>
  <r>
    <s v="EOS1728"/>
    <d v="2026-05-22T00:00:00"/>
    <s v="FB"/>
    <s v="sachin prajapat"/>
    <s v="Jambusar"/>
    <s v="Gujarat"/>
    <x v="6"/>
    <n v="177000"/>
    <x v="50"/>
  </r>
  <r>
    <s v="EOS1729"/>
    <d v="2026-05-22T00:00:00"/>
    <s v="FB"/>
    <s v="Ravin Nargawa"/>
    <s v="Gandhinagar"/>
    <s v="Gujarat"/>
    <x v="6"/>
    <n v="177000"/>
    <x v="37"/>
  </r>
  <r>
    <s v="EOS1730"/>
    <d v="2026-05-22T00:00:00"/>
    <s v="FB"/>
    <s v="Amit Shah"/>
    <s v="vadodara"/>
    <s v="Gujarat"/>
    <x v="6"/>
    <n v="177000"/>
    <x v="37"/>
  </r>
  <r>
    <s v="EOS1731"/>
    <d v="2026-05-22T00:00:00"/>
    <s v="FB"/>
    <s v="Swetanshu Joshi"/>
    <s v="Surat"/>
    <s v="Gujarat"/>
    <x v="6"/>
    <n v="177000"/>
    <x v="37"/>
  </r>
  <r>
    <s v="EOS1732"/>
    <d v="2026-05-22T00:00:00"/>
    <s v="FB"/>
    <s v="vijay patel"/>
    <s v="Rajkot"/>
    <s v="Gujarat"/>
    <x v="6"/>
    <n v="177000"/>
    <x v="37"/>
  </r>
  <r>
    <s v="EOS1733"/>
    <d v="2026-05-22T00:00:00"/>
    <s v="FB"/>
    <s v="Kishan bhai"/>
    <s v="jetpur"/>
    <s v="Gujarat"/>
    <x v="6"/>
    <n v="177000"/>
    <x v="37"/>
  </r>
  <r>
    <s v="EOS1734"/>
    <d v="2026-05-22T00:00:00"/>
    <s v="FB"/>
    <s v="Gopal Goswami "/>
    <s v="Kalol"/>
    <s v="Gujarat"/>
    <x v="6"/>
    <n v="177000"/>
    <x v="37"/>
  </r>
  <r>
    <s v="EOS1735"/>
    <d v="2026-05-22T00:00:00"/>
    <s v="FB"/>
    <s v="Oves Raliya"/>
    <s v="Ahmedabad"/>
    <s v="Gujarat"/>
    <x v="6"/>
    <n v="177000"/>
    <x v="37"/>
  </r>
  <r>
    <s v="EOS1736"/>
    <d v="2026-05-23T00:00:00"/>
    <s v="FB"/>
    <s v="Nikita Bhojani"/>
    <s v="Ahemdabad"/>
    <s v="Gujarat"/>
    <x v="6"/>
    <n v="177000"/>
    <x v="37"/>
  </r>
  <r>
    <s v="EOS1737"/>
    <d v="2026-05-23T00:00:00"/>
    <s v="FB"/>
    <s v="Manish VALBU"/>
    <s v="Surat"/>
    <s v="Gujarat"/>
    <x v="6"/>
    <n v="177000"/>
    <x v="37"/>
  </r>
  <r>
    <s v="EOS1738"/>
    <d v="2026-05-23T00:00:00"/>
    <s v="FB"/>
    <s v="TushAr Chaudhari"/>
    <s v="Srinagar"/>
    <s v="Gujarat"/>
    <x v="6"/>
    <n v="177000"/>
    <x v="50"/>
  </r>
  <r>
    <s v="EOS1739"/>
    <d v="2026-05-23T00:00:00"/>
    <s v="FB"/>
    <s v="Rishabh Tiwari"/>
    <s v="Junagadh"/>
    <s v="Gujarat"/>
    <x v="6"/>
    <n v="177000"/>
    <x v="37"/>
  </r>
  <r>
    <s v="EOS1740"/>
    <d v="2026-05-23T00:00:00"/>
    <s v="FB"/>
    <s v="hitesh Purohit "/>
    <s v="Vyara"/>
    <s v="Gujarat"/>
    <x v="6"/>
    <n v="177000"/>
    <x v="50"/>
  </r>
  <r>
    <s v="EOS1741"/>
    <d v="2026-05-23T00:00:00"/>
    <s v="FB"/>
    <s v="Dhaval Pate"/>
    <s v="Dwarka"/>
    <s v="Gujarat"/>
    <x v="6"/>
    <n v="177000"/>
    <x v="37"/>
  </r>
  <r>
    <s v="EOS1742"/>
    <d v="2026-05-23T00:00:00"/>
    <s v="FB"/>
    <s v="Manek Bharat"/>
    <s v="Anand"/>
    <s v="Gujarat"/>
    <x v="6"/>
    <n v="177000"/>
    <x v="37"/>
  </r>
  <r>
    <s v="EOS1743"/>
    <d v="2026-05-23T00:00:00"/>
    <s v="FB"/>
    <s v="Yug Patel "/>
    <s v="Sitamarhi"/>
    <s v="Bihar"/>
    <x v="6"/>
    <n v="177000"/>
    <x v="37"/>
  </r>
  <r>
    <s v="EOS1744"/>
    <d v="2026-05-25T00:00:00"/>
    <s v="FB"/>
    <s v="Rahul Shroff"/>
    <s v="Baloda Bazaar"/>
    <s v="Chatishgard"/>
    <x v="6"/>
    <n v="177000"/>
    <x v="0"/>
  </r>
  <r>
    <s v="EOS1745"/>
    <d v="2026-05-25T00:00:00"/>
    <s v="FB"/>
    <s v="Mahesh Rajak"/>
    <s v="Bhavnagar"/>
    <s v="Gujarat"/>
    <x v="6"/>
    <n v="177000"/>
    <x v="37"/>
  </r>
  <r>
    <s v="EOS1746"/>
    <d v="2026-05-25T00:00:00"/>
    <s v="FB"/>
    <s v="Snehal Patel "/>
    <s v="Surat"/>
    <s v="Gujarat"/>
    <x v="6"/>
    <n v="177000"/>
    <x v="37"/>
  </r>
  <r>
    <s v="EOS1747"/>
    <d v="2026-05-25T00:00:00"/>
    <s v="FB"/>
    <s v="viral tank"/>
    <s v="Ahmedabad "/>
    <s v="Gujarat"/>
    <x v="6"/>
    <n v="177000"/>
    <x v="37"/>
  </r>
  <r>
    <s v="EOS1748"/>
    <d v="2026-05-25T00:00:00"/>
    <s v="FB"/>
    <s v="Metar Irfan"/>
    <s v="pataudi"/>
    <s v="Haryana "/>
    <x v="6"/>
    <n v="177000"/>
    <x v="50"/>
  </r>
  <r>
    <s v="EOS1749"/>
    <d v="2026-05-25T00:00:00"/>
    <s v="FB"/>
    <s v="Rao Sahab"/>
    <s v="Jamshedpur"/>
    <s v="Jharkhand"/>
    <x v="6"/>
    <n v="177000"/>
    <x v="37"/>
  </r>
  <r>
    <s v="EOS1750"/>
    <d v="2026-05-25T00:00:00"/>
    <s v="FB"/>
    <s v="binod kumar"/>
    <s v="Seoni"/>
    <s v="Madhya Pradesh"/>
    <x v="6"/>
    <n v="177000"/>
    <x v="0"/>
  </r>
  <r>
    <s v="EOS1751"/>
    <d v="2026-05-25T00:00:00"/>
    <s v="FB"/>
    <s v="Alok Thakur"/>
    <s v="Bishnupur"/>
    <s v="Manipur"/>
    <x v="6"/>
    <n v="177000"/>
    <x v="50"/>
  </r>
  <r>
    <s v="EOS1752"/>
    <d v="2026-05-25T00:00:00"/>
    <s v="FB"/>
    <s v="Ningthoujam Ratan Singh"/>
    <s v="Ajmer"/>
    <s v="Rajashthan"/>
    <x v="6"/>
    <n v="177000"/>
    <x v="53"/>
  </r>
  <r>
    <s v="EOS1753"/>
    <d v="2026-05-25T00:00:00"/>
    <s v="FB"/>
    <s v="Radhey Bana "/>
    <s v="Bharatpur"/>
    <s v="Rajashthan"/>
    <x v="6"/>
    <n v="177000"/>
    <x v="37"/>
  </r>
  <r>
    <s v="EOS1754"/>
    <d v="2026-05-25T00:00:00"/>
    <s v="FB"/>
    <s v="Rs Pooniya "/>
    <s v="Sardarshahr"/>
    <s v="Rajashthan"/>
    <x v="6"/>
    <n v="177000"/>
    <x v="0"/>
  </r>
  <r>
    <s v="EOS1755"/>
    <d v="2026-05-25T00:00:00"/>
    <s v="FB"/>
    <s v="Vinod Gadhawal"/>
    <s v="Pukhrayan "/>
    <s v="Uttar Pradesh "/>
    <x v="6"/>
    <n v="177000"/>
    <x v="0"/>
  </r>
  <r>
    <s v="EOS1756"/>
    <d v="2026-05-25T00:00:00"/>
    <s v="FB"/>
    <s v="kaiful hasan "/>
    <s v="Noida"/>
    <s v="Uttar Pradesh "/>
    <x v="6"/>
    <n v="177000"/>
    <x v="37"/>
  </r>
  <r>
    <s v="EOS1757"/>
    <d v="2026-05-25T00:00:00"/>
    <s v="FB"/>
    <s v="Vicky "/>
    <s v="Delhi "/>
    <s v="Delhi "/>
    <x v="6"/>
    <n v="177000"/>
    <x v="37"/>
  </r>
  <r>
    <s v="EOS1758"/>
    <d v="2026-05-25T00:00:00"/>
    <s v="FB"/>
    <s v="Arpiit upadhyay "/>
    <s v="Bihar"/>
    <s v="Bihar"/>
    <x v="6"/>
    <n v="177000"/>
    <x v="50"/>
  </r>
  <r>
    <s v="EOS1759"/>
    <d v="2026-05-25T00:00:00"/>
    <s v="FB"/>
    <s v="kaushal kishor"/>
    <m/>
    <s v="Gujarat"/>
    <x v="6"/>
    <n v="177000"/>
    <x v="50"/>
  </r>
  <r>
    <s v="EOS1760"/>
    <d v="2026-05-25T00:00:00"/>
    <s v="FB"/>
    <s v="Atik  Ajm`eri "/>
    <s v="Koderma"/>
    <s v="Jharkhand"/>
    <x v="6"/>
    <n v="177000"/>
    <x v="50"/>
  </r>
  <r>
    <s v="EOS1761"/>
    <d v="2026-05-25T00:00:00"/>
    <s v="FB"/>
    <s v="Anup Barnwal"/>
    <s v="Jaipur"/>
    <s v="Rajashthan"/>
    <x v="6"/>
    <n v="177000"/>
    <x v="37"/>
  </r>
  <r>
    <s v="EOS1762"/>
    <d v="2026-05-25T00:00:00"/>
    <s v="FB"/>
    <s v="Rajkumar Saini "/>
    <s v="Dahod"/>
    <s v="Gujarat"/>
    <x v="6"/>
    <n v="177000"/>
    <x v="37"/>
  </r>
  <r>
    <s v="EOS1763"/>
    <d v="2026-05-28T00:00:00"/>
    <s v="FB"/>
    <s v="Subhash Alan"/>
    <s v="Ahmedabad"/>
    <s v="Gujarat"/>
    <x v="6"/>
    <n v="130000"/>
    <x v="37"/>
  </r>
  <r>
    <s v="EOS1764"/>
    <d v="2026-05-29T00:00:00"/>
    <s v="FB"/>
    <s v="Gaurav R Rathod"/>
    <s v="Bhuj(kutch)"/>
    <s v="Gujarat"/>
    <x v="6"/>
    <n v="177000"/>
    <x v="37"/>
  </r>
  <r>
    <s v="EOS1765"/>
    <d v="2026-05-29T00:00:00"/>
    <s v="FB"/>
    <s v="om gor"/>
    <s v="Jetpur"/>
    <s v="Gujarat"/>
    <x v="6"/>
    <n v="177000"/>
    <x v="50"/>
  </r>
  <r>
    <s v="EOS1766"/>
    <d v="2026-05-29T00:00:00"/>
    <s v="FB"/>
    <s v="FIROJ "/>
    <s v="Gopalganj"/>
    <s v="Bihar "/>
    <x v="6"/>
    <n v="177000"/>
    <x v="213"/>
  </r>
  <r>
    <s v="EOS1767"/>
    <d v="2026-05-29T00:00:00"/>
    <s v="FB"/>
    <s v="Syedur Rahman"/>
    <s v="khambhaliya"/>
    <s v="Gujarat"/>
    <x v="6"/>
    <n v="177000"/>
    <x v="37"/>
  </r>
  <r>
    <s v="EOS1768"/>
    <d v="2026-05-29T00:00:00"/>
    <s v="FB"/>
    <s v="Varun Trivedi"/>
    <s v="Talaja"/>
    <s v="Gujarat"/>
    <x v="6"/>
    <n v="177000"/>
    <x v="37"/>
  </r>
  <r>
    <s v="EOS1769"/>
    <d v="2026-05-29T00:00:00"/>
    <s v="FB"/>
    <s v="Ramgiri Bapu"/>
    <m/>
    <m/>
    <x v="6"/>
    <m/>
    <x v="153"/>
  </r>
  <r>
    <s v="EOS1770"/>
    <d v="2026-06-03T00:00:00"/>
    <s v="FB"/>
    <s v="sanjay"/>
    <m/>
    <s v="Uttar Pradesh"/>
    <x v="6"/>
    <n v="177000"/>
    <x v="138"/>
  </r>
  <r>
    <s v="EOS1771"/>
    <d v="2026-06-03T00:00:00"/>
    <s v="FB"/>
    <s v="Nishant jain"/>
    <m/>
    <s v="Uttar Pradesh"/>
    <x v="6"/>
    <n v="177000"/>
    <x v="0"/>
  </r>
  <r>
    <s v="EOS1772"/>
    <d v="2026-06-03T00:00:00"/>
    <s v="FB"/>
    <s v="Bhavesh Patel"/>
    <m/>
    <s v="Gujarat"/>
    <x v="6"/>
    <n v="177000"/>
    <x v="138"/>
  </r>
  <r>
    <s v="EOS1773"/>
    <d v="2026-09-03T00:00:00"/>
    <s v="WP"/>
    <s v="Hitesh Prajapati"/>
    <s v="Anand "/>
    <s v="Gujarat"/>
    <x v="6"/>
    <n v="130000"/>
    <x v="53"/>
  </r>
  <r>
    <s v="EOS1774"/>
    <s v="25/3/26"/>
    <s v="FB"/>
    <s v="Manish Kumar Pandey"/>
    <s v="Shahdol"/>
    <s v="Madhya Pradesh"/>
    <x v="6"/>
    <n v="130000"/>
    <x v="53"/>
  </r>
  <r>
    <s v="EOS1775"/>
    <d v="2026-07-04T00:00:00"/>
    <s v="WP"/>
    <s v="Mayur Thakor"/>
    <s v="Vadodara"/>
    <s v="Gujarat"/>
    <x v="6"/>
    <n v="104500"/>
    <x v="53"/>
  </r>
  <r>
    <s v="EOS1776"/>
    <s v="22/04/26"/>
    <s v="Google 4"/>
    <s v="Yuvraj Sinh "/>
    <s v="Rajkot"/>
    <s v="Gujarat"/>
    <x v="6"/>
    <n v="130000"/>
    <x v="53"/>
  </r>
  <r>
    <s v="EOS1777"/>
    <s v="25/05/26"/>
    <s v="Google 4"/>
    <s v="Pritam Sethy"/>
    <s v="Bhubaneshwar"/>
    <s v="Odisha"/>
    <x v="6"/>
    <n v="110000"/>
    <x v="53"/>
  </r>
  <r>
    <s v="EOS1778"/>
    <d v="2026-04-06T00:00:00"/>
    <s v="FB5"/>
    <s v="Vijay Parmar"/>
    <s v="Ahmedabad"/>
    <s v="Gujarat"/>
    <x v="6"/>
    <n v="110000"/>
    <x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9">
  <r>
    <s v="EOS0001"/>
    <d v="2025-06-09T00:00:00"/>
    <s v="FB"/>
    <s v="Rathod Kuldipsinh"/>
    <s v="Kodinar"/>
    <x v="0"/>
    <s v="Rejected"/>
    <n v="108000"/>
    <n v="107000"/>
    <s v="Rejected"/>
    <s v="Rejected"/>
    <m/>
    <s v=""/>
    <s v="Starter"/>
    <s v="June"/>
    <s v="Q2"/>
  </r>
  <r>
    <s v="EOS0002"/>
    <d v="2025-06-09T00:00:00"/>
    <s v="FB"/>
    <s v="Kiran Lashkari"/>
    <s v=" Bhavnagar"/>
    <x v="0"/>
    <s v="Rejected"/>
    <n v="108000"/>
    <n v="107001"/>
    <s v="Rejected"/>
    <s v="Rejected"/>
    <m/>
    <s v=""/>
    <s v="Starter"/>
    <s v="June"/>
    <s v="Q2"/>
  </r>
  <r>
    <s v="EOS0003"/>
    <d v="2025-06-09T00:00:00"/>
    <s v="FB"/>
    <s v="Abhay Naik"/>
    <s v="Bardoli"/>
    <x v="0"/>
    <s v="Rejected"/>
    <n v="130000"/>
    <n v="107002"/>
    <s v="Rejected"/>
    <s v="Rejected"/>
    <m/>
    <s v=""/>
    <s v="Starter"/>
    <s v="June"/>
    <s v="Q2"/>
  </r>
  <r>
    <s v="EOS0004"/>
    <d v="2025-06-09T00:00:00"/>
    <s v="FB"/>
    <s v="Kunalpatel"/>
    <s v="Ahmedabad"/>
    <x v="0"/>
    <s v="Rejected"/>
    <n v="130000"/>
    <n v="107003"/>
    <s v="Rejected"/>
    <s v="Rejected"/>
    <m/>
    <s v=""/>
    <s v="Starter"/>
    <s v="June"/>
    <s v="Q2"/>
  </r>
  <r>
    <s v="EOS0005"/>
    <d v="2025-06-09T00:00:00"/>
    <s v="FB"/>
    <s v="Kartik Kesarwani"/>
    <s v="Allahabad"/>
    <x v="1"/>
    <s v="Rejected"/>
    <n v="108000"/>
    <n v="107004"/>
    <s v="Rejected"/>
    <s v="Rejected"/>
    <m/>
    <s v=""/>
    <s v="Starter"/>
    <s v="June"/>
    <s v="Q2"/>
  </r>
  <r>
    <s v="EOS0006"/>
    <d v="2025-06-09T00:00:00"/>
    <s v="FB"/>
    <s v="Golu_Dwivedi"/>
    <s v="Gonda"/>
    <x v="1"/>
    <s v="Rejected"/>
    <n v="108000"/>
    <n v="107005"/>
    <s v="Rejected"/>
    <s v="Rejected"/>
    <m/>
    <s v=""/>
    <s v="Starter"/>
    <s v="June"/>
    <s v="Q2"/>
  </r>
  <r>
    <s v="EOS0007"/>
    <d v="2025-06-09T00:00:00"/>
    <s v="FB"/>
    <s v="સહજાનંદી સિંહ ધુ્વિક પટેલ"/>
    <s v="Padra"/>
    <x v="0"/>
    <s v="Rejected"/>
    <n v="130000"/>
    <n v="107006"/>
    <s v="Rejected"/>
    <s v="Rejected"/>
    <m/>
    <s v=""/>
    <s v="Starter"/>
    <s v="June"/>
    <s v="Q2"/>
  </r>
  <r>
    <s v="EOS0008"/>
    <d v="2025-06-09T00:00:00"/>
    <s v="FB"/>
    <s v="Het Thacker"/>
    <s v="Bhuj"/>
    <x v="0"/>
    <s v="Rejected"/>
    <n v="108000"/>
    <n v="107007"/>
    <s v="Rejected"/>
    <s v="Rejected"/>
    <m/>
    <s v=""/>
    <s v="Starter"/>
    <s v="June"/>
    <s v="Q2"/>
  </r>
  <r>
    <s v="EOS0009"/>
    <d v="2025-06-09T00:00:00"/>
    <s v="FB"/>
    <s v="Chintan Patel"/>
    <s v="Ahmedabad"/>
    <x v="0"/>
    <s v="Rejected"/>
    <n v="108000"/>
    <n v="107008"/>
    <s v="Rejected"/>
    <s v="Rejected"/>
    <m/>
    <s v=""/>
    <s v="Starter"/>
    <s v="June"/>
    <s v="Q2"/>
  </r>
  <r>
    <s v="EOS0010"/>
    <d v="2025-06-09T00:00:00"/>
    <s v="FB"/>
    <s v="Rohit"/>
    <s v="Baroda"/>
    <x v="0"/>
    <s v="Rejected"/>
    <n v="130000"/>
    <n v="107009"/>
    <s v="Rejected"/>
    <s v="Rejected"/>
    <m/>
    <s v=""/>
    <s v="Starter"/>
    <s v="June"/>
    <s v="Q2"/>
  </r>
  <r>
    <s v="EOS0011"/>
    <d v="2025-06-09T00:00:00"/>
    <s v="FB"/>
    <s v="Balvantsinh Zala"/>
    <s v="Somnath"/>
    <x v="0"/>
    <s v="Rejected"/>
    <n v="108000"/>
    <n v="107010"/>
    <s v="Rejected"/>
    <s v="Rejected"/>
    <m/>
    <s v=""/>
    <s v="Starter"/>
    <s v="June"/>
    <s v="Q2"/>
  </r>
  <r>
    <s v="EOS0012"/>
    <d v="2025-06-09T00:00:00"/>
    <s v="FB"/>
    <s v="Rohit Yadav"/>
    <s v="Kota"/>
    <x v="2"/>
    <s v="Rejected"/>
    <n v="130000"/>
    <n v="107011"/>
    <s v="Rejected"/>
    <s v="Rejected"/>
    <m/>
    <s v=""/>
    <s v="Starter"/>
    <s v="June"/>
    <s v="Q2"/>
  </r>
  <r>
    <s v="EOS0013"/>
    <d v="2025-06-09T00:00:00"/>
    <s v="FB"/>
    <s v="Adnan Shaikh"/>
    <s v="Bharuch"/>
    <x v="0"/>
    <s v="Rejected"/>
    <n v="130000"/>
    <n v="107012"/>
    <s v="Rejected"/>
    <s v="Rejected"/>
    <m/>
    <s v=""/>
    <s v="Starter"/>
    <s v="June"/>
    <s v="Q2"/>
  </r>
  <r>
    <s v="EOS0014"/>
    <d v="2025-06-09T00:00:00"/>
    <s v="FB"/>
    <s v="Chavda Kamlesh"/>
    <s v="Limdi"/>
    <x v="0"/>
    <s v="Rejected"/>
    <n v="108000"/>
    <n v="107013"/>
    <s v="Rejected"/>
    <s v="Rejected"/>
    <m/>
    <s v=""/>
    <s v="Starter"/>
    <s v="June"/>
    <s v="Q2"/>
  </r>
  <r>
    <s v="EOS0015"/>
    <d v="2025-06-09T00:00:00"/>
    <s v="FB"/>
    <s v="Khushal Soni"/>
    <s v="Jamnagar"/>
    <x v="0"/>
    <s v="Rejected"/>
    <n v="108000"/>
    <n v="107014"/>
    <s v="Rejected"/>
    <s v="Rejected"/>
    <m/>
    <s v=""/>
    <s v="Starter"/>
    <s v="June"/>
    <s v="Q2"/>
  </r>
  <r>
    <s v="EOS0016"/>
    <d v="2025-06-09T00:00:00"/>
    <s v="FB"/>
    <s v="Sufiyan Kathiwala"/>
    <s v="Visnagar"/>
    <x v="0"/>
    <s v="Rejected"/>
    <n v="108000"/>
    <n v="107015"/>
    <s v="Rejected"/>
    <s v="Rejected"/>
    <m/>
    <s v=""/>
    <s v="Starter"/>
    <s v="June"/>
    <s v="Q2"/>
  </r>
  <r>
    <s v="EOS0017"/>
    <d v="2025-06-09T00:00:00"/>
    <s v="FB"/>
    <s v="Kunal Dafda"/>
    <s v="Rajkot"/>
    <x v="0"/>
    <s v="Rejected"/>
    <n v="130000"/>
    <n v="107016"/>
    <s v="Rejected"/>
    <s v="Rejected"/>
    <m/>
    <s v=""/>
    <s v="Starter"/>
    <s v="June"/>
    <s v="Q2"/>
  </r>
  <r>
    <s v="EOS0018"/>
    <d v="2025-06-09T00:00:00"/>
    <s v="FB"/>
    <s v="Jignesh Parekh"/>
    <s v="borsad"/>
    <x v="0"/>
    <s v="Deal"/>
    <n v="130000"/>
    <n v="107017"/>
    <s v="Deal"/>
    <s v="Converted"/>
    <d v="2025-06-16T00:00:00"/>
    <n v="7"/>
    <s v="Starter"/>
    <s v="June"/>
    <s v="Q2"/>
  </r>
  <r>
    <s v="EOS0019"/>
    <d v="2025-06-09T00:00:00"/>
    <s v="FB"/>
    <s v="Mushtaq kapadia"/>
    <s v="Surat"/>
    <x v="0"/>
    <s v="Rejected"/>
    <n v="130000"/>
    <n v="107018"/>
    <s v="Rejected"/>
    <s v="Rejected"/>
    <m/>
    <s v=""/>
    <s v="Starter"/>
    <s v="June"/>
    <s v="Q2"/>
  </r>
  <r>
    <s v="EOS0020"/>
    <d v="2025-06-09T00:00:00"/>
    <s v="FB"/>
    <s v="Ravi Bhetariya"/>
    <s v="Jamnagar"/>
    <x v="0"/>
    <s v="Rejected"/>
    <n v="108000"/>
    <n v="107019"/>
    <s v="Rejected"/>
    <s v="Rejected"/>
    <m/>
    <s v=""/>
    <s v="Starter"/>
    <s v="June"/>
    <s v="Q2"/>
  </r>
  <r>
    <s v="EOS0021"/>
    <d v="2025-06-09T00:00:00"/>
    <s v="FB"/>
    <s v="Patel Meet"/>
    <s v="Bavla"/>
    <x v="0"/>
    <s v="Rejected"/>
    <n v="108000"/>
    <n v="107020"/>
    <s v="Rejected"/>
    <s v="Rejected"/>
    <m/>
    <s v=""/>
    <s v="Starter"/>
    <s v="June"/>
    <s v="Q2"/>
  </r>
  <r>
    <s v="EOS0022"/>
    <d v="2025-06-09T00:00:00"/>
    <s v="FB"/>
    <s v="Jagrut Jadeja"/>
    <s v="Bantwa"/>
    <x v="0"/>
    <s v="Rejected"/>
    <n v="130000"/>
    <n v="107021"/>
    <s v="Rejected"/>
    <s v="Rejected"/>
    <m/>
    <s v=""/>
    <s v="Starter"/>
    <s v="June"/>
    <s v="Q2"/>
  </r>
  <r>
    <s v="EOS0023"/>
    <d v="2025-06-09T00:00:00"/>
    <s v="FB"/>
    <s v="Gulamabbas Meghani"/>
    <s v=" Bhavnagar"/>
    <x v="0"/>
    <s v="Rejected"/>
    <n v="130000"/>
    <n v="107022"/>
    <s v="Rejected"/>
    <s v="Rejected"/>
    <m/>
    <s v=""/>
    <s v="Starter"/>
    <s v="June"/>
    <s v="Q2"/>
  </r>
  <r>
    <s v="EOS0024"/>
    <d v="2025-06-09T00:00:00"/>
    <s v="FB"/>
    <s v="𝕯ɪʟɪᴘ Ⱥᴄʜᴀʀʏᴀ"/>
    <s v="Tharad"/>
    <x v="0"/>
    <s v="Rejected"/>
    <n v="130000"/>
    <n v="107023"/>
    <s v="Rejected"/>
    <s v="Rejected"/>
    <m/>
    <s v=""/>
    <s v="Starter"/>
    <s v="June"/>
    <s v="Q2"/>
  </r>
  <r>
    <s v="EOS0025"/>
    <d v="2025-06-09T00:00:00"/>
    <s v="FB"/>
    <s v="mayur_ahir_3543"/>
    <s v="Rajkot"/>
    <x v="0"/>
    <s v="Rejected"/>
    <n v="130000"/>
    <n v="107024"/>
    <s v="Rejected"/>
    <s v="Rejected"/>
    <m/>
    <s v=""/>
    <s v="Starter"/>
    <s v="June"/>
    <s v="Q2"/>
  </r>
  <r>
    <s v="EOS0026"/>
    <d v="2025-06-09T00:00:00"/>
    <s v="FB"/>
    <s v="Patel Jay"/>
    <s v="Khambhat"/>
    <x v="0"/>
    <s v="Rejected"/>
    <n v="130000"/>
    <n v="107025"/>
    <s v="Rejected"/>
    <s v="Rejected"/>
    <m/>
    <s v=""/>
    <s v="Starter"/>
    <s v="June"/>
    <s v="Q2"/>
  </r>
  <r>
    <s v="EOS0027"/>
    <d v="2025-06-09T00:00:00"/>
    <s v="FB"/>
    <s v="Keval Makwana"/>
    <s v="Rajkot"/>
    <x v="0"/>
    <s v="Rejected"/>
    <n v="108000"/>
    <n v="107026"/>
    <s v="Rejected"/>
    <s v="Rejected"/>
    <m/>
    <s v=""/>
    <s v="Starter"/>
    <s v="June"/>
    <s v="Q2"/>
  </r>
  <r>
    <s v="EOS0028"/>
    <d v="2025-06-09T00:00:00"/>
    <s v="FB"/>
    <s v="Mehul"/>
    <s v="Mota chiloda"/>
    <x v="0"/>
    <s v="Rejected"/>
    <n v="130000"/>
    <n v="107027"/>
    <s v="Rejected"/>
    <s v="Rejected"/>
    <m/>
    <s v=""/>
    <s v="Starter"/>
    <s v="June"/>
    <s v="Q2"/>
  </r>
  <r>
    <s v="EOS0029"/>
    <d v="2025-06-09T00:00:00"/>
    <s v="FB"/>
    <s v="Shànú Pàrmàr"/>
    <s v="Mehsana"/>
    <x v="0"/>
    <s v="Rejected"/>
    <n v="108000"/>
    <n v="107028"/>
    <s v="Rejected"/>
    <s v="Rejected"/>
    <m/>
    <s v=""/>
    <s v="Starter"/>
    <s v="June"/>
    <s v="Q2"/>
  </r>
  <r>
    <s v="EOS0030"/>
    <d v="2025-06-09T00:00:00"/>
    <s v="FB"/>
    <s v="ak_dhapa_2287"/>
    <s v="Jamnagar"/>
    <x v="0"/>
    <s v="Rejected"/>
    <n v="130000"/>
    <n v="107029"/>
    <s v="Rejected"/>
    <s v="Rejected"/>
    <m/>
    <s v=""/>
    <s v="Starter"/>
    <s v="June"/>
    <s v="Q2"/>
  </r>
  <r>
    <s v="EOS0031"/>
    <d v="2025-06-09T00:00:00"/>
    <s v="FB"/>
    <s v="Rakesh Yogi"/>
    <s v="Patan"/>
    <x v="0"/>
    <s v="Rejected"/>
    <n v="108000"/>
    <n v="107030"/>
    <s v="Rejected"/>
    <s v="Rejected"/>
    <m/>
    <s v=""/>
    <s v="Starter"/>
    <s v="June"/>
    <s v="Q2"/>
  </r>
  <r>
    <s v="EOS0032"/>
    <d v="2025-06-09T00:00:00"/>
    <s v="FB"/>
    <s v="Vijay Patel"/>
    <s v="Nadiad"/>
    <x v="0"/>
    <s v="Rejected"/>
    <n v="108000"/>
    <n v="107031"/>
    <s v="Rejected"/>
    <s v="Rejected"/>
    <m/>
    <s v=""/>
    <s v="Starter"/>
    <s v="June"/>
    <s v="Q2"/>
  </r>
  <r>
    <s v="EOS0033"/>
    <d v="2025-06-09T00:00:00"/>
    <s v="FB"/>
    <s v="$oyeb"/>
    <s v="Halol"/>
    <x v="0"/>
    <s v="Rejected"/>
    <n v="108000"/>
    <n v="107032"/>
    <s v="Rejected"/>
    <s v="Rejected"/>
    <m/>
    <s v=""/>
    <s v="Starter"/>
    <s v="June"/>
    <s v="Q2"/>
  </r>
  <r>
    <s v="EOS0034"/>
    <d v="2025-06-09T00:00:00"/>
    <s v="FB"/>
    <s v="Neel Gohel"/>
    <s v=" Bhavnagar"/>
    <x v="0"/>
    <s v="Rejected"/>
    <n v="130000"/>
    <n v="107033"/>
    <s v="Rejected"/>
    <s v="Rejected"/>
    <m/>
    <s v=""/>
    <s v="Starter"/>
    <s v="June"/>
    <s v="Q2"/>
  </r>
  <r>
    <s v="EOS0035"/>
    <d v="2025-06-09T00:00:00"/>
    <s v="FB"/>
    <s v="Kamal Sinha"/>
    <s v="dhamtari"/>
    <x v="3"/>
    <s v="Rejected"/>
    <n v="108000"/>
    <n v="107034"/>
    <s v="Rejected"/>
    <s v="Rejected"/>
    <m/>
    <s v=""/>
    <s v="Starter"/>
    <s v="June"/>
    <s v="Q2"/>
  </r>
  <r>
    <s v="EOS0036"/>
    <d v="2025-06-09T00:00:00"/>
    <s v="FB"/>
    <s v="Zala Divyrajsinh Bharad"/>
    <s v="Surendranagar"/>
    <x v="0"/>
    <s v="Rejected"/>
    <n v="108000"/>
    <n v="107035"/>
    <s v="Rejected"/>
    <s v="Rejected"/>
    <m/>
    <s v=""/>
    <s v="Starter"/>
    <s v="June"/>
    <s v="Q2"/>
  </r>
  <r>
    <s v="EOS0037"/>
    <d v="2025-06-09T00:00:00"/>
    <s v="FB"/>
    <s v="THE_SATISH___7___||"/>
    <s v="Surendranagar"/>
    <x v="0"/>
    <s v="Rejected"/>
    <n v="130000"/>
    <n v="107036"/>
    <s v="Rejected"/>
    <s v="Rejected"/>
    <m/>
    <s v=""/>
    <s v="Starter"/>
    <s v="June"/>
    <s v="Q2"/>
  </r>
  <r>
    <s v="EOS0038"/>
    <d v="2025-06-09T00:00:00"/>
    <s v="FB"/>
    <s v="Bhargav Mulchandani"/>
    <s v="Gandhidham"/>
    <x v="0"/>
    <s v="Rejected"/>
    <n v="108000"/>
    <n v="107037"/>
    <s v="Rejected"/>
    <s v="Rejected"/>
    <m/>
    <s v=""/>
    <s v="Starter"/>
    <s v="June"/>
    <s v="Q2"/>
  </r>
  <r>
    <s v="EOS0039"/>
    <d v="2025-06-09T00:00:00"/>
    <s v="FB"/>
    <s v="HARSH"/>
    <s v="Ahmedabad"/>
    <x v="0"/>
    <s v="Rejected"/>
    <n v="130000"/>
    <n v="107038"/>
    <s v="Rejected"/>
    <s v="Rejected"/>
    <m/>
    <s v=""/>
    <s v="Starter"/>
    <s v="June"/>
    <s v="Q2"/>
  </r>
  <r>
    <s v="EOS0040"/>
    <d v="2025-06-09T00:00:00"/>
    <s v="FB"/>
    <s v="𝐹𝑎𝑟ℎ𝑎𝑑 𝑉ℎ𝑜𝑟𝑎"/>
    <s v="Ahmedabad"/>
    <x v="0"/>
    <s v="Rejected"/>
    <n v="108000"/>
    <n v="107039"/>
    <s v="Rejected"/>
    <s v="Rejected"/>
    <m/>
    <s v=""/>
    <s v="Starter"/>
    <s v="June"/>
    <s v="Q2"/>
  </r>
  <r>
    <s v="EOS0041"/>
    <d v="2025-06-11T00:00:00"/>
    <s v="FB"/>
    <s v="Nancy"/>
    <s v="Panipat"/>
    <x v="0"/>
    <s v="Rejected"/>
    <n v="130000"/>
    <n v="107040"/>
    <s v="Rejected"/>
    <s v="Rejected"/>
    <m/>
    <s v=""/>
    <s v="Starter"/>
    <s v="June"/>
    <s v="Q2"/>
  </r>
  <r>
    <s v="EOS0042"/>
    <d v="2025-06-11T00:00:00"/>
    <s v="FB"/>
    <s v="Ankit"/>
    <s v="Allahabad"/>
    <x v="1"/>
    <s v="Rejected"/>
    <n v="108000"/>
    <n v="107041"/>
    <s v="Rejected"/>
    <s v="Rejected"/>
    <m/>
    <s v=""/>
    <s v="Starter"/>
    <s v="June"/>
    <s v="Q2"/>
  </r>
  <r>
    <s v="EOS0043"/>
    <d v="2025-06-11T00:00:00"/>
    <s v="FB"/>
    <s v="Mitul mevada"/>
    <s v="Ahmedabad"/>
    <x v="0"/>
    <s v="Rejected"/>
    <n v="108000"/>
    <n v="107042"/>
    <s v="Rejected"/>
    <s v="Rejected"/>
    <m/>
    <s v=""/>
    <s v="Starter"/>
    <s v="June"/>
    <s v="Q2"/>
  </r>
  <r>
    <s v="EOS0044"/>
    <d v="2025-06-11T00:00:00"/>
    <s v="FB"/>
    <s v="𝕯𝖊𝖛𝖊𝖓𝖉𝖗𝖆 𝕾𝖎𝖓𝖌𝖍 𝕾𝖊𝖓𝖉𝖍𝖆𝖛"/>
    <s v="Dewas"/>
    <x v="4"/>
    <s v="Rejected"/>
    <n v="130000"/>
    <n v="107043"/>
    <s v="Rejected"/>
    <s v="Rejected"/>
    <m/>
    <s v=""/>
    <s v="Starter"/>
    <s v="June"/>
    <s v="Q2"/>
  </r>
  <r>
    <s v="EOS0045"/>
    <d v="2025-06-11T00:00:00"/>
    <s v="FB"/>
    <s v="Hitesh Parmar"/>
    <s v="Ahmedabad"/>
    <x v="0"/>
    <s v="Rejected"/>
    <n v="130000"/>
    <n v="107044"/>
    <s v="Rejected"/>
    <s v="Rejected"/>
    <m/>
    <s v=""/>
    <s v="Starter"/>
    <s v="June"/>
    <s v="Q2"/>
  </r>
  <r>
    <s v="EOS0046"/>
    <d v="2025-06-11T00:00:00"/>
    <s v="FB"/>
    <n v="0"/>
    <s v="Kheralu"/>
    <x v="0"/>
    <s v="Rejected"/>
    <n v="177000"/>
    <n v="107045"/>
    <s v="Rejected"/>
    <s v="Rejected"/>
    <m/>
    <s v=""/>
    <s v="Growth"/>
    <s v="June"/>
    <s v="Q2"/>
  </r>
  <r>
    <s v="EOS0047"/>
    <d v="2025-06-11T00:00:00"/>
    <s v="FB"/>
    <s v="karmrajsinh vadher"/>
    <s v="Jamnagar"/>
    <x v="0"/>
    <s v="Rejected"/>
    <n v="108000"/>
    <n v="107046"/>
    <s v="Rejected"/>
    <s v="Rejected"/>
    <m/>
    <s v=""/>
    <s v="Starter"/>
    <s v="June"/>
    <s v="Q2"/>
  </r>
  <r>
    <s v="EOS0048"/>
    <d v="2025-06-11T00:00:00"/>
    <s v="FB"/>
    <s v="Vivek Diyora"/>
    <s v="Surat"/>
    <x v="0"/>
    <s v="Rejected"/>
    <n v="130000"/>
    <n v="107047"/>
    <s v="Rejected"/>
    <s v="Rejected"/>
    <m/>
    <s v=""/>
    <s v="Starter"/>
    <s v="June"/>
    <s v="Q2"/>
  </r>
  <r>
    <s v="EOS0049"/>
    <d v="2025-06-11T00:00:00"/>
    <s v="FB"/>
    <s v="Rajendrasinh Parmar"/>
    <s v="Gandhinagar"/>
    <x v="0"/>
    <s v="Rejected"/>
    <n v="130000"/>
    <n v="107048"/>
    <s v="Rejected"/>
    <s v="Rejected"/>
    <m/>
    <s v=""/>
    <s v="Starter"/>
    <s v="June"/>
    <s v="Q2"/>
  </r>
  <r>
    <s v="EOS0050"/>
    <d v="2025-06-11T00:00:00"/>
    <s v="FB"/>
    <s v="Gunjan // gp..."/>
    <s v="Patan"/>
    <x v="0"/>
    <s v="Rejected"/>
    <n v="130000"/>
    <n v="107049"/>
    <s v="Rejected"/>
    <s v="Rejected"/>
    <m/>
    <s v=""/>
    <s v="Starter"/>
    <s v="June"/>
    <s v="Q2"/>
  </r>
  <r>
    <s v="EOS0051"/>
    <d v="2025-06-11T00:00:00"/>
    <s v="FB"/>
    <s v="𝐏 𝐀 𝐑 𝐓 𝐇"/>
    <s v="Surendranagar"/>
    <x v="0"/>
    <s v="Rejected"/>
    <n v="177000"/>
    <n v="107050"/>
    <s v="Rejected"/>
    <s v="Rejected"/>
    <m/>
    <s v=""/>
    <s v="Growth"/>
    <s v="June"/>
    <s v="Q2"/>
  </r>
  <r>
    <s v="EOS0052"/>
    <d v="2025-06-11T00:00:00"/>
    <s v="FB"/>
    <s v="D.m. Ahir"/>
    <s v="Khambhalia"/>
    <x v="0"/>
    <s v="Rejected"/>
    <n v="130000"/>
    <n v="107051"/>
    <s v="Rejected"/>
    <s v="Rejected"/>
    <m/>
    <s v=""/>
    <s v="Starter"/>
    <s v="June"/>
    <s v="Q2"/>
  </r>
  <r>
    <s v="EOS0053"/>
    <d v="2025-06-11T00:00:00"/>
    <s v="FB"/>
    <s v="Sandip Solanki "/>
    <s v="Borsad"/>
    <x v="0"/>
    <s v="Rejected"/>
    <n v="130000"/>
    <n v="107052"/>
    <s v="Rejected"/>
    <s v="Rejected"/>
    <m/>
    <s v=""/>
    <s v="Starter"/>
    <s v="June"/>
    <s v="Q2"/>
  </r>
  <r>
    <s v="EOS0054"/>
    <d v="2025-06-11T00:00:00"/>
    <s v="FB"/>
    <s v="Ammar Vahora"/>
    <s v="Anand"/>
    <x v="0"/>
    <s v="Rejected"/>
    <n v="177000"/>
    <n v="107053"/>
    <s v="Rejected"/>
    <s v="Rejected"/>
    <m/>
    <s v=""/>
    <s v="Growth"/>
    <s v="June"/>
    <s v="Q2"/>
  </r>
  <r>
    <s v="EOS0055"/>
    <d v="2025-06-11T00:00:00"/>
    <s v="FB"/>
    <s v="Kartik Patel"/>
    <s v="Patan"/>
    <x v="0"/>
    <s v="Rejected"/>
    <n v="130000"/>
    <n v="107054"/>
    <s v="Rejected"/>
    <s v="Rejected"/>
    <m/>
    <s v=""/>
    <s v="Starter"/>
    <s v="June"/>
    <s v="Q2"/>
  </r>
  <r>
    <s v="EOS0056"/>
    <d v="2025-06-11T00:00:00"/>
    <s v="FB"/>
    <s v="🆂🅳🅷 🅽🅸🆁🆄🅳🅷🆂🅸🅽🅷 🅳"/>
    <s v="Mundra"/>
    <x v="0"/>
    <s v="Rejected"/>
    <n v="108000"/>
    <n v="107055"/>
    <s v="Rejected"/>
    <s v="Rejected"/>
    <m/>
    <s v=""/>
    <s v="Starter"/>
    <s v="June"/>
    <s v="Q2"/>
  </r>
  <r>
    <s v="EOS0057"/>
    <d v="2025-06-11T00:00:00"/>
    <s v="FB"/>
    <n v="0"/>
    <s v="Talala"/>
    <x v="0"/>
    <s v="Rejected"/>
    <n v="108000"/>
    <n v="107056"/>
    <s v="Rejected"/>
    <s v="Rejected"/>
    <m/>
    <s v=""/>
    <s v="Starter"/>
    <s v="June"/>
    <s v="Q2"/>
  </r>
  <r>
    <s v="EOS0058"/>
    <d v="2025-06-11T00:00:00"/>
    <s v="FB"/>
    <s v="Asfak Parasara"/>
    <s v="Wankaner"/>
    <x v="0"/>
    <s v="Rejected"/>
    <n v="108000"/>
    <n v="107057"/>
    <s v="Rejected"/>
    <s v="Rejected"/>
    <m/>
    <s v=""/>
    <s v="Starter"/>
    <s v="June"/>
    <s v="Q2"/>
  </r>
  <r>
    <s v="EOS0059"/>
    <d v="2025-06-11T00:00:00"/>
    <s v="FB"/>
    <s v="Vaibhav Pandey"/>
    <s v="Karwi"/>
    <x v="1"/>
    <s v="Rejected"/>
    <n v="130000"/>
    <n v="107058"/>
    <s v="Rejected"/>
    <s v="Rejected"/>
    <m/>
    <s v=""/>
    <s v="Starter"/>
    <s v="June"/>
    <s v="Q2"/>
  </r>
  <r>
    <s v="EOS0060"/>
    <d v="2025-06-11T00:00:00"/>
    <s v="FB"/>
    <s v="AVDEEP"/>
    <s v="Rajkot"/>
    <x v="0"/>
    <s v="Rejected"/>
    <n v="130000"/>
    <n v="107059"/>
    <s v="Rejected"/>
    <s v="Rejected"/>
    <m/>
    <s v=""/>
    <s v="Starter"/>
    <s v="June"/>
    <s v="Q2"/>
  </r>
  <r>
    <s v="EOS0061"/>
    <d v="2025-06-11T00:00:00"/>
    <s v="FB"/>
    <s v="Saumil Mistry"/>
    <s v="Ahmedabad"/>
    <x v="0"/>
    <s v="Rejected"/>
    <n v="177000"/>
    <n v="107060"/>
    <s v="Rejected"/>
    <s v="Rejected"/>
    <m/>
    <s v=""/>
    <s v="Growth"/>
    <s v="June"/>
    <s v="Q2"/>
  </r>
  <r>
    <s v="EOS0062"/>
    <d v="2025-06-11T00:00:00"/>
    <s v="FB"/>
    <s v="M. P. Joshi Bhudev"/>
    <s v="Tharad"/>
    <x v="0"/>
    <s v="Rejected"/>
    <n v="108000"/>
    <n v="107061"/>
    <s v="Rejected"/>
    <s v="Rejected"/>
    <m/>
    <s v=""/>
    <s v="Starter"/>
    <s v="June"/>
    <s v="Q2"/>
  </r>
  <r>
    <s v="EOS0063"/>
    <d v="2025-06-11T00:00:00"/>
    <s v="FB"/>
    <s v="રણા વિશ્વજીતસિંહ સુરપાલસિંહ"/>
    <s v="Motisarsan"/>
    <x v="0"/>
    <s v="Rejected"/>
    <n v="130000"/>
    <n v="107062"/>
    <s v="Rejected"/>
    <s v="Rejected"/>
    <m/>
    <s v=""/>
    <s v="Starter"/>
    <s v="June"/>
    <s v="Q2"/>
  </r>
  <r>
    <s v="EOS0064"/>
    <d v="2025-06-11T00:00:00"/>
    <s v="FB"/>
    <s v="PATHAN"/>
    <s v="Ahmedabad"/>
    <x v="0"/>
    <s v="Rejected"/>
    <n v="108000"/>
    <n v="107063"/>
    <s v="Rejected"/>
    <s v="Rejected"/>
    <m/>
    <s v=""/>
    <s v="Starter"/>
    <s v="June"/>
    <s v="Q2"/>
  </r>
  <r>
    <s v="EOS0065"/>
    <d v="2025-06-11T00:00:00"/>
    <s v="FB"/>
    <s v="Narendrasinh Parmar"/>
    <s v="Banaskantha"/>
    <x v="0"/>
    <s v="Rejected"/>
    <n v="108000"/>
    <n v="107064"/>
    <s v="Rejected"/>
    <s v="Rejected"/>
    <m/>
    <s v=""/>
    <s v="Starter"/>
    <s v="June"/>
    <s v="Q2"/>
  </r>
  <r>
    <s v="EOS0066"/>
    <d v="2025-06-11T00:00:00"/>
    <s v="FB"/>
    <s v="Dev Gandhi"/>
    <s v="Ahmedabad"/>
    <x v="0"/>
    <s v="Rejected"/>
    <n v="130000"/>
    <n v="107065"/>
    <s v="Rejected"/>
    <s v="Rejected"/>
    <m/>
    <s v=""/>
    <s v="Starter"/>
    <s v="June"/>
    <s v="Q2"/>
  </r>
  <r>
    <s v="EOS0067"/>
    <d v="2025-06-11T00:00:00"/>
    <s v="FB"/>
    <s v="Safdar Shaikh"/>
    <s v="MANGROL"/>
    <x v="0"/>
    <s v="Rejected"/>
    <n v="108000"/>
    <n v="107066"/>
    <s v="Rejected"/>
    <s v="Rejected"/>
    <m/>
    <s v=""/>
    <s v="Starter"/>
    <s v="June"/>
    <s v="Q2"/>
  </r>
  <r>
    <s v="EOS0068"/>
    <d v="2025-06-11T00:00:00"/>
    <s v="FB"/>
    <s v="himanshu Amin"/>
    <s v="Ahmedabad"/>
    <x v="0"/>
    <s v="Rejected"/>
    <n v="130000"/>
    <n v="107067"/>
    <s v="Rejected"/>
    <s v="Rejected"/>
    <m/>
    <s v=""/>
    <s v="Starter"/>
    <s v="June"/>
    <s v="Q2"/>
  </r>
  <r>
    <s v="EOS0069"/>
    <s v="16/06/2025"/>
    <s v="FB"/>
    <s v="Kaushik Ahir"/>
    <s v="Daman"/>
    <x v="0"/>
    <s v="Rejected"/>
    <n v="108000"/>
    <n v="107068"/>
    <s v="Rejected"/>
    <s v="Rejected"/>
    <m/>
    <s v=""/>
    <s v="Starter"/>
    <s v="June"/>
    <s v="Q2"/>
  </r>
  <r>
    <s v="EOS0070"/>
    <s v="16/06/2025"/>
    <s v="FB"/>
    <s v="𝙏𝙃𝙀 𝗩𝗔𝗚𝗛𝗘𝗟𝗔 𝗞𝗜𝗦𝗛𝗔𝗡 𝗢𝗙𝗙𝗜𝗖𝗜𝗔𝗟"/>
    <s v="Ahmedabad"/>
    <x v="0"/>
    <s v="Rejected"/>
    <n v="177000"/>
    <n v="107069"/>
    <s v="Rejected"/>
    <s v="Rejected"/>
    <m/>
    <s v=""/>
    <s v="Growth"/>
    <s v="June"/>
    <s v="Q2"/>
  </r>
  <r>
    <s v="EOS0071"/>
    <s v="16/06/2025"/>
    <s v="FB"/>
    <s v="Nilesh ramavat"/>
    <s v="damnagar"/>
    <x v="0"/>
    <s v="Rejected"/>
    <n v="108000"/>
    <n v="107070"/>
    <s v="Rejected"/>
    <s v="Rejected"/>
    <m/>
    <s v=""/>
    <s v="Starter"/>
    <s v="June"/>
    <s v="Q2"/>
  </r>
  <r>
    <s v="EOS0072"/>
    <s v="16/06/2025"/>
    <s v="FB"/>
    <s v="Yunus"/>
    <s v="Okha"/>
    <x v="0"/>
    <s v="Rejected"/>
    <n v="130000"/>
    <n v="107071"/>
    <s v="Rejected"/>
    <s v="Rejected"/>
    <m/>
    <s v=""/>
    <s v="Starter"/>
    <s v="June"/>
    <s v="Q2"/>
  </r>
  <r>
    <s v="EOS0073"/>
    <s v="16/06/2025"/>
    <s v="FB"/>
    <s v="SMIT_____ox"/>
    <s v="Unai"/>
    <x v="0"/>
    <s v="Rejected"/>
    <n v="108000"/>
    <n v="107072"/>
    <s v="Rejected"/>
    <s v="Rejected"/>
    <m/>
    <s v=""/>
    <s v="Starter"/>
    <s v="June"/>
    <s v="Q2"/>
  </r>
  <r>
    <s v="EOS0074"/>
    <s v="16/06/2025"/>
    <s v="FB"/>
    <s v="Viju sankhat"/>
    <s v="Mahuva"/>
    <x v="0"/>
    <s v="Rejected"/>
    <n v="108000"/>
    <n v="107073"/>
    <s v="Rejected"/>
    <s v="Rejected"/>
    <m/>
    <s v=""/>
    <s v="Starter"/>
    <s v="June"/>
    <s v="Q2"/>
  </r>
  <r>
    <s v="EOS0075"/>
    <s v="16/06/2025"/>
    <s v="FB"/>
    <s v="Jadeja Harshdipsinhji"/>
    <s v=" Bhavnagar"/>
    <x v="0"/>
    <s v="Rejected"/>
    <n v="130000"/>
    <n v="107074"/>
    <s v="Rejected"/>
    <s v="Rejected"/>
    <m/>
    <s v=""/>
    <s v="Starter"/>
    <s v="June"/>
    <s v="Q2"/>
  </r>
  <r>
    <s v="EOS0076"/>
    <s v="17/06/2025"/>
    <s v="FB"/>
    <s v="FeNeel Patel &amp; Co."/>
    <s v="Surat"/>
    <x v="0"/>
    <s v="Rejected"/>
    <n v="177000"/>
    <n v="107075"/>
    <s v="Rejected"/>
    <s v="Rejected"/>
    <m/>
    <s v=""/>
    <s v="Growth"/>
    <s v="June"/>
    <s v="Q2"/>
  </r>
  <r>
    <s v="EOS0077"/>
    <s v="17/06/2025"/>
    <s v="FB"/>
    <s v="Manish Kantibhai Patel"/>
    <s v="Bharuch"/>
    <x v="0"/>
    <s v="Rejected"/>
    <n v="108000"/>
    <n v="107076"/>
    <s v="Rejected"/>
    <s v="Rejected"/>
    <m/>
    <s v=""/>
    <s v="Starter"/>
    <s v="June"/>
    <s v="Q2"/>
  </r>
  <r>
    <s v="EOS0078"/>
    <s v="17/06/2025"/>
    <s v="FB"/>
    <s v="Akash Kapatel"/>
    <s v="Anand"/>
    <x v="0"/>
    <s v="Rejected"/>
    <n v="108000"/>
    <n v="107077"/>
    <s v="Rejected"/>
    <s v="Rejected"/>
    <m/>
    <s v=""/>
    <s v="Starter"/>
    <s v="June"/>
    <s v="Q2"/>
  </r>
  <r>
    <s v="EOS0079"/>
    <s v="17/06/2025"/>
    <s v="FB"/>
    <s v="Dhaval"/>
    <s v="Valsad"/>
    <x v="0"/>
    <s v="Rejected"/>
    <n v="108000"/>
    <n v="107078"/>
    <s v="Rejected"/>
    <s v="Rejected"/>
    <m/>
    <s v=""/>
    <s v="Starter"/>
    <s v="June"/>
    <s v="Q2"/>
  </r>
  <r>
    <s v="EOS0080"/>
    <s v="17/06/2025"/>
    <s v="FB"/>
    <s v="คʀຮhคd 𝐅ɑ𝐫ᵤⲕǐ"/>
    <s v="Patan"/>
    <x v="0"/>
    <s v="Rejected"/>
    <n v="130000"/>
    <n v="107079"/>
    <s v="Rejected"/>
    <s v="Rejected"/>
    <m/>
    <s v=""/>
    <s v="Starter"/>
    <s v="June"/>
    <s v="Q2"/>
  </r>
  <r>
    <s v="EOS0081"/>
    <s v="18/06/2025"/>
    <s v="FB"/>
    <s v="Omkar Dudharejiya"/>
    <s v="Surat"/>
    <x v="0"/>
    <s v="Rejected"/>
    <n v="130000"/>
    <n v="107080"/>
    <s v="Rejected"/>
    <s v="Rejected"/>
    <m/>
    <s v=""/>
    <s v="Starter"/>
    <s v="June"/>
    <s v="Q2"/>
  </r>
  <r>
    <s v="EOS0082"/>
    <s v="18/06/2025"/>
    <s v="FB"/>
    <s v="Karan Khatri"/>
    <s v="Surat"/>
    <x v="0"/>
    <s v="Rejected"/>
    <n v="130000"/>
    <n v="107081"/>
    <s v="Rejected"/>
    <s v="Rejected"/>
    <m/>
    <s v=""/>
    <s v="Starter"/>
    <s v="June"/>
    <s v="Q2"/>
  </r>
  <r>
    <s v="EOS0083"/>
    <s v="18/06/2025"/>
    <s v="FB"/>
    <s v="Nikhil"/>
    <s v="Rajkot"/>
    <x v="0"/>
    <s v="Rejected"/>
    <n v="177000"/>
    <n v="107082"/>
    <s v="Rejected"/>
    <s v="Rejected"/>
    <m/>
    <s v=""/>
    <s v="Growth"/>
    <s v="June"/>
    <s v="Q2"/>
  </r>
  <r>
    <s v="EOS0084"/>
    <s v="18/06/2025"/>
    <s v="FB"/>
    <s v="Salim bhai"/>
    <s v="Rapar"/>
    <x v="0"/>
    <s v="Rejected"/>
    <n v="130000"/>
    <n v="107083"/>
    <s v="Rejected"/>
    <s v="Rejected"/>
    <m/>
    <s v=""/>
    <s v="Starter"/>
    <s v="June"/>
    <s v="Q2"/>
  </r>
  <r>
    <s v="EOS0085"/>
    <s v="18/06/2025"/>
    <s v="FB"/>
    <s v="yagnik"/>
    <s v="Mehsana"/>
    <x v="0"/>
    <s v="Rejected"/>
    <n v="108000"/>
    <n v="107084"/>
    <s v="Rejected"/>
    <s v="Rejected"/>
    <m/>
    <s v=""/>
    <s v="Starter"/>
    <s v="June"/>
    <s v="Q2"/>
  </r>
  <r>
    <s v="EOS0086"/>
    <s v="18/06/2025"/>
    <s v="FB"/>
    <s v="Raj"/>
    <s v="Palghar"/>
    <x v="5"/>
    <s v="Rejected"/>
    <n v="108000"/>
    <n v="107085"/>
    <s v="Rejected"/>
    <s v="Rejected"/>
    <m/>
    <s v=""/>
    <s v="Starter"/>
    <s v="June"/>
    <s v="Q2"/>
  </r>
  <r>
    <s v="EOS0087"/>
    <d v="2025-06-07T00:00:00"/>
    <s v="FB"/>
    <s v="chaudhary nik"/>
    <s v="Gandhinagar"/>
    <x v="0"/>
    <s v="Rejected"/>
    <n v="177000"/>
    <n v="107086"/>
    <s v="Rejected"/>
    <s v="Rejected"/>
    <m/>
    <s v=""/>
    <s v="Growth"/>
    <s v="June"/>
    <s v="Q2"/>
  </r>
  <r>
    <s v="EOS0088"/>
    <d v="2025-06-07T00:00:00"/>
    <s v="FB"/>
    <s v="Kaushik"/>
    <s v="Ahmedabad"/>
    <x v="0"/>
    <s v="Rejected"/>
    <n v="177000"/>
    <n v="107087"/>
    <s v="Rejected"/>
    <s v="Rejected"/>
    <m/>
    <s v=""/>
    <s v="Growth"/>
    <s v="June"/>
    <s v="Q2"/>
  </r>
  <r>
    <s v="EOS0089"/>
    <d v="2025-06-07T00:00:00"/>
    <s v="FB"/>
    <s v="Parth Patel"/>
    <s v="Surat"/>
    <x v="0"/>
    <s v="Rejected"/>
    <n v="130000"/>
    <n v="107088"/>
    <s v="Rejected"/>
    <s v="Rejected"/>
    <m/>
    <s v=""/>
    <s v="Starter"/>
    <s v="June"/>
    <s v="Q2"/>
  </r>
  <r>
    <s v="EOS0090"/>
    <d v="2025-06-09T00:00:00"/>
    <s v="FB"/>
    <s v="RAJPUROHIT LOONSINGH"/>
    <s v="Vadodara"/>
    <x v="0"/>
    <s v="Rejected"/>
    <n v="130000"/>
    <n v="107089"/>
    <s v="Rejected"/>
    <s v="Rejected"/>
    <m/>
    <s v=""/>
    <s v="Starter"/>
    <s v="June"/>
    <s v="Q2"/>
  </r>
  <r>
    <s v="EOS0091"/>
    <d v="2025-06-11T00:00:00"/>
    <s v="FB"/>
    <n v="0"/>
    <s v="Porbandar"/>
    <x v="0"/>
    <s v="Rejected"/>
    <n v="177000"/>
    <n v="107090"/>
    <s v="Rejected"/>
    <s v="Rejected"/>
    <m/>
    <s v=""/>
    <s v="Growth"/>
    <s v="June"/>
    <s v="Q2"/>
  </r>
  <r>
    <s v="EOS0092"/>
    <d v="2025-06-11T00:00:00"/>
    <s v="FB"/>
    <s v="Vikram Rabari"/>
    <s v="Vinchhiya"/>
    <x v="0"/>
    <s v="Rejected"/>
    <n v="130000"/>
    <n v="107091"/>
    <s v="Rejected"/>
    <s v="Rejected"/>
    <m/>
    <s v=""/>
    <s v="Starter"/>
    <s v="June"/>
    <s v="Q2"/>
  </r>
  <r>
    <s v="EOS0093"/>
    <d v="2025-06-11T00:00:00"/>
    <s v="FB"/>
    <s v="Mr. Collection"/>
    <s v="Vadodara"/>
    <x v="0"/>
    <s v="Rejected"/>
    <n v="108000"/>
    <n v="107092"/>
    <s v="Rejected"/>
    <s v="Rejected"/>
    <m/>
    <s v=""/>
    <s v="Starter"/>
    <s v="June"/>
    <s v="Q2"/>
  </r>
  <r>
    <s v="EOS0094"/>
    <d v="2025-06-12T00:00:00"/>
    <s v="FB"/>
    <s v="ibrahim_shekha"/>
    <s v="surat"/>
    <x v="0"/>
    <s v="Rejected"/>
    <n v="108000"/>
    <n v="107093"/>
    <s v="Rejected"/>
    <s v="Rejected"/>
    <m/>
    <s v=""/>
    <s v="Starter"/>
    <s v="June"/>
    <s v="Q2"/>
  </r>
  <r>
    <s v="EOS0095"/>
    <s v="13/06/2025"/>
    <s v="FB"/>
    <s v="Sandhya Prajapati"/>
    <s v="Ahmedabad"/>
    <x v="0"/>
    <s v="Rejected"/>
    <n v="108000"/>
    <n v="107094"/>
    <s v="Rejected"/>
    <s v="Rejected"/>
    <m/>
    <s v=""/>
    <s v="Starter"/>
    <s v="June"/>
    <s v="Q2"/>
  </r>
  <r>
    <s v="EOS0096"/>
    <s v="13/06/2025"/>
    <s v="FB"/>
    <s v="Montu Rathod"/>
    <s v="Jetpur"/>
    <x v="0"/>
    <s v="Rejected"/>
    <n v="177000"/>
    <n v="107095"/>
    <s v="Rejected"/>
    <s v="Rejected"/>
    <m/>
    <s v=""/>
    <s v="Growth"/>
    <s v="June"/>
    <s v="Q2"/>
  </r>
  <r>
    <s v="EOS0097"/>
    <s v="14/06/2025"/>
    <s v="FB"/>
    <s v="Raeesh Shaikh"/>
    <s v="Rajkot"/>
    <x v="0"/>
    <s v="Rejected"/>
    <n v="108000"/>
    <n v="107096"/>
    <s v="Rejected"/>
    <s v="Rejected"/>
    <m/>
    <s v=""/>
    <s v="Starter"/>
    <s v="June"/>
    <s v="Q2"/>
  </r>
  <r>
    <s v="EOS0098"/>
    <s v="14/06/2025"/>
    <s v="FB"/>
    <s v="Jaydeep Devda"/>
    <s v="Fatepura"/>
    <x v="0"/>
    <s v="Rejected"/>
    <n v="108000"/>
    <n v="107097"/>
    <s v="Rejected"/>
    <s v="Rejected"/>
    <m/>
    <s v=""/>
    <s v="Starter"/>
    <s v="June"/>
    <s v="Q2"/>
  </r>
  <r>
    <s v="EOS0099"/>
    <s v="14/06/2025"/>
    <s v="FB"/>
    <s v="Sohil Barchha"/>
    <s v="Rajkot"/>
    <x v="0"/>
    <s v="Rejected"/>
    <n v="108000"/>
    <n v="107098"/>
    <s v="Rejected"/>
    <s v="Rejected"/>
    <m/>
    <s v=""/>
    <s v="Starter"/>
    <s v="June"/>
    <s v="Q2"/>
  </r>
  <r>
    <s v="EOS0100"/>
    <s v="16/06/2025"/>
    <s v="FB"/>
    <s v="Mihir P Machhi"/>
    <s v="Rajpipla"/>
    <x v="0"/>
    <s v="Rejected"/>
    <n v="108000"/>
    <n v="107099"/>
    <s v="Rejected"/>
    <s v="Rejected"/>
    <m/>
    <s v=""/>
    <s v="Starter"/>
    <s v="June"/>
    <s v="Q2"/>
  </r>
  <r>
    <s v="EOS0101"/>
    <s v="16/06/2025"/>
    <s v="FB"/>
    <s v="Timir Shah"/>
    <s v="Bhuj"/>
    <x v="0"/>
    <s v="Rejected"/>
    <n v="130000"/>
    <n v="107100"/>
    <s v="Rejected"/>
    <s v="Rejected"/>
    <m/>
    <s v=""/>
    <s v="Starter"/>
    <s v="June"/>
    <s v="Q2"/>
  </r>
  <r>
    <s v="EOS0102"/>
    <s v="16/06/2025"/>
    <s v="FB"/>
    <s v="Ahir Umesh Barad"/>
    <s v="Rajkot"/>
    <x v="0"/>
    <s v="Rejected"/>
    <n v="177000"/>
    <n v="107101"/>
    <s v="Rejected"/>
    <s v="Rejected"/>
    <m/>
    <s v=""/>
    <s v="Growth"/>
    <s v="June"/>
    <s v="Q2"/>
  </r>
  <r>
    <s v="EOS0103"/>
    <s v="18/06/2025"/>
    <s v="FB"/>
    <s v="નટખટ મારો કાનો"/>
    <s v="Surat"/>
    <x v="0"/>
    <s v="Rejected"/>
    <n v="177000"/>
    <n v="107102"/>
    <s v="Rejected"/>
    <s v="Rejected"/>
    <m/>
    <s v=""/>
    <s v="Growth"/>
    <s v="June"/>
    <s v="Q2"/>
  </r>
  <r>
    <s v="EOS0104"/>
    <s v="18/06/2025"/>
    <s v="FB"/>
    <s v="bhagirath Singh Rathore"/>
    <s v="sankhara"/>
    <x v="2"/>
    <s v="Rejected"/>
    <n v="108000"/>
    <n v="107103"/>
    <s v="Rejected"/>
    <s v="Rejected"/>
    <m/>
    <s v=""/>
    <s v="Starter"/>
    <s v="June"/>
    <s v="Q2"/>
  </r>
  <r>
    <s v="EOS0105"/>
    <s v="18/06/2025"/>
    <s v="FB"/>
    <s v="Mihir"/>
    <s v="Porbandar"/>
    <x v="0"/>
    <s v="Rejected"/>
    <n v="130000"/>
    <n v="107104"/>
    <s v="Rejected"/>
    <s v="Rejected"/>
    <m/>
    <s v=""/>
    <s v="Starter"/>
    <s v="June"/>
    <s v="Q2"/>
  </r>
  <r>
    <s v="EOS0106"/>
    <s v="18/06/2025"/>
    <s v="FB"/>
    <s v="Amit Patel"/>
    <s v="Narsinghpur"/>
    <x v="4"/>
    <s v="Rejected"/>
    <n v="130000"/>
    <n v="107105"/>
    <s v="Rejected"/>
    <s v="Rejected"/>
    <m/>
    <s v=""/>
    <s v="Starter"/>
    <s v="June"/>
    <s v="Q2"/>
  </r>
  <r>
    <s v="EOS0107"/>
    <s v="18/06/2025"/>
    <s v="FB"/>
    <s v="Noor alam"/>
    <s v="Bahraich"/>
    <x v="1"/>
    <s v="Rejected"/>
    <n v="108000"/>
    <n v="107106"/>
    <s v="Rejected"/>
    <s v="Rejected"/>
    <m/>
    <s v=""/>
    <s v="Starter"/>
    <s v="June"/>
    <s v="Q2"/>
  </r>
  <r>
    <s v="EOS0108"/>
    <s v="18/06/2025"/>
    <s v="FB"/>
    <s v="Harsh"/>
    <s v="Prayagaraj"/>
    <x v="1"/>
    <s v="Rejected"/>
    <n v="177000"/>
    <n v="107107"/>
    <s v="Rejected"/>
    <s v="Rejected"/>
    <m/>
    <s v=""/>
    <s v="Growth"/>
    <s v="June"/>
    <s v="Q2"/>
  </r>
  <r>
    <s v="EOS0109"/>
    <s v="18/06/2025"/>
    <s v="FB"/>
    <s v="Rajesh Rabari"/>
    <s v="Gandhidham"/>
    <x v="0"/>
    <s v="Rejected"/>
    <n v="130000"/>
    <n v="107108"/>
    <s v="Rejected"/>
    <s v="Rejected"/>
    <m/>
    <s v=""/>
    <s v="Starter"/>
    <s v="June"/>
    <s v="Q2"/>
  </r>
  <r>
    <s v="EOS0110"/>
    <s v="18/06/2025"/>
    <s v="FB"/>
    <s v="Boghara parth"/>
    <s v="Surat"/>
    <x v="0"/>
    <s v="Rejected"/>
    <n v="130000"/>
    <n v="107109"/>
    <s v="Rejected"/>
    <s v="Rejected"/>
    <m/>
    <s v=""/>
    <s v="Starter"/>
    <s v="June"/>
    <s v="Q2"/>
  </r>
  <r>
    <s v="EOS0111"/>
    <s v="18/06/2025"/>
    <s v="FB"/>
    <s v="Aakash Caterers"/>
    <s v="Jamnagar"/>
    <x v="0"/>
    <s v="Rejected"/>
    <n v="108000"/>
    <n v="107110"/>
    <s v="Rejected"/>
    <s v="Rejected"/>
    <m/>
    <s v=""/>
    <s v="Starter"/>
    <s v="June"/>
    <s v="Q2"/>
  </r>
  <r>
    <s v="EOS0112"/>
    <s v="18/06/2025"/>
    <s v="FB"/>
    <s v="𝐕𝐚𝐠𝐡𝐞𝐥𝐚 𝐘𝐚𝐬𝐡𝐫𝐚𝐣𝐬𝐢𝐧𝐡"/>
    <s v="Sanand"/>
    <x v="0"/>
    <s v="Rejected"/>
    <n v="130000"/>
    <n v="107111"/>
    <s v="Rejected"/>
    <s v="Rejected"/>
    <m/>
    <s v=""/>
    <s v="Starter"/>
    <s v="June"/>
    <s v="Q2"/>
  </r>
  <r>
    <s v="EOS0113"/>
    <s v="18/06/2025"/>
    <s v="FB"/>
    <s v="Vishal Rajgor"/>
    <s v="Rajkot"/>
    <x v="0"/>
    <s v="Rejected"/>
    <n v="130000"/>
    <n v="107112"/>
    <s v="Rejected"/>
    <s v="Rejected"/>
    <m/>
    <s v=""/>
    <s v="Starter"/>
    <s v="June"/>
    <s v="Q2"/>
  </r>
  <r>
    <s v="EOS0114"/>
    <s v="18/06/2025"/>
    <s v="FB"/>
    <s v="દિવ્યરાજસિંહ વાઘેલા"/>
    <s v="Jamnagar"/>
    <x v="0"/>
    <s v="Rejected"/>
    <n v="130000"/>
    <n v="107113"/>
    <s v="Rejected"/>
    <s v="Rejected"/>
    <m/>
    <s v=""/>
    <s v="Starter"/>
    <s v="June"/>
    <s v="Q2"/>
  </r>
  <r>
    <s v="EOS0115"/>
    <s v="18/06/2025"/>
    <s v="FB"/>
    <s v="𝐌𝐚𝐧𝐢𝐬𝐡 𝐜𝐡𝐚𝐮𝐡𝐚𝐧"/>
    <s v="Noida"/>
    <x v="1"/>
    <s v="Rejected"/>
    <n v="130000"/>
    <n v="107114"/>
    <s v="Rejected"/>
    <s v="Rejected"/>
    <m/>
    <s v=""/>
    <s v="Starter"/>
    <s v="June"/>
    <s v="Q2"/>
  </r>
  <r>
    <s v="EOS0116"/>
    <s v="18/06/2025"/>
    <s v="FB"/>
    <s v="Mahesh Sahu"/>
    <s v="Mau Ranipur"/>
    <x v="1"/>
    <s v="Rejected"/>
    <n v="108000"/>
    <n v="107115"/>
    <s v="Rejected"/>
    <s v="Rejected"/>
    <m/>
    <s v=""/>
    <s v="Starter"/>
    <s v="June"/>
    <s v="Q2"/>
  </r>
  <r>
    <s v="EOS0117"/>
    <s v="18/06/2025"/>
    <s v="FB"/>
    <s v="M Arsh"/>
    <s v="Delhi"/>
    <x v="6"/>
    <s v="Rejected"/>
    <n v="130000"/>
    <n v="107116"/>
    <s v="Rejected"/>
    <s v="Rejected"/>
    <m/>
    <s v=""/>
    <s v="Starter"/>
    <s v="June"/>
    <s v="Q2"/>
  </r>
  <r>
    <s v="EOS0118"/>
    <s v="18/06/2025"/>
    <s v="FB"/>
    <s v="Manoj Malik"/>
    <s v="Ghaziabad"/>
    <x v="1"/>
    <s v="Rejected"/>
    <n v="177000"/>
    <n v="107117"/>
    <s v="Rejected"/>
    <s v="Rejected"/>
    <m/>
    <s v=""/>
    <s v="Growth"/>
    <s v="June"/>
    <s v="Q2"/>
  </r>
  <r>
    <s v="EOS0119"/>
    <s v="18/06/2025"/>
    <s v="FB"/>
    <s v="𝚁𝚘𝚗𝚒𝚝 𝙲𝚑𝚊𝚗𝚍el"/>
    <s v="Meerut"/>
    <x v="1"/>
    <s v="Rejected"/>
    <n v="108000"/>
    <n v="107118"/>
    <s v="Rejected"/>
    <s v="Rejected"/>
    <m/>
    <s v=""/>
    <s v="Starter"/>
    <s v="June"/>
    <s v="Q2"/>
  </r>
  <r>
    <s v="EOS0120"/>
    <s v="18/06/2025"/>
    <s v="FB"/>
    <s v="Rangesh Kumar"/>
    <s v="Khagaria"/>
    <x v="7"/>
    <s v="Rejected"/>
    <n v="177000"/>
    <n v="107119"/>
    <s v="Rejected"/>
    <s v="Rejected"/>
    <m/>
    <s v=""/>
    <s v="Growth"/>
    <s v="June"/>
    <s v="Q2"/>
  </r>
  <r>
    <s v="EOS0121"/>
    <s v="18/06/2025"/>
    <s v="FB"/>
    <s v="Meet Patadiya"/>
    <s v="Ahmedabad"/>
    <x v="0"/>
    <s v="Rejected"/>
    <n v="130000"/>
    <n v="107120"/>
    <s v="Rejected"/>
    <s v="Rejected"/>
    <m/>
    <s v=""/>
    <s v="Starter"/>
    <s v="June"/>
    <s v="Q2"/>
  </r>
  <r>
    <s v="EOS0122"/>
    <s v="18/06/2025"/>
    <s v="FB"/>
    <s v="chauhan jayant"/>
    <s v="Rajkot"/>
    <x v="0"/>
    <s v="Rejected"/>
    <n v="130000"/>
    <n v="107121"/>
    <s v="Rejected"/>
    <s v="Rejected"/>
    <m/>
    <s v=""/>
    <s v="Starter"/>
    <s v="June"/>
    <s v="Q2"/>
  </r>
  <r>
    <s v="EOS0123"/>
    <s v="18/06/2025"/>
    <s v="FB"/>
    <s v="Akash Aggarwal"/>
    <s v="Ghaziabad"/>
    <x v="1"/>
    <s v="Rejected"/>
    <n v="130000"/>
    <n v="107122"/>
    <s v="Rejected"/>
    <s v="Rejected"/>
    <m/>
    <s v=""/>
    <s v="Starter"/>
    <s v="June"/>
    <s v="Q2"/>
  </r>
  <r>
    <s v="EOS0124"/>
    <s v="18/06/2025"/>
    <s v="FB"/>
    <s v="Arshad Khan"/>
    <s v="Baikunthpur"/>
    <x v="3"/>
    <s v="Rejected"/>
    <n v="108000"/>
    <n v="107123"/>
    <s v="Rejected"/>
    <s v="Rejected"/>
    <m/>
    <s v=""/>
    <s v="Starter"/>
    <s v="June"/>
    <s v="Q2"/>
  </r>
  <r>
    <s v="EOS0125"/>
    <s v="18/06/2025"/>
    <s v="FB"/>
    <s v="Samad"/>
    <s v="Kanpur"/>
    <x v="1"/>
    <s v="Deal"/>
    <n v="108000"/>
    <n v="107124"/>
    <s v="Deal"/>
    <s v="Converted"/>
    <d v="2025-06-28T00:00:00"/>
    <n v="10"/>
    <s v="Starter"/>
    <s v="June"/>
    <s v="Q2"/>
  </r>
  <r>
    <s v="EOS0126"/>
    <s v="18/06/2025"/>
    <s v="FB"/>
    <s v="Avakesh Vaghela"/>
    <s v="Gandhinagar"/>
    <x v="0"/>
    <s v="Rejected"/>
    <n v="108000"/>
    <n v="107125"/>
    <s v="Rejected"/>
    <s v="Rejected"/>
    <m/>
    <s v=""/>
    <s v="Starter"/>
    <s v="June"/>
    <s v="Q2"/>
  </r>
  <r>
    <s v="EOS0127"/>
    <s v="19/06/2025"/>
    <s v="FB"/>
    <s v="Ranjitsinh Thakor"/>
    <s v="Vadnagar"/>
    <x v="0"/>
    <s v="Rejected"/>
    <n v="108000"/>
    <n v="107126"/>
    <s v="Rejected"/>
    <s v="Rejected"/>
    <m/>
    <s v=""/>
    <s v="Starter"/>
    <s v="June"/>
    <s v="Q2"/>
  </r>
  <r>
    <s v="EOS0128"/>
    <s v="19/06/2025"/>
    <s v="FB"/>
    <s v="Pravinsinh"/>
    <s v="Chadasna"/>
    <x v="0"/>
    <s v="Rejected"/>
    <n v="130000"/>
    <n v="107127"/>
    <s v="Rejected"/>
    <s v="Rejected"/>
    <m/>
    <s v=""/>
    <s v="Starter"/>
    <s v="June"/>
    <s v="Q2"/>
  </r>
  <r>
    <s v="EOS0129"/>
    <s v="19/06/2025"/>
    <s v="FB"/>
    <s v="Rajesh"/>
    <s v=" Bhavnagar"/>
    <x v="0"/>
    <s v="Rejected"/>
    <n v="108000"/>
    <n v="107128"/>
    <s v="Rejected"/>
    <s v="Rejected"/>
    <m/>
    <s v=""/>
    <s v="Starter"/>
    <s v="June"/>
    <s v="Q2"/>
  </r>
  <r>
    <s v="EOS0130"/>
    <s v="19/06/2025"/>
    <s v="FB"/>
    <s v="Dev Jariwala"/>
    <s v="Surat"/>
    <x v="0"/>
    <s v="Rejected"/>
    <n v="177000"/>
    <n v="107129"/>
    <s v="Rejected"/>
    <s v="Rejected"/>
    <m/>
    <s v=""/>
    <s v="Growth"/>
    <s v="June"/>
    <s v="Q2"/>
  </r>
  <r>
    <s v="EOS0131"/>
    <s v="20/06/2025"/>
    <s v="FB"/>
    <s v="Nikunj Patel"/>
    <s v="VALSAD"/>
    <x v="0"/>
    <s v="Rejected"/>
    <n v="108000"/>
    <n v="107130"/>
    <s v="Rejected"/>
    <s v="Rejected"/>
    <m/>
    <s v=""/>
    <s v="Starter"/>
    <s v="June"/>
    <s v="Q2"/>
  </r>
  <r>
    <s v="EOS0132"/>
    <s v="20/06/2025"/>
    <s v="FB"/>
    <s v="ↁ卄尺ㄩƔ P A T E L"/>
    <s v="Nadiad"/>
    <x v="0"/>
    <s v="Rejected"/>
    <n v="108000"/>
    <n v="107131"/>
    <s v="Rejected"/>
    <s v="Rejected"/>
    <m/>
    <s v=""/>
    <s v="Starter"/>
    <s v="June"/>
    <s v="Q2"/>
  </r>
  <r>
    <s v="EOS0133"/>
    <s v="23/06/2025"/>
    <s v="FB"/>
    <s v="MD AMIR HAMZA"/>
    <m/>
    <x v="8"/>
    <s v="Rejected"/>
    <n v="130000"/>
    <n v="107132"/>
    <s v="Rejected"/>
    <s v="Rejected"/>
    <m/>
    <s v=""/>
    <s v="Starter"/>
    <s v="June"/>
    <s v="Q2"/>
  </r>
  <r>
    <s v="EOS0134"/>
    <s v="23/06/2025"/>
    <s v="FB"/>
    <s v="monu kumar"/>
    <s v="Bettiah"/>
    <x v="7"/>
    <s v="Rejected"/>
    <n v="130000"/>
    <n v="107133"/>
    <s v="Rejected"/>
    <s v="Rejected"/>
    <m/>
    <s v=""/>
    <s v="Starter"/>
    <s v="June"/>
    <s v="Q2"/>
  </r>
  <r>
    <s v="EOS0135"/>
    <s v="23/06/2025"/>
    <s v="FB"/>
    <s v="RAHUL_PINJANI_24"/>
    <s v=" Bhavnagar"/>
    <x v="0"/>
    <s v="Rejected"/>
    <n v="108000"/>
    <n v="107134"/>
    <s v="Rejected"/>
    <s v="Rejected"/>
    <m/>
    <s v=""/>
    <s v="Starter"/>
    <s v="June"/>
    <s v="Q2"/>
  </r>
  <r>
    <s v="EOS0136"/>
    <s v="23/06/2025"/>
    <s v="FB"/>
    <s v="☬꧂ ɢǟʊʀǟʋ քʀǟʝǟքǟȶɨ ☬꧂"/>
    <s v="Rajkot"/>
    <x v="0"/>
    <s v="Rejected"/>
    <n v="108000"/>
    <n v="107135"/>
    <s v="Rejected"/>
    <s v="Rejected"/>
    <m/>
    <s v=""/>
    <s v="Starter"/>
    <s v="June"/>
    <s v="Q2"/>
  </r>
  <r>
    <s v="EOS0137"/>
    <s v="23/06/2025"/>
    <s v="FB"/>
    <s v="Vivek_vadodariya2601"/>
    <s v="Surat"/>
    <x v="0"/>
    <s v="Rejected"/>
    <n v="108000"/>
    <n v="107136"/>
    <s v="Rejected"/>
    <s v="Rejected"/>
    <m/>
    <s v=""/>
    <s v="Starter"/>
    <s v="June"/>
    <s v="Q2"/>
  </r>
  <r>
    <s v="EOS0138"/>
    <s v="23/06/2025"/>
    <s v="FB"/>
    <s v="Dharmesh Zakheliya"/>
    <s v="Rajkot"/>
    <x v="0"/>
    <s v="Rejected"/>
    <n v="130000"/>
    <n v="107137"/>
    <s v="Rejected"/>
    <s v="Rejected"/>
    <m/>
    <s v=""/>
    <s v="Starter"/>
    <s v="June"/>
    <s v="Q2"/>
  </r>
  <r>
    <s v="EOS0139"/>
    <s v="23/06/2025"/>
    <s v="FB"/>
    <s v="Sun Shaine Imran Lihar"/>
    <s v="Modasa"/>
    <x v="0"/>
    <s v="Rejected"/>
    <n v="130000"/>
    <n v="107138"/>
    <s v="Rejected"/>
    <s v="Rejected"/>
    <m/>
    <s v=""/>
    <s v="Starter"/>
    <s v="June"/>
    <s v="Q2"/>
  </r>
  <r>
    <s v="EOS0140"/>
    <s v="23/06/2025"/>
    <s v="FB"/>
    <s v="jayesh gauswami"/>
    <s v="Adipur"/>
    <x v="0"/>
    <s v="Rejected"/>
    <n v="130000"/>
    <n v="107139"/>
    <s v="Rejected"/>
    <s v="Rejected"/>
    <m/>
    <s v=""/>
    <s v="Starter"/>
    <s v="June"/>
    <s v="Q2"/>
  </r>
  <r>
    <s v="EOS0141"/>
    <s v="23/06/2025"/>
    <s v="FB"/>
    <s v="Danidhariya Vipul"/>
    <s v=" Bhavnagar"/>
    <x v="0"/>
    <s v="Rejected"/>
    <n v="108000"/>
    <n v="107140"/>
    <s v="Rejected"/>
    <s v="Rejected"/>
    <m/>
    <s v=""/>
    <s v="Starter"/>
    <s v="June"/>
    <s v="Q2"/>
  </r>
  <r>
    <s v="EOS0142"/>
    <s v="23/06/2025"/>
    <s v="FB"/>
    <s v="ʀ ᴀ ʜ ᴜ ʟ ࿇ м ᴀ ᴋ ᴠ ᴀ ɴ ᴀ"/>
    <s v="Surat"/>
    <x v="0"/>
    <s v="Rejected"/>
    <n v="108000"/>
    <n v="107141"/>
    <s v="Rejected"/>
    <s v="Rejected"/>
    <m/>
    <s v=""/>
    <s v="Starter"/>
    <s v="June"/>
    <s v="Q2"/>
  </r>
  <r>
    <s v="EOS0143"/>
    <s v="23/06/2025"/>
    <s v="FB"/>
    <s v="Jinesh Joshi"/>
    <s v="Rajkot"/>
    <x v="0"/>
    <s v="Rejected"/>
    <n v="130000"/>
    <n v="107142"/>
    <s v="Rejected"/>
    <s v="Rejected"/>
    <m/>
    <s v=""/>
    <s v="Starter"/>
    <s v="June"/>
    <s v="Q2"/>
  </r>
  <r>
    <s v="EOS0144"/>
    <s v="23/06/2025"/>
    <s v="FB"/>
    <s v="Prajapati Yogesh"/>
    <s v="Ankleshwar"/>
    <x v="0"/>
    <s v="Rejected"/>
    <n v="108000"/>
    <n v="107143"/>
    <s v="Rejected"/>
    <s v="Rejected"/>
    <m/>
    <s v=""/>
    <s v="Starter"/>
    <s v="June"/>
    <s v="Q2"/>
  </r>
  <r>
    <s v="EOS0145"/>
    <s v="23/06/2025"/>
    <s v="FB"/>
    <s v="Modan Bhaijan Modan"/>
    <s v=" Bhavnagar"/>
    <x v="0"/>
    <s v="Rejected"/>
    <n v="177000"/>
    <n v="107144"/>
    <s v="Rejected"/>
    <s v="Rejected"/>
    <m/>
    <s v=""/>
    <s v="Growth"/>
    <s v="June"/>
    <s v="Q2"/>
  </r>
  <r>
    <s v="EOS0146"/>
    <s v="23/06/2025"/>
    <s v="FB"/>
    <s v="Dhruv 1137"/>
    <s v="Mehsana"/>
    <x v="0"/>
    <s v="Rejected"/>
    <n v="130000"/>
    <n v="107145"/>
    <s v="Rejected"/>
    <s v="Rejected"/>
    <m/>
    <s v=""/>
    <s v="Starter"/>
    <s v="June"/>
    <s v="Q2"/>
  </r>
  <r>
    <s v="EOS0147"/>
    <s v="23/06/2025"/>
    <s v="FB"/>
    <s v="Gopal Sadhu"/>
    <s v="SURAT"/>
    <x v="0"/>
    <s v="Rejected"/>
    <n v="108000"/>
    <n v="107146"/>
    <s v="Rejected"/>
    <s v="Rejected"/>
    <m/>
    <s v=""/>
    <s v="Starter"/>
    <s v="June"/>
    <s v="Q2"/>
  </r>
  <r>
    <s v="EOS0148"/>
    <s v="23/06/2025"/>
    <s v="FB"/>
    <n v="1"/>
    <s v="Jhalod"/>
    <x v="0"/>
    <s v="Rejected"/>
    <n v="108000"/>
    <n v="107147"/>
    <s v="Rejected"/>
    <s v="Rejected"/>
    <m/>
    <s v=""/>
    <s v="Starter"/>
    <s v="June"/>
    <s v="Q2"/>
  </r>
  <r>
    <s v="EOS0149"/>
    <s v="23/06/2025"/>
    <s v="FB"/>
    <s v="Mahir Andheri"/>
    <s v="Nadiad"/>
    <x v="0"/>
    <s v="Rejected"/>
    <n v="108000"/>
    <n v="107148"/>
    <s v="Rejected"/>
    <s v="Rejected"/>
    <m/>
    <s v=""/>
    <s v="Starter"/>
    <s v="June"/>
    <s v="Q2"/>
  </r>
  <r>
    <s v="EOS0150"/>
    <s v="23/06/2025"/>
    <s v="FB"/>
    <s v="……."/>
    <s v="Jamnagar"/>
    <x v="0"/>
    <s v="Rejected"/>
    <n v="108000"/>
    <n v="107149"/>
    <s v="Rejected"/>
    <s v="Rejected"/>
    <m/>
    <s v=""/>
    <s v="Starter"/>
    <s v="June"/>
    <s v="Q2"/>
  </r>
  <r>
    <s v="EOS0151"/>
    <s v="23/06/2025"/>
    <s v="FB"/>
    <s v="SANDIPSINH RAJPUT"/>
    <s v="Vav"/>
    <x v="0"/>
    <s v="Rejected"/>
    <n v="130000"/>
    <n v="107150"/>
    <s v="Rejected"/>
    <s v="Rejected"/>
    <m/>
    <s v=""/>
    <s v="Starter"/>
    <s v="June"/>
    <s v="Q2"/>
  </r>
  <r>
    <s v="EOS0152"/>
    <s v="23/06/2025"/>
    <s v="FB"/>
    <s v="JATIN GUJARIYA"/>
    <s v="Mahuva Bandar"/>
    <x v="0"/>
    <s v="Rejected"/>
    <n v="130000"/>
    <n v="107151"/>
    <s v="Rejected"/>
    <s v="Rejected"/>
    <m/>
    <s v=""/>
    <s v="Starter"/>
    <s v="June"/>
    <s v="Q2"/>
  </r>
  <r>
    <s v="EOS0153"/>
    <s v="23/06/2025"/>
    <s v="FB"/>
    <s v="P N Jadeja"/>
    <s v="Gandhidham"/>
    <x v="0"/>
    <s v="Deal"/>
    <n v="130000"/>
    <n v="107152"/>
    <s v="Deal"/>
    <s v="Converted"/>
    <d v="2025-07-05T00:00:00"/>
    <n v="12"/>
    <s v="Starter"/>
    <s v="June"/>
    <s v="Q2"/>
  </r>
  <r>
    <s v="EOS0154"/>
    <s v="23/06/2025"/>
    <s v="FB"/>
    <s v="Riyaz Pathan"/>
    <s v="Veraval"/>
    <x v="0"/>
    <s v="Rejected"/>
    <n v="108000"/>
    <n v="107153"/>
    <s v="Rejected"/>
    <s v="Rejected"/>
    <m/>
    <s v=""/>
    <s v="Starter"/>
    <s v="June"/>
    <s v="Q2"/>
  </r>
  <r>
    <s v="EOS0155"/>
    <s v="23/06/2025"/>
    <s v="FB"/>
    <s v="SOLANKI MITESH"/>
    <s v="Dhangdhra"/>
    <x v="0"/>
    <s v="Rejected"/>
    <n v="177000"/>
    <n v="107154"/>
    <s v="Rejected"/>
    <s v="Rejected"/>
    <m/>
    <s v=""/>
    <s v="Growth"/>
    <s v="June"/>
    <s v="Q2"/>
  </r>
  <r>
    <s v="EOS0156"/>
    <s v="23/06/2025"/>
    <s v="FB"/>
    <s v="Shishupal Bishnoi"/>
    <s v="Ahmedabad"/>
    <x v="0"/>
    <s v="Rejected"/>
    <n v="177000"/>
    <n v="107155"/>
    <s v="Rejected"/>
    <s v="Rejected"/>
    <m/>
    <s v=""/>
    <s v="Growth"/>
    <s v="June"/>
    <s v="Q2"/>
  </r>
  <r>
    <s v="EOS0157"/>
    <s v="23/06/2025"/>
    <s v="FB"/>
    <s v="Jigar Ramanbhai Patel"/>
    <s v="Mehsana"/>
    <x v="0"/>
    <s v="Rejected"/>
    <n v="108000"/>
    <n v="107156"/>
    <s v="Rejected"/>
    <s v="Rejected"/>
    <m/>
    <s v=""/>
    <s v="Starter"/>
    <s v="June"/>
    <s v="Q2"/>
  </r>
  <r>
    <s v="EOS0158"/>
    <s v="23/06/2025"/>
    <s v="FB"/>
    <s v="Sahebaz Shaikh"/>
    <s v="Nadiad"/>
    <x v="0"/>
    <s v="Rejected"/>
    <n v="130000"/>
    <n v="107157"/>
    <s v="Rejected"/>
    <s v="Rejected"/>
    <m/>
    <s v=""/>
    <s v="Starter"/>
    <s v="June"/>
    <s v="Q2"/>
  </r>
  <r>
    <s v="EOS0159"/>
    <s v="23/06/2025"/>
    <s v="FB"/>
    <s v="Khalid Mandha"/>
    <s v="Jamnagar"/>
    <x v="0"/>
    <s v="Rejected"/>
    <n v="108000"/>
    <n v="107158"/>
    <s v="Rejected"/>
    <s v="Rejected"/>
    <m/>
    <s v=""/>
    <s v="Starter"/>
    <s v="June"/>
    <s v="Q2"/>
  </r>
  <r>
    <s v="EOS0160"/>
    <s v="23/06/2025"/>
    <s v="FB"/>
    <s v="BhaRat ChauDhary"/>
    <s v="Dhanera"/>
    <x v="0"/>
    <s v="Rejected"/>
    <n v="108000"/>
    <n v="107159"/>
    <s v="Rejected"/>
    <s v="Rejected"/>
    <m/>
    <s v=""/>
    <s v="Starter"/>
    <s v="June"/>
    <s v="Q2"/>
  </r>
  <r>
    <s v="EOS0161"/>
    <s v="23/06/2025"/>
    <s v="FB"/>
    <s v="Hiren"/>
    <s v="Ankleshwar"/>
    <x v="0"/>
    <s v="Deal"/>
    <n v="108000"/>
    <n v="107160"/>
    <s v="Deal"/>
    <s v="Converted"/>
    <d v="2025-06-30T00:00:00"/>
    <n v="7"/>
    <s v="Starter"/>
    <s v="June"/>
    <s v="Q2"/>
  </r>
  <r>
    <s v="EOS0162"/>
    <s v="23/06/2025"/>
    <s v="FB"/>
    <s v="Rakesh Parmar"/>
    <s v="Ahmedabad"/>
    <x v="0"/>
    <s v="Rejected"/>
    <n v="108000"/>
    <n v="107161"/>
    <s v="Rejected"/>
    <s v="Rejected"/>
    <m/>
    <s v=""/>
    <s v="Starter"/>
    <s v="June"/>
    <s v="Q2"/>
  </r>
  <r>
    <s v="EOS0163"/>
    <d v="2025-06-26T00:00:00"/>
    <s v="FB"/>
    <s v="jatin "/>
    <s v="Mahuva "/>
    <x v="0"/>
    <s v="Deal"/>
    <n v="108000"/>
    <n v="107162"/>
    <s v="Deal"/>
    <s v="Converted"/>
    <d v="2025-07-01T00:00:00"/>
    <n v="5"/>
    <s v="Starter"/>
    <s v="June"/>
    <s v="Q2"/>
  </r>
  <r>
    <s v="EOS0164"/>
    <s v="26/06/2025"/>
    <s v="FB"/>
    <s v="Udaysinh"/>
    <s v="Rajkot"/>
    <x v="0"/>
    <s v="Rejected"/>
    <n v="130000"/>
    <n v="107163"/>
    <s v="Rejected"/>
    <s v="Rejected"/>
    <m/>
    <s v=""/>
    <s v="Starter"/>
    <s v="June"/>
    <s v="Q2"/>
  </r>
  <r>
    <s v="EOS0165"/>
    <s v="26/06/2025"/>
    <s v="FB"/>
    <s v="Vikram Rajput"/>
    <s v="Vadodara"/>
    <x v="0"/>
    <s v="Rejected"/>
    <n v="108000"/>
    <n v="107164"/>
    <s v="Rejected"/>
    <s v="Rejected"/>
    <m/>
    <s v=""/>
    <s v="Starter"/>
    <s v="June"/>
    <s v="Q2"/>
  </r>
  <r>
    <s v="EOS0166"/>
    <s v="26/06/2025"/>
    <s v="FB"/>
    <s v="Rajsee Pandey"/>
    <s v="Lucknow"/>
    <x v="1"/>
    <s v="Rejected"/>
    <n v="108000"/>
    <n v="107165"/>
    <s v="Rejected"/>
    <s v="Rejected"/>
    <m/>
    <s v=""/>
    <s v="Starter"/>
    <s v="June"/>
    <s v="Q2"/>
  </r>
  <r>
    <s v="EOS0167"/>
    <s v="26/06/2025"/>
    <s v="FB"/>
    <s v="Anowar Hossain"/>
    <s v=" Cooch behar"/>
    <x v="9"/>
    <s v="Rejected"/>
    <n v="308000"/>
    <n v="107166"/>
    <s v="Rejected"/>
    <s v="Rejected"/>
    <m/>
    <s v=""/>
    <s v="Premium"/>
    <s v="June"/>
    <s v="Q2"/>
  </r>
  <r>
    <s v="EOS0168"/>
    <s v="26/06/2025"/>
    <s v="FB"/>
    <s v="Alok"/>
    <s v="Surat"/>
    <x v="0"/>
    <s v="Rejected"/>
    <n v="177000"/>
    <n v="107167"/>
    <s v="Rejected"/>
    <s v="Rejected"/>
    <m/>
    <s v=""/>
    <s v="Growth"/>
    <s v="June"/>
    <s v="Q2"/>
  </r>
  <r>
    <s v="EOS0169"/>
    <s v="27/06/2025"/>
    <s v="FB"/>
    <s v="ꜱᴏʜɪʟ ʙɪʟᴀᴋʜɪʏᴀ"/>
    <s v="Palitana"/>
    <x v="0"/>
    <s v="Rejected"/>
    <n v="108000"/>
    <n v="107168"/>
    <s v="Rejected"/>
    <s v="Rejected"/>
    <m/>
    <s v=""/>
    <s v="Starter"/>
    <s v="June"/>
    <s v="Q2"/>
  </r>
  <r>
    <s v="EOS0170"/>
    <s v="27/06/2025"/>
    <s v="FB"/>
    <s v="Amit Rana"/>
    <s v="surat"/>
    <x v="0"/>
    <s v="Rejected"/>
    <n v="130000"/>
    <n v="107169"/>
    <s v="Rejected"/>
    <s v="Rejected"/>
    <m/>
    <s v=""/>
    <s v="Starter"/>
    <s v="June"/>
    <s v="Q2"/>
  </r>
  <r>
    <s v="EOS0171"/>
    <s v="27/06/2025"/>
    <s v="FB"/>
    <s v="Vaibhav Joshi"/>
    <s v="surat"/>
    <x v="0"/>
    <s v="Rejected"/>
    <n v="130000"/>
    <n v="107170"/>
    <s v="Rejected"/>
    <s v="Rejected"/>
    <m/>
    <s v=""/>
    <s v="Starter"/>
    <s v="June"/>
    <s v="Q2"/>
  </r>
  <r>
    <s v="EOS0172"/>
    <s v="27/06/2025"/>
    <s v="FB"/>
    <s v="Narendrasinh Zala"/>
    <s v=" Bhavnagar"/>
    <x v="0"/>
    <s v="Rejected"/>
    <n v="130000"/>
    <n v="107171"/>
    <s v="Rejected"/>
    <s v="Rejected"/>
    <m/>
    <s v=""/>
    <s v="Starter"/>
    <s v="June"/>
    <s v="Q2"/>
  </r>
  <r>
    <s v="EOS0173"/>
    <s v="27/06/2025"/>
    <s v="FB"/>
    <s v="Thakkar Mahesh Anubhai"/>
    <s v="Nadiad"/>
    <x v="0"/>
    <s v="Rejected"/>
    <n v="130000"/>
    <n v="107172"/>
    <s v="Rejected"/>
    <s v="Rejected"/>
    <m/>
    <s v=""/>
    <s v="Starter"/>
    <s v="June"/>
    <s v="Q2"/>
  </r>
  <r>
    <s v="EOS0174"/>
    <s v="27/06/2025"/>
    <s v="FB"/>
    <s v="Galathiya Parth"/>
    <s v="Savarkundla"/>
    <x v="0"/>
    <s v="Rejected"/>
    <n v="108000"/>
    <n v="107173"/>
    <s v="Rejected"/>
    <s v="Rejected"/>
    <m/>
    <s v=""/>
    <s v="Starter"/>
    <s v="June"/>
    <s v="Q2"/>
  </r>
  <r>
    <s v="EOS0175"/>
    <s v="27/06/2025"/>
    <s v="FB"/>
    <s v="Kritika singh"/>
    <s v="Beohari"/>
    <x v="4"/>
    <s v="Rejected"/>
    <n v="108000"/>
    <n v="107174"/>
    <s v="Rejected"/>
    <s v="Rejected"/>
    <m/>
    <s v=""/>
    <s v="Starter"/>
    <s v="June"/>
    <s v="Q2"/>
  </r>
  <r>
    <s v="EOS0176"/>
    <s v="28/06/2025"/>
    <s v="FB"/>
    <s v="Samad Agwan."/>
    <s v="veraval"/>
    <x v="0"/>
    <s v="Rejected"/>
    <n v="130000"/>
    <n v="107175"/>
    <s v="Rejected"/>
    <s v="Rejected"/>
    <m/>
    <s v=""/>
    <s v="Starter"/>
    <s v="June"/>
    <s v="Q2"/>
  </r>
  <r>
    <s v="EOS0177"/>
    <s v="28/06/2025"/>
    <s v="FB"/>
    <s v="𝐀𝐕𝐄𝐒𝐇 𝐕𝐀𝐃𝐀𝐃𝐀𝐑𝐈𝐘𝐀"/>
    <s v="Surendranagar"/>
    <x v="0"/>
    <s v="Rejected"/>
    <n v="108000"/>
    <n v="107176"/>
    <s v="Rejected"/>
    <s v="Rejected"/>
    <m/>
    <s v=""/>
    <s v="Starter"/>
    <s v="June"/>
    <s v="Q2"/>
  </r>
  <r>
    <s v="EOS0178"/>
    <s v="28/06/2025"/>
    <s v="FB"/>
    <s v="Raju Kumar Sah"/>
    <s v="Godda"/>
    <x v="10"/>
    <s v="Rejected"/>
    <n v="108000"/>
    <n v="107177"/>
    <s v="Rejected"/>
    <s v="Rejected"/>
    <m/>
    <s v=""/>
    <s v="Starter"/>
    <s v="June"/>
    <s v="Q2"/>
  </r>
  <r>
    <s v="EOS0179"/>
    <s v="28/06/2025"/>
    <s v="FB"/>
    <s v="Tanmay adhikari"/>
    <m/>
    <x v="9"/>
    <s v="Rejected"/>
    <n v="108000"/>
    <n v="107178"/>
    <s v="Rejected"/>
    <s v="Rejected"/>
    <m/>
    <s v=""/>
    <s v="Starter"/>
    <s v="June"/>
    <s v="Q2"/>
  </r>
  <r>
    <s v="EOS0180"/>
    <s v="28/06/2025"/>
    <s v="FB"/>
    <s v="GOPAL"/>
    <s v="Rajkot"/>
    <x v="0"/>
    <s v="Rejected"/>
    <n v="108000"/>
    <n v="107179"/>
    <s v="Rejected"/>
    <s v="Rejected"/>
    <m/>
    <s v=""/>
    <s v="Starter"/>
    <s v="June"/>
    <s v="Q2"/>
  </r>
  <r>
    <s v="EOS0181"/>
    <s v="29/06/2025"/>
    <s v="FB"/>
    <s v="Mayur"/>
    <s v="Rajkot"/>
    <x v="0"/>
    <s v="Rejected"/>
    <n v="108000"/>
    <n v="107180"/>
    <s v="Rejected"/>
    <s v="Rejected"/>
    <m/>
    <s v=""/>
    <s v="Starter"/>
    <s v="June"/>
    <s v="Q2"/>
  </r>
  <r>
    <s v="EOS0182"/>
    <s v="29/06/2025"/>
    <s v="FB"/>
    <s v="Gita.k"/>
    <s v="Lakhamipur"/>
    <x v="7"/>
    <s v="Rejected"/>
    <n v="130000"/>
    <n v="107181"/>
    <s v="Rejected"/>
    <s v="Rejected"/>
    <m/>
    <s v=""/>
    <s v="Starter"/>
    <s v="June"/>
    <s v="Q2"/>
  </r>
  <r>
    <s v="EOS0183"/>
    <s v="29/06/2025"/>
    <s v="FB"/>
    <s v="Ravi Prajapati"/>
    <s v="Wankaner"/>
    <x v="0"/>
    <s v="Rejected"/>
    <n v="177000"/>
    <n v="107182"/>
    <s v="Rejected"/>
    <s v="Rejected"/>
    <m/>
    <s v=""/>
    <s v="Growth"/>
    <s v="June"/>
    <s v="Q2"/>
  </r>
  <r>
    <s v="EOS0184"/>
    <s v="29/06/2025"/>
    <s v="FB"/>
    <s v="Raviraj Bhagat"/>
    <s v="Thangadh"/>
    <x v="0"/>
    <s v="Rejected"/>
    <n v="130000"/>
    <n v="107183"/>
    <s v="Rejected"/>
    <s v="Rejected"/>
    <m/>
    <s v=""/>
    <s v="Starter"/>
    <s v="June"/>
    <s v="Q2"/>
  </r>
  <r>
    <s v="EOS0185"/>
    <s v="30/06/2025"/>
    <s v="FB"/>
    <s v="NA"/>
    <s v="Adesar"/>
    <x v="0"/>
    <s v="Rejected"/>
    <n v="130000"/>
    <n v="107184"/>
    <s v="Rejected"/>
    <s v="Rejected"/>
    <m/>
    <s v=""/>
    <s v="Starter"/>
    <s v="June"/>
    <s v="Q2"/>
  </r>
  <r>
    <s v="EOS0186"/>
    <s v="30/06/2025"/>
    <s v="FB"/>
    <s v="RAJA"/>
    <s v="Ahmedabad"/>
    <x v="0"/>
    <s v="Rejected"/>
    <n v="130000"/>
    <n v="107185"/>
    <s v="Rejected"/>
    <s v="Rejected"/>
    <m/>
    <s v=""/>
    <s v="Starter"/>
    <s v="June"/>
    <s v="Q2"/>
  </r>
  <r>
    <s v="EOS0187"/>
    <s v="30/06/2025"/>
    <s v="FB"/>
    <s v="Jethava Bhavdip"/>
    <s v="Ahmedabad"/>
    <x v="0"/>
    <s v="Rejected"/>
    <n v="130000"/>
    <n v="107186"/>
    <s v="Rejected"/>
    <s v="Rejected"/>
    <m/>
    <s v=""/>
    <s v="Starter"/>
    <s v="June"/>
    <s v="Q2"/>
  </r>
  <r>
    <s v="EOS0188"/>
    <s v="30/06/2025"/>
    <s v="FB"/>
    <s v="Jayraj Sinh Vaghela"/>
    <s v="Ahmedabad"/>
    <x v="0"/>
    <s v="Rejected"/>
    <n v="108000"/>
    <n v="107187"/>
    <s v="Rejected"/>
    <s v="Rejected"/>
    <m/>
    <s v=""/>
    <s v="Starter"/>
    <s v="June"/>
    <s v="Q2"/>
  </r>
  <r>
    <s v="EOS0189"/>
    <s v="30/06/2025"/>
    <s v="FB"/>
    <s v="hirenbhai upadhyay"/>
    <s v="MAHUVA"/>
    <x v="0"/>
    <s v="Rejected"/>
    <n v="108000"/>
    <n v="107188"/>
    <s v="Rejected"/>
    <s v="Rejected"/>
    <m/>
    <s v=""/>
    <s v="Starter"/>
    <s v="June"/>
    <s v="Q2"/>
  </r>
  <r>
    <s v="EOS0190"/>
    <s v="30/06/2025"/>
    <s v="FB"/>
    <s v="jay"/>
    <s v="Ahmedabad"/>
    <x v="0"/>
    <s v="Rejected"/>
    <n v="130000"/>
    <n v="107189"/>
    <s v="Rejected"/>
    <s v="Rejected"/>
    <m/>
    <s v=""/>
    <s v="Starter"/>
    <s v="June"/>
    <s v="Q2"/>
  </r>
  <r>
    <s v="EOS0191"/>
    <s v="30/06/2025"/>
    <s v="FB"/>
    <s v="Vikas Nayak"/>
    <s v="Ahmedabad"/>
    <x v="0"/>
    <s v="Rejected"/>
    <n v="177000"/>
    <n v="107190"/>
    <s v="Rejected"/>
    <s v="Rejected"/>
    <m/>
    <s v=""/>
    <s v="Growth"/>
    <s v="June"/>
    <s v="Q2"/>
  </r>
  <r>
    <s v="EOS0192"/>
    <s v="30/06/2025"/>
    <s v="FB"/>
    <s v="NA"/>
    <s v="Bhuj"/>
    <x v="0"/>
    <s v="Rejected"/>
    <n v="177000"/>
    <n v="107191"/>
    <s v="Rejected"/>
    <s v="Rejected"/>
    <m/>
    <s v=""/>
    <s v="Growth"/>
    <s v="June"/>
    <s v="Q2"/>
  </r>
  <r>
    <s v="EOS0193"/>
    <s v="30/06/2025"/>
    <s v="FB"/>
    <s v="atul_ahir_3204"/>
    <s v="Jamnagar"/>
    <x v="0"/>
    <s v="Rejected"/>
    <n v="130000"/>
    <n v="107192"/>
    <s v="Rejected"/>
    <s v="Rejected"/>
    <m/>
    <s v=""/>
    <s v="Starter"/>
    <s v="June"/>
    <s v="Q2"/>
  </r>
  <r>
    <s v="EOS0194"/>
    <s v="30/06/2025"/>
    <s v="FB"/>
    <s v="Rahul Chavhan"/>
    <s v="Amravati"/>
    <x v="5"/>
    <s v="Rejected"/>
    <n v="177000"/>
    <n v="107193"/>
    <s v="Rejected"/>
    <s v="Rejected"/>
    <m/>
    <s v=""/>
    <s v="Growth"/>
    <s v="June"/>
    <s v="Q2"/>
  </r>
  <r>
    <s v="EOS0195"/>
    <s v="30/06/2025"/>
    <s v="FB"/>
    <s v="Anand Suryavanshi"/>
    <s v="Patna"/>
    <x v="4"/>
    <s v="Rejected"/>
    <n v="108000"/>
    <n v="107194"/>
    <s v="Rejected"/>
    <s v="Rejected"/>
    <m/>
    <s v=""/>
    <s v="Starter"/>
    <s v="June"/>
    <s v="Q2"/>
  </r>
  <r>
    <s v="EOS0196"/>
    <d v="2025-07-01T00:00:00"/>
    <s v="FB"/>
    <s v="Arman Pathan"/>
    <s v="Palitana"/>
    <x v="0"/>
    <s v="Rejected"/>
    <n v="108000"/>
    <n v="107195"/>
    <s v="Rejected"/>
    <s v="Rejected"/>
    <m/>
    <s v=""/>
    <s v="Starter"/>
    <s v="July"/>
    <s v="Q3"/>
  </r>
  <r>
    <s v="EOS0197"/>
    <d v="2025-07-01T00:00:00"/>
    <s v="FB"/>
    <s v="Salman Vohra"/>
    <s v="Anand"/>
    <x v="0"/>
    <s v="Rejected"/>
    <n v="130000"/>
    <n v="107196"/>
    <s v="Rejected"/>
    <s v="Rejected"/>
    <m/>
    <s v=""/>
    <s v="Starter"/>
    <s v="July"/>
    <s v="Q3"/>
  </r>
  <r>
    <s v="EOS0198"/>
    <d v="2025-07-01T00:00:00"/>
    <s v="FB"/>
    <s v="Deep wadera"/>
    <s v="Ahmedabad"/>
    <x v="0"/>
    <s v="Rejected"/>
    <n v="177000"/>
    <n v="107197"/>
    <s v="Rejected"/>
    <s v="Rejected"/>
    <m/>
    <s v=""/>
    <s v="Growth"/>
    <s v="July"/>
    <s v="Q3"/>
  </r>
  <r>
    <s v="EOS0199"/>
    <d v="2025-07-01T00:00:00"/>
    <s v="FB"/>
    <s v="kihala"/>
    <s v="Rajkot"/>
    <x v="0"/>
    <s v="Rejected"/>
    <n v="130000"/>
    <n v="107198"/>
    <s v="Rejected"/>
    <s v="Rejected"/>
    <m/>
    <s v=""/>
    <s v="Starter"/>
    <s v="July"/>
    <s v="Q3"/>
  </r>
  <r>
    <s v="EOS0200"/>
    <d v="2025-07-01T00:00:00"/>
    <s v="FB"/>
    <s v="Shubham chaudhary"/>
    <s v="Kheralu"/>
    <x v="0"/>
    <s v="Rejected"/>
    <n v="108000"/>
    <n v="107199"/>
    <s v="Rejected"/>
    <s v="Rejected"/>
    <m/>
    <s v=""/>
    <s v="Starter"/>
    <s v="July"/>
    <s v="Q3"/>
  </r>
  <r>
    <s v="EOS0201"/>
    <d v="2025-07-01T00:00:00"/>
    <s v="FB"/>
    <s v="Rishabh Verma"/>
    <s v="Barabanki"/>
    <x v="1"/>
    <s v="Rejected"/>
    <n v="108000"/>
    <n v="107200"/>
    <s v="Rejected"/>
    <s v="Rejected"/>
    <m/>
    <s v=""/>
    <s v="Starter"/>
    <s v="July"/>
    <s v="Q3"/>
  </r>
  <r>
    <s v="EOS0202"/>
    <d v="2025-07-01T00:00:00"/>
    <s v="FB"/>
    <s v="manish"/>
    <s v="Rudrapur"/>
    <x v="11"/>
    <s v="Rejected"/>
    <n v="108000"/>
    <n v="107201"/>
    <s v="Rejected"/>
    <s v="Rejected"/>
    <m/>
    <s v=""/>
    <s v="Starter"/>
    <s v="July"/>
    <s v="Q3"/>
  </r>
  <r>
    <s v="EOS0203"/>
    <d v="2025-07-01T00:00:00"/>
    <s v="FB"/>
    <s v="Sanjoy Das"/>
    <s v="sodepure"/>
    <x v="9"/>
    <s v="Rejected"/>
    <n v="177000"/>
    <n v="107202"/>
    <s v="Rejected"/>
    <s v="Rejected"/>
    <m/>
    <s v=""/>
    <s v="Growth"/>
    <s v="July"/>
    <s v="Q3"/>
  </r>
  <r>
    <s v="EOS0204"/>
    <d v="2025-07-01T00:00:00"/>
    <s v="FB"/>
    <s v="SUBHAN KHAN"/>
    <s v="Baisi"/>
    <x v="7"/>
    <s v="Rejected"/>
    <n v="130000"/>
    <n v="107203"/>
    <s v="Rejected"/>
    <s v="Rejected"/>
    <m/>
    <s v=""/>
    <s v="Starter"/>
    <s v="July"/>
    <s v="Q3"/>
  </r>
  <r>
    <s v="EOS0205"/>
    <d v="2025-07-01T00:00:00"/>
    <s v="FB"/>
    <s v="Bhavesh Khamal"/>
    <s v="vertez"/>
    <x v="0"/>
    <s v="Rejected"/>
    <n v="130000"/>
    <n v="107204"/>
    <s v="Rejected"/>
    <s v="Rejected"/>
    <m/>
    <s v=""/>
    <s v="Starter"/>
    <s v="July"/>
    <s v="Q3"/>
  </r>
  <r>
    <s v="EOS0206"/>
    <d v="2025-07-02T00:00:00"/>
    <s v="FB"/>
    <s v="Chandresh Raval"/>
    <s v="Panva"/>
    <x v="0"/>
    <s v="Rejected"/>
    <n v="108000"/>
    <n v="107205"/>
    <s v="Rejected"/>
    <s v="Rejected"/>
    <m/>
    <s v=""/>
    <s v="Starter"/>
    <s v="July"/>
    <s v="Q3"/>
  </r>
  <r>
    <s v="EOS0207"/>
    <d v="2025-07-02T00:00:00"/>
    <s v="FB"/>
    <s v="Dhumadiya Vishal S"/>
    <s v="Palitana"/>
    <x v="0"/>
    <s v="Rejected"/>
    <n v="130000"/>
    <n v="107206"/>
    <s v="Rejected"/>
    <s v="Rejected"/>
    <m/>
    <s v=""/>
    <s v="Starter"/>
    <s v="July"/>
    <s v="Q3"/>
  </r>
  <r>
    <s v="EOS0208"/>
    <d v="2025-07-02T00:00:00"/>
    <s v="FB"/>
    <s v="Govind rabari"/>
    <s v="Tharad"/>
    <x v="0"/>
    <s v="Rejected"/>
    <n v="108000"/>
    <n v="107207"/>
    <s v="Rejected"/>
    <s v="Rejected"/>
    <m/>
    <s v=""/>
    <s v="Starter"/>
    <s v="July"/>
    <s v="Q3"/>
  </r>
  <r>
    <s v="EOS0209"/>
    <d v="2025-07-02T00:00:00"/>
    <s v="FB"/>
    <s v="༒ ⁂𝐌𝐔𝐊𝐄𝐒𝐇_चौधरी༆⁂ ༒(M.P)"/>
    <s v="Tharad"/>
    <x v="0"/>
    <s v="Rejected"/>
    <n v="130000"/>
    <n v="107208"/>
    <s v="Rejected"/>
    <s v="Rejected"/>
    <m/>
    <s v=""/>
    <s v="Starter"/>
    <s v="July"/>
    <s v="Q3"/>
  </r>
  <r>
    <s v="EOS0210"/>
    <d v="2025-07-02T00:00:00"/>
    <s v="FB"/>
    <s v="Prakashsinh Rajput"/>
    <s v="Surendranagar"/>
    <x v="0"/>
    <s v="Rejected"/>
    <n v="108000"/>
    <n v="107209"/>
    <s v="Rejected"/>
    <s v="Rejected"/>
    <m/>
    <s v=""/>
    <s v="Starter"/>
    <s v="July"/>
    <s v="Q3"/>
  </r>
  <r>
    <s v="EOS0211"/>
    <d v="2025-07-02T00:00:00"/>
    <s v="FB"/>
    <s v="Riyaz"/>
    <s v="Ahmedabad"/>
    <x v="0"/>
    <s v="Rejected"/>
    <n v="130000"/>
    <n v="107210"/>
    <s v="Rejected"/>
    <s v="Rejected"/>
    <m/>
    <s v=""/>
    <s v="Starter"/>
    <s v="July"/>
    <s v="Q3"/>
  </r>
  <r>
    <s v="EOS0212"/>
    <d v="2025-07-02T00:00:00"/>
    <s v="FB"/>
    <s v="*જय દ્વ།ཞક།धिश*"/>
    <s v="Vaso"/>
    <x v="0"/>
    <s v="Rejected"/>
    <n v="108000"/>
    <n v="107211"/>
    <s v="Rejected"/>
    <s v="Rejected"/>
    <m/>
    <s v=""/>
    <s v="Starter"/>
    <s v="July"/>
    <s v="Q3"/>
  </r>
  <r>
    <s v="EOS0213"/>
    <d v="2025-07-02T00:00:00"/>
    <s v="FB"/>
    <s v="Jatin Goswami"/>
    <s v="Rajkot"/>
    <x v="0"/>
    <s v="Rejected"/>
    <n v="130000"/>
    <n v="107212"/>
    <s v="Rejected"/>
    <s v="Rejected"/>
    <m/>
    <s v=""/>
    <s v="Starter"/>
    <s v="July"/>
    <s v="Q3"/>
  </r>
  <r>
    <s v="EOS0214"/>
    <d v="2025-07-02T00:00:00"/>
    <s v="FB"/>
    <s v="Sanjaysinh Chavada"/>
    <s v="Mansa"/>
    <x v="0"/>
    <s v="Rejected"/>
    <n v="130000"/>
    <n v="107213"/>
    <s v="Rejected"/>
    <s v="Rejected"/>
    <m/>
    <s v=""/>
    <s v="Starter"/>
    <s v="July"/>
    <s v="Q3"/>
  </r>
  <r>
    <s v="EOS0215"/>
    <d v="2025-07-02T00:00:00"/>
    <s v="FB"/>
    <s v="Mustafa"/>
    <s v="Palanpur"/>
    <x v="0"/>
    <s v="Rejected"/>
    <n v="130000"/>
    <n v="107214"/>
    <s v="Rejected"/>
    <s v="Rejected"/>
    <m/>
    <s v=""/>
    <s v="Starter"/>
    <s v="July"/>
    <s v="Q3"/>
  </r>
  <r>
    <s v="EOS0216"/>
    <d v="2025-07-02T00:00:00"/>
    <s v="FB"/>
    <s v="Shivam Singh Bhadauria"/>
    <s v="Mainpuri"/>
    <x v="1"/>
    <s v="Rejected"/>
    <n v="177000"/>
    <n v="107215"/>
    <s v="Rejected"/>
    <s v="Rejected"/>
    <m/>
    <s v=""/>
    <s v="Growth"/>
    <s v="July"/>
    <s v="Q3"/>
  </r>
  <r>
    <s v="EOS0217"/>
    <d v="2025-07-02T00:00:00"/>
    <s v="FB"/>
    <s v="Shahrukh mansuri"/>
    <s v="Shajapur"/>
    <x v="4"/>
    <s v="Rejected"/>
    <n v="108000"/>
    <n v="107216"/>
    <s v="Rejected"/>
    <s v="Rejected"/>
    <m/>
    <s v=""/>
    <s v="Starter"/>
    <s v="July"/>
    <s v="Q3"/>
  </r>
  <r>
    <s v="EOS0218"/>
    <d v="2025-07-02T00:00:00"/>
    <s v="FB"/>
    <s v="Rohit Doriwal"/>
    <s v="Jaipur"/>
    <x v="2"/>
    <s v="Rejected"/>
    <n v="108000"/>
    <n v="107217"/>
    <s v="Rejected"/>
    <s v="Rejected"/>
    <m/>
    <s v=""/>
    <s v="Starter"/>
    <s v="July"/>
    <s v="Q3"/>
  </r>
  <r>
    <s v="EOS0219"/>
    <d v="2025-07-02T00:00:00"/>
    <s v="FB"/>
    <s v="sourav tamrakar"/>
    <s v="Jamshedpur"/>
    <x v="10"/>
    <s v="Rejected"/>
    <n v="130000"/>
    <n v="107218"/>
    <s v="Rejected"/>
    <s v="Rejected"/>
    <m/>
    <s v=""/>
    <s v="Starter"/>
    <s v="July"/>
    <s v="Q3"/>
  </r>
  <r>
    <s v="EOS0220"/>
    <d v="2025-07-02T00:00:00"/>
    <s v="FB"/>
    <s v="Sachin Chauhan"/>
    <s v="nehtaur"/>
    <x v="1"/>
    <s v="Rejected"/>
    <n v="108000"/>
    <n v="107219"/>
    <s v="Rejected"/>
    <s v="Rejected"/>
    <m/>
    <s v=""/>
    <s v="Starter"/>
    <s v="July"/>
    <s v="Q3"/>
  </r>
  <r>
    <s v="EOS0221"/>
    <d v="2025-07-02T00:00:00"/>
    <s v="FB"/>
    <s v="sᴀᴍᴀᴊɪᴛ ᴍᴏɴᴅᴀʟ"/>
    <s v="Murshidabad"/>
    <x v="9"/>
    <s v="Rejected"/>
    <n v="177000"/>
    <n v="107220"/>
    <s v="Rejected"/>
    <s v="Rejected"/>
    <m/>
    <s v=""/>
    <s v="Growth"/>
    <s v="July"/>
    <s v="Q3"/>
  </r>
  <r>
    <s v="EOS0222"/>
    <d v="2025-07-02T00:00:00"/>
    <s v="FB"/>
    <s v="Yogesh Poonia"/>
    <s v="Chirawa"/>
    <x v="2"/>
    <s v="Rejected"/>
    <n v="108000"/>
    <n v="107221"/>
    <s v="Rejected"/>
    <s v="Rejected"/>
    <m/>
    <s v=""/>
    <s v="Starter"/>
    <s v="July"/>
    <s v="Q3"/>
  </r>
  <r>
    <s v="EOS0223"/>
    <d v="2025-07-03T00:00:00"/>
    <s v="FB"/>
    <s v="Ketan Joshi"/>
    <s v="Ahmedabad"/>
    <x v="0"/>
    <s v="Rejected"/>
    <n v="130000"/>
    <n v="107222"/>
    <s v="Rejected"/>
    <s v="Rejected"/>
    <m/>
    <s v=""/>
    <s v="Starter"/>
    <s v="July"/>
    <s v="Q3"/>
  </r>
  <r>
    <s v="EOS0224"/>
    <d v="2025-07-03T00:00:00"/>
    <s v="FB"/>
    <s v="Kripalsinh Rajput"/>
    <s v="Wadhwan"/>
    <x v="0"/>
    <s v="Rejected"/>
    <n v="130000"/>
    <n v="107223"/>
    <s v="Rejected"/>
    <s v="Rejected"/>
    <m/>
    <s v=""/>
    <s v="Starter"/>
    <s v="July"/>
    <s v="Q3"/>
  </r>
  <r>
    <s v="EOS0225"/>
    <d v="2025-07-03T00:00:00"/>
    <s v="FB"/>
    <s v="Ravi Talshaniya"/>
    <s v="Rajkot"/>
    <x v="0"/>
    <s v="Rejected"/>
    <n v="130000"/>
    <n v="107224"/>
    <s v="Rejected"/>
    <s v="Rejected"/>
    <m/>
    <s v=""/>
    <s v="Starter"/>
    <s v="July"/>
    <s v="Q3"/>
  </r>
  <r>
    <s v="EOS0226"/>
    <d v="2025-07-03T00:00:00"/>
    <s v="FB"/>
    <s v="Sayed Firoz"/>
    <s v="Patan"/>
    <x v="0"/>
    <s v="Rejected"/>
    <n v="130000"/>
    <n v="107225"/>
    <s v="Rejected"/>
    <s v="Rejected"/>
    <m/>
    <s v=""/>
    <s v="Starter"/>
    <s v="July"/>
    <s v="Q3"/>
  </r>
  <r>
    <s v="EOS0227"/>
    <d v="2025-07-03T00:00:00"/>
    <s v="FB"/>
    <s v="GOHIL_1212_"/>
    <s v=" Bhavnagar"/>
    <x v="0"/>
    <s v="Rejected"/>
    <n v="108000"/>
    <n v="107226"/>
    <s v="Rejected"/>
    <s v="Rejected"/>
    <m/>
    <s v=""/>
    <s v="Starter"/>
    <s v="July"/>
    <s v="Q3"/>
  </r>
  <r>
    <s v="EOS0228"/>
    <d v="2025-07-03T00:00:00"/>
    <s v="FB"/>
    <s v="Nilesh Chauhan"/>
    <s v="Vadodara"/>
    <x v="0"/>
    <s v="Rejected"/>
    <n v="108000"/>
    <n v="107227"/>
    <s v="Rejected"/>
    <s v="Rejected"/>
    <m/>
    <s v=""/>
    <s v="Starter"/>
    <s v="July"/>
    <s v="Q3"/>
  </r>
  <r>
    <s v="EOS0229"/>
    <d v="2025-07-03T00:00:00"/>
    <s v="FB"/>
    <s v="Dhaval Pateliya"/>
    <s v="Jetpur"/>
    <x v="0"/>
    <s v="Rejected"/>
    <n v="130000"/>
    <n v="107228"/>
    <s v="Rejected"/>
    <s v="Rejected"/>
    <m/>
    <s v=""/>
    <s v="Starter"/>
    <s v="July"/>
    <s v="Q3"/>
  </r>
  <r>
    <s v="EOS0230"/>
    <d v="2025-07-03T00:00:00"/>
    <s v="FB"/>
    <s v="AK"/>
    <s v="Jamjodhpur"/>
    <x v="0"/>
    <s v="Rejected"/>
    <n v="130000"/>
    <n v="107229"/>
    <s v="Rejected"/>
    <s v="Rejected"/>
    <m/>
    <s v=""/>
    <s v="Starter"/>
    <s v="July"/>
    <s v="Q3"/>
  </r>
  <r>
    <s v="EOS0231"/>
    <d v="2025-07-03T00:00:00"/>
    <s v="FB"/>
    <s v="Vaghela Jaydeep Vaghela"/>
    <s v="Rajkot"/>
    <x v="0"/>
    <s v="Rejected"/>
    <n v="108000"/>
    <n v="107230"/>
    <s v="Rejected"/>
    <s v="Rejected"/>
    <m/>
    <s v=""/>
    <s v="Starter"/>
    <s v="July"/>
    <s v="Q3"/>
  </r>
  <r>
    <s v="EOS0232"/>
    <d v="2025-07-03T00:00:00"/>
    <s v="FB"/>
    <s v="Shaikh kalim"/>
    <s v="Buldana"/>
    <x v="5"/>
    <s v="Rejected"/>
    <n v="108000"/>
    <n v="107231"/>
    <s v="Rejected"/>
    <s v="Rejected"/>
    <m/>
    <s v=""/>
    <s v="Starter"/>
    <s v="July"/>
    <s v="Q3"/>
  </r>
  <r>
    <s v="EOS0233"/>
    <d v="2025-07-03T00:00:00"/>
    <s v="FB"/>
    <s v="Ashutosh"/>
    <s v="Kanpur"/>
    <x v="1"/>
    <s v="Rejected"/>
    <n v="130000"/>
    <n v="107232"/>
    <s v="Rejected"/>
    <s v="Rejected"/>
    <m/>
    <s v=""/>
    <s v="Starter"/>
    <s v="July"/>
    <s v="Q3"/>
  </r>
  <r>
    <s v="EOS0234"/>
    <d v="2025-07-04T00:00:00"/>
    <s v="FB"/>
    <s v="Vimal Chauhan"/>
    <s v="Ahmedabad"/>
    <x v="0"/>
    <s v="Rejected"/>
    <n v="130000"/>
    <n v="107233"/>
    <s v="Rejected"/>
    <s v="Rejected"/>
    <m/>
    <s v=""/>
    <s v="Starter"/>
    <s v="July"/>
    <s v="Q3"/>
  </r>
  <r>
    <s v="EOS0235"/>
    <d v="2025-07-04T00:00:00"/>
    <s v="FB"/>
    <s v="Jepan Shah"/>
    <s v="Ahmedabad"/>
    <x v="0"/>
    <s v="Rejected"/>
    <n v="108000"/>
    <n v="107234"/>
    <s v="Rejected"/>
    <s v="Rejected"/>
    <m/>
    <s v=""/>
    <s v="Starter"/>
    <s v="July"/>
    <s v="Q3"/>
  </r>
  <r>
    <s v="EOS0236"/>
    <d v="2025-07-04T00:00:00"/>
    <s v="FB"/>
    <s v="Shiv Chakravati"/>
    <s v="Ahmedabad"/>
    <x v="0"/>
    <s v="Rejected"/>
    <n v="177000"/>
    <n v="107235"/>
    <s v="Rejected"/>
    <s v="Rejected"/>
    <m/>
    <s v=""/>
    <s v="Growth"/>
    <s v="July"/>
    <s v="Q3"/>
  </r>
  <r>
    <s v="EOS0237"/>
    <d v="2025-07-04T00:00:00"/>
    <s v="FB"/>
    <s v="Bharat Shiyaliya"/>
    <s v="Rajkot"/>
    <x v="0"/>
    <s v="Rejected"/>
    <n v="130000"/>
    <n v="107236"/>
    <s v="Rejected"/>
    <s v="Rejected"/>
    <m/>
    <s v=""/>
    <s v="Starter"/>
    <s v="July"/>
    <s v="Q3"/>
  </r>
  <r>
    <s v="EOS0238"/>
    <d v="2025-07-04T00:00:00"/>
    <s v="FB"/>
    <s v="Sunil Maldhari"/>
    <s v="Ahmedabad"/>
    <x v="0"/>
    <s v="Rejected"/>
    <n v="108000"/>
    <n v="107237"/>
    <s v="Rejected"/>
    <s v="Rejected"/>
    <m/>
    <s v=""/>
    <s v="Starter"/>
    <s v="July"/>
    <s v="Q3"/>
  </r>
  <r>
    <s v="EOS0239"/>
    <d v="2025-07-04T00:00:00"/>
    <s v="FB"/>
    <s v="યોગેશ બાબરીયા"/>
    <s v="Surat"/>
    <x v="0"/>
    <s v="Rejected"/>
    <n v="108000"/>
    <n v="107238"/>
    <s v="Rejected"/>
    <s v="Rejected"/>
    <m/>
    <s v=""/>
    <s v="Starter"/>
    <s v="July"/>
    <s v="Q3"/>
  </r>
  <r>
    <s v="EOS0240"/>
    <d v="2025-07-04T00:00:00"/>
    <s v="FB"/>
    <s v="Raviraj sinh Chauhan"/>
    <s v="Valsad"/>
    <x v="0"/>
    <s v="Rejected"/>
    <n v="177000"/>
    <n v="107239"/>
    <s v="Rejected"/>
    <s v="Rejected"/>
    <m/>
    <s v=""/>
    <s v="Growth"/>
    <s v="July"/>
    <s v="Q3"/>
  </r>
  <r>
    <s v="EOS0241"/>
    <s v="18/07/2025"/>
    <s v="FB"/>
    <s v="Hushvendra khanuja"/>
    <m/>
    <x v="0"/>
    <s v="Rejected"/>
    <n v="108000"/>
    <n v="107240"/>
    <s v="Rejected"/>
    <s v="Rejected"/>
    <m/>
    <s v=""/>
    <s v="Starter"/>
    <s v="July"/>
    <s v="Q3"/>
  </r>
  <r>
    <s v="EOS0242"/>
    <d v="2025-07-05T00:00:00"/>
    <s v="FB"/>
    <s v="Rigan Desai"/>
    <s v="Ahmedabad"/>
    <x v="0"/>
    <s v="Rejected"/>
    <n v="130000"/>
    <n v="107241"/>
    <s v="Rejected"/>
    <s v="Rejected"/>
    <m/>
    <s v=""/>
    <s v="Starter"/>
    <s v="July"/>
    <s v="Q3"/>
  </r>
  <r>
    <s v="EOS0243"/>
    <d v="2025-07-05T00:00:00"/>
    <s v="FB"/>
    <s v="Satyajeetbhai tamaliya"/>
    <s v="Surendranagar"/>
    <x v="0"/>
    <s v="Rejected"/>
    <n v="108000"/>
    <n v="107242"/>
    <s v="Rejected"/>
    <s v="Rejected"/>
    <m/>
    <s v=""/>
    <s v="Starter"/>
    <s v="July"/>
    <s v="Q3"/>
  </r>
  <r>
    <s v="EOS0244"/>
    <d v="2025-07-05T00:00:00"/>
    <s v="FB"/>
    <s v="Mahesh Vaghela"/>
    <s v="Botad"/>
    <x v="0"/>
    <s v="Rejected"/>
    <n v="130000"/>
    <n v="107243"/>
    <s v="Rejected"/>
    <s v="Rejected"/>
    <m/>
    <s v=""/>
    <s v="Starter"/>
    <s v="July"/>
    <s v="Q3"/>
  </r>
  <r>
    <s v="EOS0245"/>
    <d v="2025-07-05T00:00:00"/>
    <s v="FB"/>
    <s v="𝐆𝐄𝐃𝐈𝐘𝐀"/>
    <s v="Amreli"/>
    <x v="0"/>
    <s v="Rejected"/>
    <n v="130000"/>
    <n v="107244"/>
    <s v="Rejected"/>
    <s v="Rejected"/>
    <m/>
    <s v=""/>
    <s v="Starter"/>
    <s v="July"/>
    <s v="Q3"/>
  </r>
  <r>
    <s v="EOS0246"/>
    <d v="2025-07-05T00:00:00"/>
    <s v="FB"/>
    <s v="Lalit Chouhan"/>
    <s v="pilkhuwa"/>
    <x v="1"/>
    <s v="Rejected"/>
    <n v="130000"/>
    <n v="107245"/>
    <s v="Rejected"/>
    <s v="Rejected"/>
    <m/>
    <s v=""/>
    <s v="Starter"/>
    <s v="July"/>
    <s v="Q3"/>
  </r>
  <r>
    <s v="EOS0247"/>
    <d v="2025-07-07T00:00:00"/>
    <s v="FB"/>
    <s v="SaiR"/>
    <s v="Anand"/>
    <x v="0"/>
    <s v="Rejected"/>
    <n v="108000"/>
    <n v="107246"/>
    <s v="Rejected"/>
    <s v="Rejected"/>
    <m/>
    <s v=""/>
    <s v="Starter"/>
    <s v="July"/>
    <s v="Q3"/>
  </r>
  <r>
    <s v="EOS0248"/>
    <d v="2025-07-07T00:00:00"/>
    <s v="FB"/>
    <s v="Mayank Rathod"/>
    <s v="Mehsana"/>
    <x v="0"/>
    <s v="Rejected"/>
    <n v="130000"/>
    <n v="107247"/>
    <s v="Rejected"/>
    <s v="Rejected"/>
    <m/>
    <s v=""/>
    <s v="Starter"/>
    <s v="July"/>
    <s v="Q3"/>
  </r>
  <r>
    <s v="EOS0249"/>
    <d v="2025-07-07T00:00:00"/>
    <s v="FB"/>
    <s v="Salim kureshi"/>
    <s v="chhottaudepur"/>
    <x v="0"/>
    <s v="Rejected"/>
    <n v="108000"/>
    <n v="107248"/>
    <s v="Rejected"/>
    <s v="Rejected"/>
    <m/>
    <s v=""/>
    <s v="Starter"/>
    <s v="July"/>
    <s v="Q3"/>
  </r>
  <r>
    <s v="EOS0250"/>
    <d v="2025-07-07T00:00:00"/>
    <s v="FB"/>
    <s v="sajan shah"/>
    <s v="Rajkot"/>
    <x v="0"/>
    <s v="Rejected"/>
    <n v="130000"/>
    <n v="107249"/>
    <s v="Rejected"/>
    <s v="Rejected"/>
    <m/>
    <s v=""/>
    <s v="Starter"/>
    <s v="July"/>
    <s v="Q3"/>
  </r>
  <r>
    <s v="EOS0251"/>
    <d v="2025-07-07T00:00:00"/>
    <s v="FB"/>
    <s v="bharat sinh solanki"/>
    <s v="Godhra"/>
    <x v="0"/>
    <s v="Rejected"/>
    <n v="130000"/>
    <n v="107250"/>
    <s v="Rejected"/>
    <s v="Rejected"/>
    <m/>
    <s v=""/>
    <s v="Starter"/>
    <s v="July"/>
    <s v="Q3"/>
  </r>
  <r>
    <s v="EOS0252"/>
    <d v="2025-07-07T00:00:00"/>
    <s v="FB"/>
    <s v="Meet Adatiya"/>
    <s v="Surat"/>
    <x v="0"/>
    <s v="Rejected"/>
    <n v="130000"/>
    <n v="107251"/>
    <s v="Rejected"/>
    <s v="Rejected"/>
    <m/>
    <s v=""/>
    <s v="Starter"/>
    <s v="July"/>
    <s v="Q3"/>
  </r>
  <r>
    <s v="EOS0253"/>
    <d v="2025-07-07T00:00:00"/>
    <s v="FB"/>
    <s v="Pradipsinh Jadeja Nanimarad"/>
    <s v="Dhoraji"/>
    <x v="0"/>
    <s v="Rejected"/>
    <n v="130000"/>
    <n v="107252"/>
    <s v="Rejected"/>
    <s v="Rejected"/>
    <m/>
    <s v=""/>
    <s v="Starter"/>
    <s v="July"/>
    <s v="Q3"/>
  </r>
  <r>
    <s v="EOS0254"/>
    <d v="2025-07-07T00:00:00"/>
    <s v="FB"/>
    <s v="Pritesh Narigra"/>
    <s v="Vapi"/>
    <x v="0"/>
    <s v="Rejected"/>
    <n v="130000"/>
    <n v="107253"/>
    <s v="Rejected"/>
    <s v="Rejected"/>
    <m/>
    <s v=""/>
    <s v="Starter"/>
    <s v="July"/>
    <s v="Q3"/>
  </r>
  <r>
    <s v="EOS0255"/>
    <d v="2025-07-07T00:00:00"/>
    <s v="FB"/>
    <s v="Sohelkhan"/>
    <s v="Junagadh"/>
    <x v="0"/>
    <s v="Rejected"/>
    <n v="108000"/>
    <n v="107254"/>
    <s v="Rejected"/>
    <s v="Rejected"/>
    <m/>
    <s v=""/>
    <s v="Starter"/>
    <s v="July"/>
    <s v="Q3"/>
  </r>
  <r>
    <s v="EOS0256"/>
    <d v="2025-07-07T00:00:00"/>
    <s v="FB"/>
    <s v="Niraj Gorasia"/>
    <s v=" Bhavnagar"/>
    <x v="0"/>
    <s v="Rejected"/>
    <n v="108000"/>
    <n v="107255"/>
    <s v="Rejected"/>
    <s v="Rejected"/>
    <m/>
    <s v=""/>
    <s v="Starter"/>
    <s v="July"/>
    <s v="Q3"/>
  </r>
  <r>
    <s v="EOS0257"/>
    <d v="2025-07-07T00:00:00"/>
    <s v="FB"/>
    <s v="Shubham Pandey"/>
    <s v="Khajuria"/>
    <x v="1"/>
    <s v="Rejected"/>
    <n v="108000"/>
    <n v="107256"/>
    <s v="Rejected"/>
    <s v="Rejected"/>
    <m/>
    <s v=""/>
    <s v="Starter"/>
    <s v="July"/>
    <s v="Q3"/>
  </r>
  <r>
    <s v="EOS0258"/>
    <d v="2025-07-07T00:00:00"/>
    <s v="FB"/>
    <s v="Sanket Thorat"/>
    <s v="Pune"/>
    <x v="5"/>
    <s v="Rejected"/>
    <n v="108000"/>
    <n v="107257"/>
    <s v="Rejected"/>
    <s v="Rejected"/>
    <m/>
    <s v=""/>
    <s v="Starter"/>
    <s v="July"/>
    <s v="Q3"/>
  </r>
  <r>
    <s v="EOS0259"/>
    <d v="2025-07-08T00:00:00"/>
    <s v="FB"/>
    <s v="𝐌𝐀𝐍𝐈𝐒𝐇 𝐏𝐀𝐓𝐄𝐋"/>
    <s v=" Bhavnagar"/>
    <x v="0"/>
    <s v="Rejected"/>
    <n v="130000"/>
    <n v="107258"/>
    <s v="Rejected"/>
    <s v="Rejected"/>
    <m/>
    <s v=""/>
    <s v="Starter"/>
    <s v="July"/>
    <s v="Q3"/>
  </r>
  <r>
    <s v="EOS0260"/>
    <d v="2025-07-08T00:00:00"/>
    <s v="FB"/>
    <s v="Darshil Patel"/>
    <s v="Ahmedabad"/>
    <x v="0"/>
    <s v="Rejected"/>
    <n v="177000"/>
    <n v="107259"/>
    <s v="Rejected"/>
    <s v="Rejected"/>
    <m/>
    <s v=""/>
    <s v="Growth"/>
    <s v="July"/>
    <s v="Q3"/>
  </r>
  <r>
    <s v="EOS0261"/>
    <d v="2025-07-08T00:00:00"/>
    <s v="FB"/>
    <s v="Saurabh Patel"/>
    <s v="Nadiad"/>
    <x v="0"/>
    <s v="Rejected"/>
    <n v="130000"/>
    <n v="107260"/>
    <s v="Rejected"/>
    <s v="Rejected"/>
    <m/>
    <s v=""/>
    <s v="Starter"/>
    <s v="July"/>
    <s v="Q3"/>
  </r>
  <r>
    <s v="EOS0262"/>
    <d v="2025-07-08T00:00:00"/>
    <s v="FB"/>
    <s v="Shaikh Mohammed Aakip"/>
    <s v="Ahmedabad"/>
    <x v="0"/>
    <s v="Rejected"/>
    <n v="177000"/>
    <n v="107261"/>
    <s v="Rejected"/>
    <s v="Rejected"/>
    <m/>
    <s v=""/>
    <s v="Growth"/>
    <s v="July"/>
    <s v="Q3"/>
  </r>
  <r>
    <s v="EOS0263"/>
    <d v="2025-07-08T00:00:00"/>
    <s v="FB"/>
    <s v="Vimesh Panchal"/>
    <s v="Surat"/>
    <x v="0"/>
    <s v="Rejected"/>
    <n v="130000"/>
    <n v="107262"/>
    <s v="Rejected"/>
    <s v="Rejected"/>
    <m/>
    <s v=""/>
    <s v="Starter"/>
    <s v="July"/>
    <s v="Q3"/>
  </r>
  <r>
    <s v="EOS0264"/>
    <d v="2025-07-08T00:00:00"/>
    <s v="FB"/>
    <s v="Rutvi Chauhan Boradiya"/>
    <s v="Ahmedabad"/>
    <x v="0"/>
    <s v="Rejected"/>
    <n v="108000"/>
    <n v="107263"/>
    <s v="Rejected"/>
    <s v="Rejected"/>
    <m/>
    <s v=""/>
    <s v="Starter"/>
    <s v="July"/>
    <s v="Q3"/>
  </r>
  <r>
    <s v="EOS0265"/>
    <d v="2025-07-08T00:00:00"/>
    <s v="FB"/>
    <s v="J.P.DOO {અઘરી નોટ}"/>
    <s v="Botad"/>
    <x v="0"/>
    <s v="Rejected"/>
    <n v="108000"/>
    <n v="107264"/>
    <s v="Rejected"/>
    <s v="Rejected"/>
    <m/>
    <s v=""/>
    <s v="Starter"/>
    <s v="July"/>
    <s v="Q3"/>
  </r>
  <r>
    <s v="EOS0266"/>
    <d v="2025-07-08T00:00:00"/>
    <s v="FB"/>
    <s v="PARTH RAJYGURU"/>
    <s v="bhuvan"/>
    <x v="0"/>
    <s v="Rejected"/>
    <n v="108000"/>
    <n v="107265"/>
    <s v="Rejected"/>
    <s v="Rejected"/>
    <m/>
    <s v=""/>
    <s v="Starter"/>
    <s v="July"/>
    <s v="Q3"/>
  </r>
  <r>
    <s v="EOS0267"/>
    <d v="2025-07-09T00:00:00"/>
    <s v="FB"/>
    <s v="VR J A D E J A"/>
    <s v="Mandvi"/>
    <x v="0"/>
    <s v="Rejected"/>
    <n v="177000"/>
    <n v="107266"/>
    <s v="Rejected"/>
    <s v="Rejected"/>
    <m/>
    <s v=""/>
    <s v="Growth"/>
    <s v="July"/>
    <s v="Q3"/>
  </r>
  <r>
    <s v="EOS0268"/>
    <d v="2025-07-09T00:00:00"/>
    <s v="FB"/>
    <s v="Alpesh Bhikadiya"/>
    <s v="Surat"/>
    <x v="0"/>
    <s v="Rejected"/>
    <n v="108000"/>
    <n v="107267"/>
    <s v="Rejected"/>
    <s v="Rejected"/>
    <m/>
    <s v=""/>
    <s v="Starter"/>
    <s v="July"/>
    <s v="Q3"/>
  </r>
  <r>
    <s v="EOS0269"/>
    <d v="2025-07-09T00:00:00"/>
    <s v="FB"/>
    <s v="Brijesh Sheladiya"/>
    <s v="Rajkot"/>
    <x v="0"/>
    <s v="Rejected"/>
    <n v="108000"/>
    <n v="107268"/>
    <s v="Rejected"/>
    <s v="Rejected"/>
    <m/>
    <s v=""/>
    <s v="Starter"/>
    <s v="July"/>
    <s v="Q3"/>
  </r>
  <r>
    <s v="EOS0270"/>
    <d v="2025-07-09T00:00:00"/>
    <s v="FB"/>
    <s v="Yadav Yashkumar maheshbhai"/>
    <s v="Botad"/>
    <x v="0"/>
    <s v="Rejected"/>
    <n v="130000"/>
    <n v="107269"/>
    <s v="Rejected"/>
    <s v="Rejected"/>
    <m/>
    <s v=""/>
    <s v="Starter"/>
    <s v="July"/>
    <s v="Q3"/>
  </r>
  <r>
    <s v="EOS0271"/>
    <d v="1900-01-22T00:00:00"/>
    <s v="FB"/>
    <s v="AJ"/>
    <s v="Ahmedabad"/>
    <x v="0"/>
    <s v="Rejected"/>
    <n v="108000"/>
    <n v="107270"/>
    <s v="Rejected"/>
    <s v="Rejected"/>
    <m/>
    <s v=""/>
    <s v="Starter"/>
    <s v="January"/>
    <s v="Q1"/>
  </r>
  <r>
    <s v="EOS0272"/>
    <d v="2025-07-10T00:00:00"/>
    <s v="FB"/>
    <s v="Vishal Patel"/>
    <s v="Nadiad"/>
    <x v="0"/>
    <s v="Rejected"/>
    <n v="108000"/>
    <n v="107271"/>
    <s v="Rejected"/>
    <s v="Rejected"/>
    <m/>
    <s v=""/>
    <s v="Starter"/>
    <s v="July"/>
    <s v="Q3"/>
  </r>
  <r>
    <s v="EOS0273"/>
    <d v="2025-07-10T00:00:00"/>
    <s v="FB"/>
    <s v="Mayuri"/>
    <s v="Surat"/>
    <x v="0"/>
    <s v="Rejected"/>
    <n v="130000"/>
    <n v="107272"/>
    <s v="Rejected"/>
    <s v="Rejected"/>
    <m/>
    <s v=""/>
    <s v="Starter"/>
    <s v="July"/>
    <s v="Q3"/>
  </r>
  <r>
    <s v="EOS0274"/>
    <d v="2025-07-10T00:00:00"/>
    <s v="FB"/>
    <s v="Amit Gupta"/>
    <s v="Padrauna"/>
    <x v="1"/>
    <s v="Rejected"/>
    <n v="130000"/>
    <n v="107273"/>
    <s v="Rejected"/>
    <s v="Rejected"/>
    <m/>
    <s v=""/>
    <s v="Starter"/>
    <s v="July"/>
    <s v="Q3"/>
  </r>
  <r>
    <s v="EOS0275"/>
    <d v="2025-07-10T00:00:00"/>
    <s v="FB"/>
    <s v="Suraj Sharma"/>
    <s v="mathura"/>
    <x v="1"/>
    <s v="Rejected"/>
    <n v="130000"/>
    <n v="107274"/>
    <s v="Rejected"/>
    <s v="Rejected"/>
    <m/>
    <s v=""/>
    <s v="Starter"/>
    <s v="July"/>
    <s v="Q3"/>
  </r>
  <r>
    <s v="EOS0276"/>
    <d v="2025-07-10T00:00:00"/>
    <s v="FB"/>
    <s v="Ayush Seth"/>
    <s v="Jhansi"/>
    <x v="1"/>
    <s v="Rejected"/>
    <n v="177000"/>
    <n v="107275"/>
    <s v="Rejected"/>
    <s v="Rejected"/>
    <m/>
    <s v=""/>
    <s v="Growth"/>
    <s v="July"/>
    <s v="Q3"/>
  </r>
  <r>
    <s v="EOS0277"/>
    <d v="2025-07-10T00:00:00"/>
    <s v="FB"/>
    <s v="Rajeev Kumar"/>
    <s v="Dehradun"/>
    <x v="11"/>
    <s v="Rejected"/>
    <n v="108000"/>
    <n v="107276"/>
    <s v="Rejected"/>
    <s v="Rejected"/>
    <m/>
    <s v=""/>
    <s v="Starter"/>
    <s v="July"/>
    <s v="Q3"/>
  </r>
  <r>
    <s v="EOS0278"/>
    <d v="2025-07-10T00:00:00"/>
    <s v="FB"/>
    <s v="Sagar"/>
    <s v="latur"/>
    <x v="5"/>
    <s v="Rejected"/>
    <n v="108000"/>
    <n v="107277"/>
    <s v="Rejected"/>
    <s v="Rejected"/>
    <m/>
    <s v=""/>
    <s v="Starter"/>
    <s v="July"/>
    <s v="Q3"/>
  </r>
  <r>
    <s v="EOS0279"/>
    <d v="2025-07-10T00:00:00"/>
    <s v="FB"/>
    <s v="SANJEEV KUMAR"/>
    <s v="Ajitmal"/>
    <x v="1"/>
    <s v="Rejected"/>
    <n v="177000"/>
    <n v="107278"/>
    <s v="Rejected"/>
    <s v="Rejected"/>
    <m/>
    <s v=""/>
    <s v="Growth"/>
    <s v="July"/>
    <s v="Q3"/>
  </r>
  <r>
    <s v="EOS0280"/>
    <d v="2025-07-10T00:00:00"/>
    <s v="FB"/>
    <s v="Dhiraj kumar soni"/>
    <s v="birpara"/>
    <x v="9"/>
    <s v="Rejected"/>
    <n v="108000"/>
    <n v="107279"/>
    <s v="Rejected"/>
    <s v="Rejected"/>
    <m/>
    <s v=""/>
    <s v="Starter"/>
    <s v="July"/>
    <s v="Q3"/>
  </r>
  <r>
    <s v="EOS0281"/>
    <d v="2025-07-10T00:00:00"/>
    <s v="FB"/>
    <s v="Krishna Kumar"/>
    <s v="kushinagar"/>
    <x v="1"/>
    <s v="Rejected"/>
    <n v="108000"/>
    <n v="107280"/>
    <s v="Rejected"/>
    <s v="Rejected"/>
    <m/>
    <s v=""/>
    <s v="Starter"/>
    <s v="July"/>
    <s v="Q3"/>
  </r>
  <r>
    <s v="EOS0282"/>
    <d v="2025-07-10T00:00:00"/>
    <s v="FB"/>
    <s v="Aditya Kumar Raut"/>
    <s v="Dhaka"/>
    <x v="7"/>
    <s v="Rejected"/>
    <n v="130000"/>
    <n v="107281"/>
    <s v="Rejected"/>
    <s v="Rejected"/>
    <m/>
    <s v=""/>
    <s v="Starter"/>
    <s v="July"/>
    <s v="Q3"/>
  </r>
  <r>
    <s v="EOS0283"/>
    <d v="2025-07-10T00:00:00"/>
    <s v="FB"/>
    <s v="Divyanshu Tiwari"/>
    <s v="ballia"/>
    <x v="1"/>
    <s v="Rejected"/>
    <n v="177000"/>
    <n v="107282"/>
    <s v="Rejected"/>
    <s v="Rejected"/>
    <m/>
    <s v=""/>
    <s v="Growth"/>
    <s v="July"/>
    <s v="Q3"/>
  </r>
  <r>
    <s v="EOS0284"/>
    <d v="2025-07-10T00:00:00"/>
    <s v="FB"/>
    <s v="NA"/>
    <s v="east chaMadhya Pradesharan"/>
    <x v="7"/>
    <s v="Rejected"/>
    <n v="130000"/>
    <n v="107283"/>
    <s v="Rejected"/>
    <s v="Rejected"/>
    <m/>
    <s v=""/>
    <s v="Starter"/>
    <s v="July"/>
    <s v="Q3"/>
  </r>
  <r>
    <s v="EOS0285"/>
    <d v="2025-07-10T00:00:00"/>
    <s v="FB"/>
    <s v="Dangar Raviraj Ahir"/>
    <s v=" Bhavnagar"/>
    <x v="0"/>
    <s v="Rejected"/>
    <n v="130000"/>
    <n v="107284"/>
    <s v="Rejected"/>
    <s v="Rejected"/>
    <m/>
    <s v=""/>
    <s v="Starter"/>
    <s v="July"/>
    <s v="Q3"/>
  </r>
  <r>
    <s v="EOS0286"/>
    <d v="2025-07-10T00:00:00"/>
    <s v="FB"/>
    <s v="Jagdish Maheshwari"/>
    <s v="Gandhidham"/>
    <x v="0"/>
    <s v="Rejected"/>
    <n v="130000"/>
    <n v="107285"/>
    <s v="Rejected"/>
    <s v="Rejected"/>
    <m/>
    <s v=""/>
    <s v="Starter"/>
    <s v="July"/>
    <s v="Q3"/>
  </r>
  <r>
    <s v="EOS0287"/>
    <d v="2025-07-11T00:00:00"/>
    <s v="FB"/>
    <s v="MaYaNk PaTeL"/>
    <s v="Patan"/>
    <x v="0"/>
    <s v="Rejected"/>
    <n v="130000"/>
    <n v="107286"/>
    <s v="Rejected"/>
    <s v="Rejected"/>
    <m/>
    <s v=""/>
    <s v="Starter"/>
    <s v="July"/>
    <s v="Q3"/>
  </r>
  <r>
    <s v="EOS0288"/>
    <d v="2025-07-11T00:00:00"/>
    <s v="FB"/>
    <s v="Afreen Fidahusein Surti"/>
    <s v="Vadodara"/>
    <x v="0"/>
    <s v="Rejected"/>
    <n v="130000"/>
    <n v="107287"/>
    <s v="Rejected"/>
    <s v="Rejected"/>
    <m/>
    <s v=""/>
    <s v="Starter"/>
    <s v="July"/>
    <s v="Q3"/>
  </r>
  <r>
    <s v="EOS0289"/>
    <d v="2025-07-11T00:00:00"/>
    <s v="FB"/>
    <s v="Dixit Soni"/>
    <s v="Ahmedabad"/>
    <x v="0"/>
    <s v="Rejected"/>
    <n v="108000"/>
    <n v="107288"/>
    <s v="Rejected"/>
    <s v="Rejected"/>
    <m/>
    <s v=""/>
    <s v="Starter"/>
    <s v="July"/>
    <s v="Q3"/>
  </r>
  <r>
    <s v="EOS0290"/>
    <d v="2025-07-11T00:00:00"/>
    <s v="FB"/>
    <s v="Jay Solanki"/>
    <s v="Delwada"/>
    <x v="0"/>
    <s v="Rejected"/>
    <n v="130000"/>
    <n v="107289"/>
    <s v="Rejected"/>
    <s v="Rejected"/>
    <m/>
    <s v=""/>
    <s v="Starter"/>
    <s v="July"/>
    <s v="Q3"/>
  </r>
  <r>
    <s v="EOS0291"/>
    <d v="2025-07-11T00:00:00"/>
    <s v="FB"/>
    <s v="🅺🅳 🅷🅸🆁"/>
    <s v=" Bhavnagar"/>
    <x v="0"/>
    <s v="Rejected"/>
    <n v="130000"/>
    <n v="107290"/>
    <s v="Rejected"/>
    <s v="Rejected"/>
    <m/>
    <s v=""/>
    <s v="Starter"/>
    <s v="July"/>
    <s v="Q3"/>
  </r>
  <r>
    <s v="EOS0292"/>
    <d v="2025-07-11T00:00:00"/>
    <s v="FB"/>
    <s v="Kirtan Patel"/>
    <s v="Vadodara"/>
    <x v="0"/>
    <s v="Rejected"/>
    <n v="130000"/>
    <n v="107291"/>
    <s v="Rejected"/>
    <s v="Rejected"/>
    <m/>
    <s v=""/>
    <s v="Starter"/>
    <s v="July"/>
    <s v="Q3"/>
  </r>
  <r>
    <s v="EOS0293"/>
    <d v="2025-07-12T00:00:00"/>
    <s v="FB"/>
    <s v="Babu Bariya"/>
    <s v="diu"/>
    <x v="0"/>
    <s v="Rejected"/>
    <n v="130000"/>
    <n v="107292"/>
    <s v="Rejected"/>
    <s v="Rejected"/>
    <m/>
    <s v=""/>
    <s v="Starter"/>
    <s v="July"/>
    <s v="Q3"/>
  </r>
  <r>
    <s v="EOS0294"/>
    <d v="2025-07-12T00:00:00"/>
    <s v="FB"/>
    <s v="Thakor Sachin"/>
    <s v="Gandhinagar"/>
    <x v="0"/>
    <s v="Rejected"/>
    <n v="108000"/>
    <n v="107293"/>
    <s v="Rejected"/>
    <s v="Rejected"/>
    <m/>
    <s v=""/>
    <s v="Starter"/>
    <s v="July"/>
    <s v="Q3"/>
  </r>
  <r>
    <s v="EOS0295"/>
    <d v="2025-07-12T00:00:00"/>
    <s v="FB"/>
    <s v="Prakash Solanki"/>
    <s v="Ahmedabad"/>
    <x v="0"/>
    <s v="Rejected"/>
    <n v="130000"/>
    <n v="107294"/>
    <s v="Rejected"/>
    <s v="Rejected"/>
    <m/>
    <s v=""/>
    <s v="Starter"/>
    <s v="July"/>
    <s v="Q3"/>
  </r>
  <r>
    <s v="EOS0296"/>
    <d v="2025-07-12T00:00:00"/>
    <s v="FB"/>
    <s v="Dhaval Rupareliya"/>
    <s v="Gondal"/>
    <x v="0"/>
    <s v="Rejected"/>
    <n v="130000"/>
    <n v="107295"/>
    <s v="Rejected"/>
    <s v="Rejected"/>
    <m/>
    <s v=""/>
    <s v="Starter"/>
    <s v="July"/>
    <s v="Q3"/>
  </r>
  <r>
    <s v="EOS0297"/>
    <d v="2025-07-12T00:00:00"/>
    <s v="FB"/>
    <s v="Haris Bangra"/>
    <s v="Mangrol"/>
    <x v="0"/>
    <s v="Rejected"/>
    <n v="108000"/>
    <n v="107296"/>
    <s v="Rejected"/>
    <s v="Rejected"/>
    <m/>
    <s v=""/>
    <s v="Starter"/>
    <s v="July"/>
    <s v="Q3"/>
  </r>
  <r>
    <s v="EOS0298"/>
    <d v="2025-07-12T00:00:00"/>
    <s v="FB"/>
    <s v="Rohan Padhiyar"/>
    <s v="Vadodara"/>
    <x v="0"/>
    <s v="Rejected"/>
    <n v="108000"/>
    <n v="107297"/>
    <s v="Rejected"/>
    <s v="Rejected"/>
    <m/>
    <s v=""/>
    <s v="Starter"/>
    <s v="July"/>
    <s v="Q3"/>
  </r>
  <r>
    <s v="EOS0299"/>
    <d v="2025-07-12T00:00:00"/>
    <s v="FB"/>
    <s v="Salman Shah"/>
    <s v="multai"/>
    <x v="4"/>
    <s v="Rejected"/>
    <n v="108000"/>
    <n v="107298"/>
    <s v="Rejected"/>
    <s v="Rejected"/>
    <m/>
    <s v=""/>
    <s v="Starter"/>
    <s v="July"/>
    <s v="Q3"/>
  </r>
  <r>
    <s v="EOS0300"/>
    <d v="2025-07-12T00:00:00"/>
    <s v="FB"/>
    <s v="Ravi Chaudhary"/>
    <s v="Raebareli"/>
    <x v="1"/>
    <s v="Rejected"/>
    <n v="130000"/>
    <n v="107299"/>
    <s v="Rejected"/>
    <s v="Rejected"/>
    <m/>
    <s v=""/>
    <s v="Starter"/>
    <s v="July"/>
    <s v="Q3"/>
  </r>
  <r>
    <s v="EOS0301"/>
    <s v="14/07/2025"/>
    <s v="FB"/>
    <s v="Ashish Kumar"/>
    <s v="Patna New City"/>
    <x v="7"/>
    <s v="Rejected"/>
    <n v="130000"/>
    <n v="107300"/>
    <s v="Rejected"/>
    <s v="Rejected"/>
    <m/>
    <s v=""/>
    <s v="Starter"/>
    <s v="July"/>
    <s v="Q3"/>
  </r>
  <r>
    <s v="EOS0302"/>
    <s v="14/07/2025"/>
    <s v="FB"/>
    <s v="Deepak Kumar"/>
    <s v="Raxaul"/>
    <x v="7"/>
    <s v="Rejected"/>
    <n v="130000"/>
    <n v="107301"/>
    <s v="Rejected"/>
    <s v="Rejected"/>
    <m/>
    <s v=""/>
    <s v="Starter"/>
    <s v="July"/>
    <s v="Q3"/>
  </r>
  <r>
    <s v="EOS0303"/>
    <s v="14/07/2025"/>
    <s v="FB"/>
    <s v="Arjun kumar"/>
    <s v="Bettiah"/>
    <x v="7"/>
    <s v="Rejected"/>
    <n v="130000"/>
    <n v="107302"/>
    <s v="Rejected"/>
    <s v="Rejected"/>
    <m/>
    <s v=""/>
    <s v="Starter"/>
    <s v="July"/>
    <s v="Q3"/>
  </r>
  <r>
    <s v="EOS0304"/>
    <s v="14/07/2025"/>
    <s v="FB"/>
    <s v="kapilkarena"/>
    <s v="VAPI"/>
    <x v="0"/>
    <s v="Rejected"/>
    <n v="130000"/>
    <n v="107303"/>
    <s v="Rejected"/>
    <s v="Rejected"/>
    <m/>
    <s v=""/>
    <s v="Starter"/>
    <s v="July"/>
    <s v="Q3"/>
  </r>
  <r>
    <s v="EOS0305"/>
    <s v="14/07/2025"/>
    <s v="FB"/>
    <s v="Dharmarajsinh Chudasama"/>
    <s v=" Bhavnagar"/>
    <x v="0"/>
    <s v="Rejected"/>
    <n v="308000"/>
    <n v="107304"/>
    <s v="Rejected"/>
    <s v="Rejected"/>
    <m/>
    <s v=""/>
    <s v="Premium"/>
    <s v="July"/>
    <s v="Q3"/>
  </r>
  <r>
    <s v="EOS0306"/>
    <s v="14/07/2025"/>
    <s v="FB"/>
    <s v="Rajesh"/>
    <s v="Surat"/>
    <x v="0"/>
    <s v="Rejected"/>
    <n v="130000"/>
    <n v="107305"/>
    <s v="Rejected"/>
    <s v="Rejected"/>
    <m/>
    <s v=""/>
    <s v="Starter"/>
    <s v="July"/>
    <s v="Q3"/>
  </r>
  <r>
    <s v="EOS0307"/>
    <s v="14/07/2025"/>
    <s v="FB"/>
    <s v="Jadeja Mahendra Sih"/>
    <s v="Rapar"/>
    <x v="0"/>
    <s v="Rejected"/>
    <n v="108000"/>
    <n v="107306"/>
    <s v="Rejected"/>
    <s v="Rejected"/>
    <m/>
    <s v=""/>
    <s v="Starter"/>
    <s v="July"/>
    <s v="Q3"/>
  </r>
  <r>
    <s v="EOS0308"/>
    <s v="14/07/2025"/>
    <s v="FB"/>
    <s v="Jatin"/>
    <s v="Ahmedabad"/>
    <x v="0"/>
    <s v="Rejected"/>
    <n v="130000"/>
    <n v="107307"/>
    <s v="Rejected"/>
    <s v="Rejected"/>
    <m/>
    <s v=""/>
    <s v="Starter"/>
    <s v="July"/>
    <s v="Q3"/>
  </r>
  <r>
    <s v="EOS0309"/>
    <s v="14/07/2025"/>
    <s v="FB"/>
    <s v="Parakramsinh Vaghela"/>
    <s v="Patan"/>
    <x v="0"/>
    <s v="Rejected"/>
    <n v="108000"/>
    <n v="107308"/>
    <s v="Rejected"/>
    <s v="Rejected"/>
    <m/>
    <s v=""/>
    <s v="Starter"/>
    <s v="July"/>
    <s v="Q3"/>
  </r>
  <r>
    <s v="EOS0310"/>
    <s v="14/07/2025"/>
    <s v="FB"/>
    <s v="Satish Patel"/>
    <s v="Bharuch"/>
    <x v="0"/>
    <s v="Rejected"/>
    <n v="130000"/>
    <n v="107309"/>
    <s v="Rejected"/>
    <s v="Rejected"/>
    <m/>
    <s v=""/>
    <s v="Starter"/>
    <s v="July"/>
    <s v="Q3"/>
  </r>
  <r>
    <s v="EOS0311"/>
    <s v="14/07/2025"/>
    <s v="FB"/>
    <s v="Sarvan Modi Modi"/>
    <s v="Diyodar"/>
    <x v="0"/>
    <s v="Rejected"/>
    <n v="130000"/>
    <n v="107310"/>
    <s v="Rejected"/>
    <s v="Rejected"/>
    <m/>
    <s v=""/>
    <s v="Starter"/>
    <s v="July"/>
    <s v="Q3"/>
  </r>
  <r>
    <s v="EOS0312"/>
    <s v="14/07/2025"/>
    <s v="FB"/>
    <s v="Dax Pipaliya"/>
    <s v="Keshod"/>
    <x v="0"/>
    <s v="Rejected"/>
    <n v="108000"/>
    <n v="107311"/>
    <s v="Rejected"/>
    <s v="Rejected"/>
    <m/>
    <s v=""/>
    <s v="Starter"/>
    <s v="July"/>
    <s v="Q3"/>
  </r>
  <r>
    <s v="EOS0313"/>
    <s v="14/07/2025"/>
    <s v="FB"/>
    <s v="Ajay Rangwal"/>
    <s v="Udgir"/>
    <x v="5"/>
    <s v="Rejected"/>
    <n v="130000"/>
    <n v="107312"/>
    <s v="Rejected"/>
    <s v="Rejected"/>
    <m/>
    <s v=""/>
    <s v="Starter"/>
    <s v="July"/>
    <s v="Q3"/>
  </r>
  <r>
    <s v="EOS0314"/>
    <s v="14/07/2025"/>
    <s v="FB"/>
    <s v="Gaurav Nikam Patil"/>
    <s v="Nashik"/>
    <x v="5"/>
    <s v="Rejected"/>
    <n v="177000"/>
    <n v="107313"/>
    <s v="Rejected"/>
    <s v="Rejected"/>
    <m/>
    <s v=""/>
    <s v="Growth"/>
    <s v="July"/>
    <s v="Q3"/>
  </r>
  <r>
    <s v="EOS0315"/>
    <s v="14/07/2025"/>
    <s v="FB"/>
    <s v="Anand"/>
    <s v="Shirur"/>
    <x v="5"/>
    <s v="Rejected"/>
    <n v="108000"/>
    <n v="107314"/>
    <s v="Rejected"/>
    <s v="Rejected"/>
    <m/>
    <s v=""/>
    <s v="Starter"/>
    <s v="July"/>
    <s v="Q3"/>
  </r>
  <r>
    <s v="EOS0316"/>
    <s v="14/07/2025"/>
    <s v="FB"/>
    <s v="Mitu Swain"/>
    <s v="Cuttck"/>
    <x v="12"/>
    <s v="Rejected"/>
    <n v="108000"/>
    <n v="107315"/>
    <s v="Rejected"/>
    <s v="Rejected"/>
    <m/>
    <s v=""/>
    <s v="Starter"/>
    <s v="July"/>
    <s v="Q3"/>
  </r>
  <r>
    <s v="EOS0317"/>
    <s v="14/07/2025"/>
    <s v="FB"/>
    <s v="Aslam khn"/>
    <s v="kuchaman city"/>
    <x v="2"/>
    <s v="Rejected"/>
    <n v="130000"/>
    <n v="107316"/>
    <s v="Rejected"/>
    <s v="Rejected"/>
    <m/>
    <s v=""/>
    <s v="Starter"/>
    <s v="July"/>
    <s v="Q3"/>
  </r>
  <r>
    <s v="EOS0318"/>
    <s v="14/07/2025"/>
    <s v="FB"/>
    <s v="shripal"/>
    <s v="meerut"/>
    <x v="1"/>
    <s v="Rejected"/>
    <n v="130000"/>
    <n v="107317"/>
    <s v="Rejected"/>
    <s v="Rejected"/>
    <m/>
    <s v=""/>
    <s v="Starter"/>
    <s v="July"/>
    <s v="Q3"/>
  </r>
  <r>
    <s v="EOS0319"/>
    <s v="14/07/2025"/>
    <s v="FB"/>
    <s v="Biseswar Barman"/>
    <s v="Cooch Behar"/>
    <x v="9"/>
    <s v="Rejected"/>
    <n v="108000"/>
    <n v="107318"/>
    <s v="Rejected"/>
    <s v="Rejected"/>
    <m/>
    <s v=""/>
    <s v="Starter"/>
    <s v="July"/>
    <s v="Q3"/>
  </r>
  <r>
    <s v="EOS0320"/>
    <s v="14/07/2025"/>
    <s v="FB"/>
    <s v="Aniket Yadav"/>
    <s v="BALLIA"/>
    <x v="1"/>
    <s v="Rejected"/>
    <n v="177000"/>
    <n v="107319"/>
    <s v="Rejected"/>
    <s v="Rejected"/>
    <m/>
    <s v=""/>
    <s v="Growth"/>
    <s v="July"/>
    <s v="Q3"/>
  </r>
  <r>
    <s v="EOS0321"/>
    <s v="15/07/2025"/>
    <s v="FB"/>
    <s v="naimish jani"/>
    <s v="Rajkot"/>
    <x v="0"/>
    <s v="Rejected"/>
    <n v="108000"/>
    <n v="107320"/>
    <s v="Rejected"/>
    <s v="Rejected"/>
    <m/>
    <s v=""/>
    <s v="Starter"/>
    <s v="July"/>
    <s v="Q3"/>
  </r>
  <r>
    <s v="EOS0322"/>
    <s v="15/07/2025"/>
    <s v="FB"/>
    <s v="Rushirajsinh Gohil"/>
    <s v=" Bhavnagar"/>
    <x v="0"/>
    <s v="Rejected"/>
    <n v="130000"/>
    <n v="107321"/>
    <s v="Rejected"/>
    <s v="Rejected"/>
    <m/>
    <s v=""/>
    <s v="Starter"/>
    <s v="July"/>
    <s v="Q3"/>
  </r>
  <r>
    <s v="EOS0323"/>
    <s v="15/07/2025"/>
    <s v="FB"/>
    <s v="NiHal ĀçHàrÿæ"/>
    <s v="Surat"/>
    <x v="0"/>
    <s v="Rejected"/>
    <n v="108000"/>
    <n v="107322"/>
    <s v="Rejected"/>
    <s v="Rejected"/>
    <m/>
    <s v=""/>
    <s v="Starter"/>
    <s v="July"/>
    <s v="Q3"/>
  </r>
  <r>
    <s v="EOS0324"/>
    <s v="15/07/2025"/>
    <s v="FB"/>
    <s v="°RADHE°°2990°"/>
    <s v="Banaskantha"/>
    <x v="0"/>
    <s v="Rejected"/>
    <n v="108000"/>
    <n v="107323"/>
    <s v="Rejected"/>
    <s v="Rejected"/>
    <m/>
    <s v=""/>
    <s v="Starter"/>
    <s v="July"/>
    <s v="Q3"/>
  </r>
  <r>
    <s v="EOS0325"/>
    <s v="15/07/2025"/>
    <s v="FB"/>
    <s v="Vijay Kumbhani"/>
    <s v="Vadodara"/>
    <x v="0"/>
    <s v="Rejected"/>
    <n v="130000"/>
    <n v="107324"/>
    <s v="Rejected"/>
    <s v="Rejected"/>
    <m/>
    <s v=""/>
    <s v="Starter"/>
    <s v="July"/>
    <s v="Q3"/>
  </r>
  <r>
    <s v="EOS0326"/>
    <s v="15/07/2025"/>
    <s v="FB"/>
    <s v="Ravi Dabhi"/>
    <s v="Junagadh"/>
    <x v="0"/>
    <s v="Rejected"/>
    <n v="108000"/>
    <n v="107325"/>
    <s v="Rejected"/>
    <s v="Rejected"/>
    <m/>
    <s v=""/>
    <s v="Starter"/>
    <s v="July"/>
    <s v="Q3"/>
  </r>
  <r>
    <s v="EOS0327"/>
    <s v="15/07/2025"/>
    <s v="FB"/>
    <s v="haresh gohil"/>
    <s v="Ahmedabad"/>
    <x v="0"/>
    <s v="Rejected"/>
    <n v="108000"/>
    <n v="107326"/>
    <s v="Rejected"/>
    <s v="Rejected"/>
    <m/>
    <s v=""/>
    <s v="Starter"/>
    <s v="July"/>
    <s v="Q3"/>
  </r>
  <r>
    <s v="EOS0328"/>
    <s v="15/07/2025"/>
    <s v="FB"/>
    <s v="Jayvirbhai Khuman"/>
    <s v="Amreli"/>
    <x v="0"/>
    <s v="Rejected"/>
    <n v="108000"/>
    <n v="107327"/>
    <s v="Rejected"/>
    <s v="Rejected"/>
    <m/>
    <s v=""/>
    <s v="Starter"/>
    <s v="July"/>
    <s v="Q3"/>
  </r>
  <r>
    <s v="EOS0329"/>
    <s v="15/07/2025"/>
    <s v="FB"/>
    <s v="SuMiTpAnDaV__"/>
    <s v="Surat"/>
    <x v="0"/>
    <s v="Rejected"/>
    <n v="130000"/>
    <n v="107328"/>
    <s v="Rejected"/>
    <s v="Rejected"/>
    <m/>
    <s v=""/>
    <s v="Starter"/>
    <s v="July"/>
    <s v="Q3"/>
  </r>
  <r>
    <s v="EOS0330"/>
    <s v="15/07/2025"/>
    <s v="FB"/>
    <s v="𝐀𝐤𝐬𝐡𝐚𝐭 𝐏𝐚𝐫𝐦𝐚𝐫"/>
    <s v="Navsari"/>
    <x v="0"/>
    <s v="Rejected"/>
    <n v="177000"/>
    <n v="107329"/>
    <s v="Rejected"/>
    <s v="Rejected"/>
    <m/>
    <s v=""/>
    <s v="Growth"/>
    <s v="July"/>
    <s v="Q3"/>
  </r>
  <r>
    <s v="EOS0331"/>
    <s v="15/07/2025"/>
    <s v="FB"/>
    <s v="NAYAN SHINGADIYA"/>
    <s v="Rajkot"/>
    <x v="0"/>
    <s v="Rejected"/>
    <n v="177000"/>
    <n v="107330"/>
    <s v="Rejected"/>
    <s v="Rejected"/>
    <m/>
    <s v=""/>
    <s v="Growth"/>
    <s v="July"/>
    <s v="Q3"/>
  </r>
  <r>
    <s v="EOS0332"/>
    <s v="16/07/2025"/>
    <s v="FB"/>
    <s v="Chovasiya Uttam K"/>
    <s v="Surat"/>
    <x v="0"/>
    <s v="Rejected"/>
    <n v="130000"/>
    <n v="107331"/>
    <s v="Rejected"/>
    <s v="Rejected"/>
    <m/>
    <s v=""/>
    <s v="Starter"/>
    <s v="July"/>
    <s v="Q3"/>
  </r>
  <r>
    <s v="EOS0333"/>
    <s v="16/07/2025"/>
    <s v="FB"/>
    <s v="Avi Khatri"/>
    <s v="Bhuj"/>
    <x v="0"/>
    <s v="Rejected"/>
    <n v="108000"/>
    <n v="107332"/>
    <s v="Rejected"/>
    <s v="Rejected"/>
    <m/>
    <s v=""/>
    <s v="Starter"/>
    <s v="July"/>
    <s v="Q3"/>
  </r>
  <r>
    <s v="EOS0334"/>
    <s v="16/07/2025"/>
    <s v="FB"/>
    <s v="Hemant Kumar"/>
    <s v="Khambhat"/>
    <x v="0"/>
    <s v="Rejected"/>
    <n v="130000"/>
    <n v="107333"/>
    <s v="Rejected"/>
    <s v="Rejected"/>
    <m/>
    <s v=""/>
    <s v="Starter"/>
    <s v="July"/>
    <s v="Q3"/>
  </r>
  <r>
    <s v="EOS0335"/>
    <s v="16/07/2025"/>
    <s v="FB"/>
    <s v="Yagnik Patel"/>
    <s v="himmatnagar"/>
    <x v="0"/>
    <s v="Rejected"/>
    <n v="108000"/>
    <n v="107334"/>
    <s v="Rejected"/>
    <s v="Rejected"/>
    <m/>
    <s v=""/>
    <s v="Starter"/>
    <s v="July"/>
    <s v="Q3"/>
  </r>
  <r>
    <s v="EOS0336"/>
    <s v="16/07/2025"/>
    <s v="FB"/>
    <s v="Krut"/>
    <s v="Surat"/>
    <x v="0"/>
    <s v="Rejected"/>
    <n v="177000"/>
    <n v="107335"/>
    <s v="Rejected"/>
    <s v="Rejected"/>
    <m/>
    <s v=""/>
    <s v="Growth"/>
    <s v="July"/>
    <s v="Q3"/>
  </r>
  <r>
    <s v="EOS0337"/>
    <s v="16/07/2025"/>
    <s v="FB"/>
    <s v="Dangar Bhavesh Ahir"/>
    <s v=" Bhavnagar"/>
    <x v="0"/>
    <s v="Rejected"/>
    <n v="130000"/>
    <n v="107336"/>
    <s v="Rejected"/>
    <s v="Rejected"/>
    <m/>
    <s v=""/>
    <s v="Starter"/>
    <s v="July"/>
    <s v="Q3"/>
  </r>
  <r>
    <s v="EOS0338"/>
    <d v="2025-07-16T00:00:00"/>
    <s v="FB"/>
    <s v="Sidharth Agrawal"/>
    <s v="Indore"/>
    <x v="4"/>
    <s v="Rejected"/>
    <n v="130000"/>
    <n v="107337"/>
    <s v="Rejected"/>
    <s v="Rejected"/>
    <m/>
    <s v=""/>
    <s v="Starter"/>
    <s v="July"/>
    <s v="Q3"/>
  </r>
  <r>
    <s v="EOS0339"/>
    <s v="16/07/2025"/>
    <s v="FB"/>
    <s v="Navojth Singh "/>
    <s v="Hanumangarh"/>
    <x v="2"/>
    <s v="Rejected"/>
    <n v="108000"/>
    <n v="107338"/>
    <s v="Rejected"/>
    <s v="Rejected"/>
    <m/>
    <s v=""/>
    <s v="Starter"/>
    <s v="July"/>
    <s v="Q3"/>
  </r>
  <r>
    <s v="EOS0340"/>
    <s v="16/07/2025"/>
    <s v="FB"/>
    <s v="Utsav Sharma"/>
    <s v="moradabad"/>
    <x v="1"/>
    <s v="Rejected"/>
    <n v="130000"/>
    <n v="107339"/>
    <s v="Rejected"/>
    <s v="Rejected"/>
    <m/>
    <s v=""/>
    <s v="Starter"/>
    <s v="July"/>
    <s v="Q3"/>
  </r>
  <r>
    <s v="EOS0341"/>
    <s v="16/07/2025"/>
    <s v="FB"/>
    <s v="Sanjeev kumar bhati"/>
    <s v="Bulandshahr"/>
    <x v="1"/>
    <s v="Rejected"/>
    <n v="108000"/>
    <n v="107340"/>
    <s v="Rejected"/>
    <s v="Rejected"/>
    <m/>
    <s v=""/>
    <s v="Starter"/>
    <s v="July"/>
    <s v="Q3"/>
  </r>
  <r>
    <s v="EOS0342"/>
    <s v="16/07/2025"/>
    <s v="FB"/>
    <s v="Pawan Shukla"/>
    <s v="Lucknow"/>
    <x v="1"/>
    <s v="Rejected"/>
    <n v="130000"/>
    <n v="107341"/>
    <s v="Rejected"/>
    <s v="Rejected"/>
    <m/>
    <s v=""/>
    <s v="Starter"/>
    <s v="July"/>
    <s v="Q3"/>
  </r>
  <r>
    <s v="EOS0343"/>
    <s v="16/07/2025"/>
    <s v="FB"/>
    <s v="Sachin Mishra"/>
    <s v="Tulsipur"/>
    <x v="1"/>
    <s v="Rejected"/>
    <n v="177000"/>
    <n v="107342"/>
    <s v="Rejected"/>
    <s v="Rejected"/>
    <m/>
    <s v=""/>
    <s v="Growth"/>
    <s v="July"/>
    <s v="Q3"/>
  </r>
  <r>
    <s v="EOS0344"/>
    <s v="16/07/2025"/>
    <s v="FB"/>
    <s v="Arif Hossain"/>
    <s v="RaMadhya Pradeshur Hat"/>
    <x v="9"/>
    <s v="Rejected"/>
    <n v="177000"/>
    <n v="107343"/>
    <s v="Rejected"/>
    <s v="Rejected"/>
    <m/>
    <s v=""/>
    <s v="Growth"/>
    <s v="July"/>
    <s v="Q3"/>
  </r>
  <r>
    <s v="EOS0345"/>
    <s v="16/07/2025"/>
    <s v="FB"/>
    <s v="Himanshu Bhadoriya"/>
    <s v="Narol"/>
    <x v="0"/>
    <s v="Rejected"/>
    <n v="130000"/>
    <n v="107344"/>
    <s v="Rejected"/>
    <s v="Rejected"/>
    <m/>
    <s v=""/>
    <s v="Starter"/>
    <s v="July"/>
    <s v="Q3"/>
  </r>
  <r>
    <s v="EOS0346"/>
    <s v="16/07/2025"/>
    <s v="FB"/>
    <s v="Richard Dass"/>
    <s v="Pune"/>
    <x v="5"/>
    <s v="Rejected"/>
    <n v="108000"/>
    <n v="107345"/>
    <s v="Rejected"/>
    <s v="Rejected"/>
    <m/>
    <s v=""/>
    <s v="Starter"/>
    <s v="July"/>
    <s v="Q3"/>
  </r>
  <r>
    <s v="EOS0347"/>
    <s v="18/07/2025"/>
    <s v="FB"/>
    <s v="Rajesh Damor"/>
    <m/>
    <x v="0"/>
    <s v="Rejected"/>
    <n v="108000"/>
    <n v="107346"/>
    <s v="Rejected"/>
    <s v="Rejected"/>
    <m/>
    <s v=""/>
    <s v="Starter"/>
    <s v="July"/>
    <s v="Q3"/>
  </r>
  <r>
    <s v="EOS0348"/>
    <s v="16/07/2025"/>
    <s v="FB"/>
    <s v="Rajendrasinh Dabhi"/>
    <s v="Borvai"/>
    <x v="0"/>
    <s v="Rejected"/>
    <n v="130000"/>
    <n v="107347"/>
    <s v="Rejected"/>
    <s v="Rejected"/>
    <m/>
    <s v=""/>
    <s v="Starter"/>
    <s v="July"/>
    <s v="Q3"/>
  </r>
  <r>
    <s v="EOS0349"/>
    <s v="17/07/2025"/>
    <s v="FB"/>
    <s v="Ketan Swami"/>
    <s v="Vadodara"/>
    <x v="0"/>
    <s v="Rejected"/>
    <n v="108000"/>
    <n v="107348"/>
    <s v="Rejected"/>
    <s v="Rejected"/>
    <m/>
    <s v=""/>
    <s v="Starter"/>
    <s v="July"/>
    <s v="Q3"/>
  </r>
  <r>
    <s v="EOS0350"/>
    <s v="17/07/2025"/>
    <s v="FB"/>
    <s v="Nimish"/>
    <s v="Ahmedabad"/>
    <x v="0"/>
    <s v="Rejected"/>
    <n v="130000"/>
    <n v="107349"/>
    <s v="Rejected"/>
    <s v="Rejected"/>
    <m/>
    <s v=""/>
    <s v="Starter"/>
    <s v="July"/>
    <s v="Q3"/>
  </r>
  <r>
    <s v="EOS0351"/>
    <s v="17/07/2025"/>
    <s v="FB"/>
    <s v="Kalpesh Mandaviya"/>
    <s v="Surat"/>
    <x v="0"/>
    <s v="Rejected"/>
    <n v="130000"/>
    <n v="107350"/>
    <s v="Rejected"/>
    <s v="Rejected"/>
    <m/>
    <s v=""/>
    <s v="Starter"/>
    <s v="July"/>
    <s v="Q3"/>
  </r>
  <r>
    <s v="EOS0352"/>
    <s v="17/07/2025"/>
    <s v="FB"/>
    <s v="Roshan Makwana"/>
    <s v="Khambhat"/>
    <x v="0"/>
    <s v="Rejected"/>
    <n v="130000"/>
    <n v="107351"/>
    <s v="Rejected"/>
    <s v="Rejected"/>
    <m/>
    <s v=""/>
    <s v="Starter"/>
    <s v="July"/>
    <s v="Q3"/>
  </r>
  <r>
    <s v="EOS0353"/>
    <s v="17/07/2025"/>
    <s v="FB"/>
    <s v="Adv Mo Akil Saiyad"/>
    <s v="vallbhipur"/>
    <x v="0"/>
    <s v="Rejected"/>
    <n v="308000"/>
    <n v="107352"/>
    <s v="Rejected"/>
    <s v="Rejected"/>
    <m/>
    <s v=""/>
    <s v="Premium"/>
    <s v="July"/>
    <s v="Q3"/>
  </r>
  <r>
    <s v="EOS0354"/>
    <s v="17/07/2025"/>
    <s v="FB"/>
    <s v="Sumit Utwani"/>
    <s v=" Bhavnagar"/>
    <x v="0"/>
    <s v="Rejected"/>
    <n v="108000"/>
    <n v="107353"/>
    <s v="Rejected"/>
    <s v="Rejected"/>
    <m/>
    <s v=""/>
    <s v="Starter"/>
    <s v="July"/>
    <s v="Q3"/>
  </r>
  <r>
    <s v="EOS0355"/>
    <s v="17/07/2025"/>
    <s v="FB"/>
    <s v="Nandaniya Ashvin"/>
    <s v="Khambhalia"/>
    <x v="0"/>
    <s v="Rejected"/>
    <n v="108000"/>
    <n v="107354"/>
    <s v="Rejected"/>
    <s v="Rejected"/>
    <m/>
    <s v=""/>
    <s v="Starter"/>
    <s v="July"/>
    <s v="Q3"/>
  </r>
  <r>
    <s v="EOS0356"/>
    <s v="17/07/2025"/>
    <s v="FB"/>
    <s v="atul arya"/>
    <s v="Ghazipur"/>
    <x v="1"/>
    <s v="Rejected"/>
    <n v="130000"/>
    <n v="107355"/>
    <s v="Rejected"/>
    <s v="Rejected"/>
    <m/>
    <s v=""/>
    <s v="Starter"/>
    <s v="July"/>
    <s v="Q3"/>
  </r>
  <r>
    <s v="EOS0357"/>
    <s v="17/07/2025"/>
    <s v="FB"/>
    <s v="Abhishek newara"/>
    <m/>
    <x v="4"/>
    <s v="Rejected"/>
    <n v="108000"/>
    <n v="107356"/>
    <s v="Rejected"/>
    <s v="Rejected"/>
    <m/>
    <s v=""/>
    <s v="Starter"/>
    <s v="July"/>
    <s v="Q3"/>
  </r>
  <r>
    <s v="EOS0358"/>
    <s v="18/07/2025"/>
    <s v="FB"/>
    <s v="Naranbhai Patel"/>
    <s v="himmatnagar"/>
    <x v="0"/>
    <s v="Rejected"/>
    <n v="108000"/>
    <n v="107357"/>
    <s v="Rejected"/>
    <s v="Rejected"/>
    <m/>
    <s v=""/>
    <s v="Starter"/>
    <s v="July"/>
    <s v="Q3"/>
  </r>
  <r>
    <s v="EOS0359"/>
    <s v="18/07/2025"/>
    <s v="FB"/>
    <s v="KIRANBHAI VIRASH"/>
    <s v="Surat"/>
    <x v="0"/>
    <s v="Rejected"/>
    <n v="130000"/>
    <n v="107358"/>
    <s v="Rejected"/>
    <s v="Rejected"/>
    <m/>
    <s v=""/>
    <s v="Starter"/>
    <s v="July"/>
    <s v="Q3"/>
  </r>
  <r>
    <s v="EOS0360"/>
    <s v="18/07/2025"/>
    <s v="FB"/>
    <s v="Rajesh Prajapati"/>
    <s v="Bhachau"/>
    <x v="0"/>
    <s v="Rejected"/>
    <n v="108000"/>
    <n v="107359"/>
    <s v="Rejected"/>
    <s v="Rejected"/>
    <m/>
    <s v=""/>
    <s v="Starter"/>
    <s v="July"/>
    <s v="Q3"/>
  </r>
  <r>
    <s v="EOS0361"/>
    <s v="18/07/2025"/>
    <s v="FB"/>
    <s v="Sakil Mansuri"/>
    <s v="Vadnagar"/>
    <x v="0"/>
    <s v="Rejected"/>
    <n v="130000"/>
    <n v="107360"/>
    <s v="Rejected"/>
    <s v="Rejected"/>
    <m/>
    <s v=""/>
    <s v="Starter"/>
    <s v="July"/>
    <s v="Q3"/>
  </r>
  <r>
    <s v="EOS0362"/>
    <s v="18/07/2025"/>
    <s v="FB"/>
    <s v="Vahora Sohil"/>
    <s v="anand"/>
    <x v="0"/>
    <s v="Rejected"/>
    <n v="130000"/>
    <n v="107361"/>
    <s v="Rejected"/>
    <s v="Rejected"/>
    <m/>
    <s v=""/>
    <s v="Starter"/>
    <s v="July"/>
    <s v="Q3"/>
  </r>
  <r>
    <s v="EOS0363"/>
    <s v="18/07/2025"/>
    <s v="FB"/>
    <s v="Raju Sarvaiya"/>
    <s v="Jamnagar"/>
    <x v="0"/>
    <s v="Rejected"/>
    <n v="108000"/>
    <n v="107362"/>
    <s v="Rejected"/>
    <s v="Rejected"/>
    <m/>
    <s v=""/>
    <s v="Starter"/>
    <s v="July"/>
    <s v="Q3"/>
  </r>
  <r>
    <s v="EOS0364"/>
    <s v="18/07/2025"/>
    <s v="FB"/>
    <s v="𓄂𝙈𝘼𝙃𝙀𝙎𝙃𝙎𝙄𝙉𝙃__𝘽𝘼𝙉𝙉𝘼__"/>
    <s v="Banaskantha"/>
    <x v="0"/>
    <s v="Rejected"/>
    <n v="108000"/>
    <n v="107363"/>
    <s v="Rejected"/>
    <s v="Rejected"/>
    <m/>
    <s v=""/>
    <s v="Starter"/>
    <s v="July"/>
    <s v="Q3"/>
  </r>
  <r>
    <s v="EOS0365"/>
    <s v="18/07/2025"/>
    <s v="FB"/>
    <s v="Jaydip B"/>
    <s v="Kodinar"/>
    <x v="0"/>
    <s v="Rejected"/>
    <n v="177000"/>
    <n v="107364"/>
    <s v="Rejected"/>
    <s v="Rejected"/>
    <m/>
    <s v=""/>
    <s v="Growth"/>
    <s v="July"/>
    <s v="Q3"/>
  </r>
  <r>
    <s v="EOS0366"/>
    <s v="19/07/2025"/>
    <s v="FB"/>
    <s v="Riyan M"/>
    <s v="Mehsana"/>
    <x v="0"/>
    <s v="Rejected"/>
    <n v="130000"/>
    <n v="107365"/>
    <s v="Rejected"/>
    <s v="Rejected"/>
    <m/>
    <s v=""/>
    <s v="Starter"/>
    <s v="July"/>
    <s v="Q3"/>
  </r>
  <r>
    <s v="EOS0367"/>
    <s v="19/07/2025"/>
    <s v="FB"/>
    <s v="JAYVEERSINH M JADEJA"/>
    <s v="Rajkot"/>
    <x v="0"/>
    <s v="Rejected"/>
    <n v="108000"/>
    <n v="107366"/>
    <s v="Rejected"/>
    <s v="Rejected"/>
    <m/>
    <s v=""/>
    <s v="Starter"/>
    <s v="July"/>
    <s v="Q3"/>
  </r>
  <r>
    <s v="EOS0368"/>
    <s v="19/07/2025"/>
    <s v="FB"/>
    <s v="Haresh Patel"/>
    <s v="Palanpur"/>
    <x v="0"/>
    <s v="Rejected"/>
    <n v="130000"/>
    <n v="107367"/>
    <s v="Rejected"/>
    <s v="Rejected"/>
    <m/>
    <s v=""/>
    <s v="Starter"/>
    <s v="July"/>
    <s v="Q3"/>
  </r>
  <r>
    <s v="EOS0369"/>
    <s v="19/07/2025"/>
    <s v="FB"/>
    <s v="sunil"/>
    <s v="Jetpur"/>
    <x v="0"/>
    <s v="Rejected"/>
    <n v="130000"/>
    <n v="107368"/>
    <s v="Rejected"/>
    <s v="Rejected"/>
    <m/>
    <s v=""/>
    <s v="Starter"/>
    <s v="July"/>
    <s v="Q3"/>
  </r>
  <r>
    <s v="EOS0370"/>
    <s v="19/07/2025"/>
    <s v="FB"/>
    <s v="Dhruv Patel"/>
    <s v="Kadi"/>
    <x v="0"/>
    <s v="Rejected"/>
    <n v="108000"/>
    <n v="107369"/>
    <s v="Rejected"/>
    <s v="Rejected"/>
    <m/>
    <s v=""/>
    <s v="Starter"/>
    <s v="July"/>
    <s v="Q3"/>
  </r>
  <r>
    <s v="EOS0371"/>
    <s v="19/07/2025"/>
    <s v="FB"/>
    <s v="PâTu PâTêl"/>
    <s v="Daman"/>
    <x v="0"/>
    <s v="Rejected"/>
    <n v="108000"/>
    <n v="107370"/>
    <s v="Rejected"/>
    <s v="Rejected"/>
    <m/>
    <s v=""/>
    <s v="Starter"/>
    <s v="July"/>
    <s v="Q3"/>
  </r>
  <r>
    <s v="EOS0372"/>
    <s v="19/07/2025"/>
    <s v="FB"/>
    <s v="Siddharth Sonkar"/>
    <s v="Lucknow"/>
    <x v="1"/>
    <s v="Rejected"/>
    <n v="130000"/>
    <n v="107371"/>
    <s v="Rejected"/>
    <s v="Rejected"/>
    <m/>
    <s v=""/>
    <s v="Starter"/>
    <s v="July"/>
    <s v="Q3"/>
  </r>
  <r>
    <s v="EOS0373"/>
    <s v="19/07/2025"/>
    <s v="FB"/>
    <s v="shahnawaz khan"/>
    <s v="Olpad"/>
    <x v="0"/>
    <s v="Rejected"/>
    <n v="130000"/>
    <n v="107372"/>
    <s v="Rejected"/>
    <s v="Rejected"/>
    <m/>
    <s v=""/>
    <s v="Starter"/>
    <s v="July"/>
    <s v="Q3"/>
  </r>
  <r>
    <s v="EOS0374"/>
    <s v="20/07/2025"/>
    <s v="FB"/>
    <s v="Md rahim"/>
    <s v="varanasi"/>
    <x v="1"/>
    <s v="Rejected"/>
    <n v="308000"/>
    <n v="107373"/>
    <s v="Rejected"/>
    <s v="Rejected"/>
    <m/>
    <s v=""/>
    <s v="Premium"/>
    <s v="July"/>
    <s v="Q3"/>
  </r>
  <r>
    <s v="EOS0375"/>
    <s v="21/07/2025"/>
    <s v="FB"/>
    <s v="Jitendra Chauhan"/>
    <s v="Paatan"/>
    <x v="0"/>
    <s v="Rejected"/>
    <n v="108000"/>
    <n v="107374"/>
    <s v="Rejected"/>
    <s v="Rejected"/>
    <m/>
    <s v=""/>
    <s v="Starter"/>
    <s v="July"/>
    <s v="Q3"/>
  </r>
  <r>
    <s v="EOS0376"/>
    <s v="21/07/2025"/>
    <s v="FB"/>
    <s v="Mukesh Prajapati"/>
    <s v="Palanpur"/>
    <x v="0"/>
    <s v="Rejected"/>
    <n v="108000"/>
    <n v="107375"/>
    <s v="Rejected"/>
    <s v="Rejected"/>
    <m/>
    <s v=""/>
    <s v="Starter"/>
    <s v="July"/>
    <s v="Q3"/>
  </r>
  <r>
    <s v="EOS0377"/>
    <s v="21/07/2025"/>
    <s v="FB"/>
    <s v="Gautam Patel"/>
    <s v="Surat"/>
    <x v="0"/>
    <s v="Rejected"/>
    <n v="108000"/>
    <n v="107376"/>
    <s v="Rejected"/>
    <s v="Rejected"/>
    <m/>
    <s v=""/>
    <s v="Starter"/>
    <s v="July"/>
    <s v="Q3"/>
  </r>
  <r>
    <s v="EOS0378"/>
    <s v="21/07/2025"/>
    <s v="FB"/>
    <s v="Mds Officially"/>
    <s v="Deesa"/>
    <x v="0"/>
    <s v="Rejected"/>
    <n v="108000"/>
    <n v="107377"/>
    <s v="Rejected"/>
    <s v="Rejected"/>
    <m/>
    <s v=""/>
    <s v="Starter"/>
    <s v="July"/>
    <s v="Q3"/>
  </r>
  <r>
    <s v="EOS0379"/>
    <s v="21/07/2025"/>
    <s v="FB"/>
    <s v="AK Stationery"/>
    <s v="Wankaner"/>
    <x v="0"/>
    <s v="Rejected"/>
    <n v="130000"/>
    <n v="107378"/>
    <s v="Rejected"/>
    <s v="Rejected"/>
    <m/>
    <s v=""/>
    <s v="Starter"/>
    <s v="July"/>
    <s v="Q3"/>
  </r>
  <r>
    <s v="EOS0380"/>
    <s v="21/07/2025"/>
    <s v="FB"/>
    <s v="ᴀʟʟᴀʀᴀᴋʜᴀ sᴜʀᴛɪ"/>
    <s v="Vadodara"/>
    <x v="0"/>
    <s v="Rejected"/>
    <n v="108000"/>
    <n v="107379"/>
    <s v="Rejected"/>
    <s v="Rejected"/>
    <m/>
    <s v=""/>
    <s v="Starter"/>
    <s v="July"/>
    <s v="Q3"/>
  </r>
  <r>
    <s v="EOS0381"/>
    <s v="21/07/2025"/>
    <s v="FB"/>
    <s v="bhumip_1404"/>
    <s v="Ahmedabad"/>
    <x v="0"/>
    <s v="Rejected"/>
    <n v="130000"/>
    <n v="107380"/>
    <s v="Rejected"/>
    <s v="Rejected"/>
    <m/>
    <s v=""/>
    <s v="Starter"/>
    <s v="July"/>
    <s v="Q3"/>
  </r>
  <r>
    <s v="EOS0382"/>
    <s v="21/07/2025"/>
    <s v="FB"/>
    <s v="| 𝐉𝐈𝐓𝐄𝐍𝐃𝐑𝐀 |"/>
    <s v="JunaDeesa"/>
    <x v="0"/>
    <s v="Rejected"/>
    <n v="177000"/>
    <n v="107381"/>
    <s v="Rejected"/>
    <s v="Rejected"/>
    <m/>
    <s v=""/>
    <s v="Growth"/>
    <s v="July"/>
    <s v="Q3"/>
  </r>
  <r>
    <s v="EOS0383"/>
    <s v="21/07/2025"/>
    <s v="FB"/>
    <s v="Ram kumar"/>
    <s v="Ahmedabad"/>
    <x v="0"/>
    <s v="Rejected"/>
    <n v="108000"/>
    <n v="107382"/>
    <s v="Rejected"/>
    <s v="Rejected"/>
    <m/>
    <s v=""/>
    <s v="Starter"/>
    <s v="July"/>
    <s v="Q3"/>
  </r>
  <r>
    <s v="EOS0384"/>
    <s v="21/07/2025"/>
    <s v="FB"/>
    <s v="Mihir Bapodra"/>
    <s v="Porbandar"/>
    <x v="0"/>
    <s v="Rejected"/>
    <n v="177000"/>
    <n v="107383"/>
    <s v="Rejected"/>
    <s v="Rejected"/>
    <m/>
    <s v=""/>
    <s v="Growth"/>
    <s v="July"/>
    <s v="Q3"/>
  </r>
  <r>
    <s v="EOS0385"/>
    <s v="21/07/2025"/>
    <s v="FB"/>
    <s v="Riyaz"/>
    <s v="Kodinar"/>
    <x v="0"/>
    <s v="Rejected"/>
    <n v="108000"/>
    <n v="107384"/>
    <s v="Rejected"/>
    <s v="Rejected"/>
    <m/>
    <s v=""/>
    <s v="Starter"/>
    <s v="July"/>
    <s v="Q3"/>
  </r>
  <r>
    <s v="EOS0386"/>
    <s v="21/07/2025"/>
    <s v="FB"/>
    <s v="Md rahim"/>
    <s v="varanasi"/>
    <x v="1"/>
    <s v="Rejected"/>
    <n v="177000"/>
    <n v="107385"/>
    <s v="Rejected"/>
    <s v="Rejected"/>
    <m/>
    <s v=""/>
    <s v="Growth"/>
    <s v="July"/>
    <s v="Q3"/>
  </r>
  <r>
    <s v="EOS0387"/>
    <s v="21/07/2025"/>
    <s v="FB"/>
    <s v="Madhusudam sharma"/>
    <s v="Alwasa"/>
    <x v="4"/>
    <s v="Rejected"/>
    <n v="177000"/>
    <n v="107386"/>
    <s v="Rejected"/>
    <s v="Rejected"/>
    <m/>
    <s v=""/>
    <s v="Growth"/>
    <s v="July"/>
    <s v="Q3"/>
  </r>
  <r>
    <s v="EOS0388"/>
    <s v="21/07/2025"/>
    <s v="FB"/>
    <s v="Rohit"/>
    <s v="Tejlav"/>
    <x v="0"/>
    <s v="Rejected"/>
    <n v="108000"/>
    <n v="107387"/>
    <s v="Rejected"/>
    <s v="Rejected"/>
    <m/>
    <s v=""/>
    <s v="Starter"/>
    <s v="July"/>
    <s v="Q3"/>
  </r>
  <r>
    <s v="EOS0389"/>
    <s v="21/07/2025"/>
    <s v="FB"/>
    <s v="Khatri tejkaran Govardhanbhai"/>
    <s v="Surat"/>
    <x v="0"/>
    <s v="Rejected"/>
    <n v="177000"/>
    <n v="107388"/>
    <s v="Rejected"/>
    <s v="Rejected"/>
    <m/>
    <s v=""/>
    <s v="Growth"/>
    <s v="July"/>
    <s v="Q3"/>
  </r>
  <r>
    <s v="EOS0390"/>
    <s v="21/07/2025"/>
    <s v="FB"/>
    <s v="Anil Kumar"/>
    <m/>
    <x v="13"/>
    <s v="Rejected"/>
    <n v="130000"/>
    <n v="107389"/>
    <s v="Rejected"/>
    <s v="Rejected"/>
    <m/>
    <s v=""/>
    <s v="Starter"/>
    <s v="July"/>
    <s v="Q3"/>
  </r>
  <r>
    <s v="EOS0391"/>
    <s v="22/07/2025"/>
    <s v="FB"/>
    <s v="Ramniklal Gokaldas Vaghela"/>
    <s v="Baroda"/>
    <x v="0"/>
    <s v="Rejected"/>
    <n v="130000"/>
    <n v="107390"/>
    <s v="Rejected"/>
    <s v="Rejected"/>
    <m/>
    <s v=""/>
    <s v="Starter"/>
    <s v="July"/>
    <s v="Q3"/>
  </r>
  <r>
    <s v="EOS0392"/>
    <s v="22/07/2025"/>
    <s v="FB"/>
    <s v="Pavan Gadhiya"/>
    <s v="Surat "/>
    <x v="0"/>
    <s v="Rejected"/>
    <n v="108000"/>
    <n v="107391"/>
    <s v="Rejected"/>
    <s v="Rejected"/>
    <m/>
    <s v=""/>
    <s v="Starter"/>
    <s v="July"/>
    <s v="Q3"/>
  </r>
  <r>
    <s v="EOS0393"/>
    <s v="22/07/2025"/>
    <s v="FB"/>
    <s v="Nikhil"/>
    <s v="Rajkot"/>
    <x v="0"/>
    <s v="Rejected"/>
    <n v="130000"/>
    <n v="107392"/>
    <s v="Rejected"/>
    <s v="Rejected"/>
    <m/>
    <s v=""/>
    <s v="Starter"/>
    <s v="July"/>
    <s v="Q3"/>
  </r>
  <r>
    <s v="EOS0394"/>
    <s v="22/07/2025"/>
    <s v="FB"/>
    <s v="Viral"/>
    <s v="Surat"/>
    <x v="0"/>
    <s v="Rejected"/>
    <n v="108000"/>
    <n v="107393"/>
    <s v="Rejected"/>
    <s v="Rejected"/>
    <m/>
    <s v=""/>
    <s v="Starter"/>
    <s v="July"/>
    <s v="Q3"/>
  </r>
  <r>
    <s v="EOS0395"/>
    <s v="22/07/2025"/>
    <s v="FB"/>
    <s v="SAGARO_BHARVAD"/>
    <s v="Ahmedabad"/>
    <x v="0"/>
    <s v="Rejected"/>
    <n v="108000"/>
    <n v="107394"/>
    <s v="Rejected"/>
    <s v="Rejected"/>
    <m/>
    <s v=""/>
    <s v="Starter"/>
    <s v="July"/>
    <s v="Q3"/>
  </r>
  <r>
    <s v="EOS0396"/>
    <s v="22/07/2025"/>
    <s v="FB"/>
    <s v="Aarya"/>
    <s v="Surat"/>
    <x v="0"/>
    <s v="Rejected"/>
    <n v="130000"/>
    <n v="107395"/>
    <s v="Rejected"/>
    <s v="Rejected"/>
    <m/>
    <s v=""/>
    <s v="Starter"/>
    <s v="July"/>
    <s v="Q3"/>
  </r>
  <r>
    <s v="EOS0397"/>
    <s v="22/07/2025"/>
    <s v="FB"/>
    <s v="sorathiya sagar"/>
    <s v="Ankleshwar"/>
    <x v="0"/>
    <s v="Rejected"/>
    <n v="130000"/>
    <n v="107396"/>
    <s v="Rejected"/>
    <s v="Rejected"/>
    <m/>
    <s v=""/>
    <s v="Starter"/>
    <s v="July"/>
    <s v="Q3"/>
  </r>
  <r>
    <s v="EOS0398"/>
    <s v="22/07/2025"/>
    <s v="FB"/>
    <s v="JAY BAROT"/>
    <s v="Modasa"/>
    <x v="0"/>
    <s v="Rejected"/>
    <n v="108000"/>
    <n v="107397"/>
    <s v="Rejected"/>
    <s v="Rejected"/>
    <m/>
    <s v=""/>
    <s v="Starter"/>
    <s v="July"/>
    <s v="Q3"/>
  </r>
  <r>
    <s v="EOS0399"/>
    <s v="22/07/2025"/>
    <s v="FB"/>
    <s v="Bhushan Ramesh sonwane"/>
    <s v="Surat"/>
    <x v="0"/>
    <s v="Rejected"/>
    <n v="108000"/>
    <n v="107398"/>
    <s v="Rejected"/>
    <s v="Rejected"/>
    <m/>
    <s v=""/>
    <s v="Starter"/>
    <s v="July"/>
    <s v="Q3"/>
  </r>
  <r>
    <s v="EOS0400"/>
    <s v="22/07/2025"/>
    <s v="FB"/>
    <s v="Jignesh Patel"/>
    <s v="Ahmedabad"/>
    <x v="0"/>
    <s v="Rejected"/>
    <n v="130000"/>
    <n v="107399"/>
    <s v="Rejected"/>
    <s v="Rejected"/>
    <m/>
    <s v=""/>
    <s v="Starter"/>
    <s v="July"/>
    <s v="Q3"/>
  </r>
  <r>
    <s v="EOS0401"/>
    <s v="22/07/2025"/>
    <s v="FB"/>
    <s v="Adv Mo Akil"/>
    <s v="Dhandhuka"/>
    <x v="0"/>
    <s v="Rejected"/>
    <n v="130000"/>
    <n v="107400"/>
    <s v="Rejected"/>
    <s v="Rejected"/>
    <m/>
    <s v=""/>
    <s v="Starter"/>
    <s v="July"/>
    <s v="Q3"/>
  </r>
  <r>
    <s v="EOS0402"/>
    <s v="22/07/2025"/>
    <s v="FB"/>
    <s v="Bindiya Sharma"/>
    <s v="Surat"/>
    <x v="0"/>
    <s v="Rejected"/>
    <n v="130000"/>
    <n v="107401"/>
    <s v="Rejected"/>
    <s v="Rejected"/>
    <m/>
    <s v=""/>
    <s v="Starter"/>
    <s v="July"/>
    <s v="Q3"/>
  </r>
  <r>
    <s v="EOS0403"/>
    <s v="22/07/2025"/>
    <s v="FB"/>
    <s v="Trilok"/>
    <s v="Indore"/>
    <x v="4"/>
    <s v="Rejected"/>
    <n v="108000"/>
    <n v="107402"/>
    <s v="Rejected"/>
    <s v="Rejected"/>
    <m/>
    <s v=""/>
    <s v="Starter"/>
    <s v="July"/>
    <s v="Q3"/>
  </r>
  <r>
    <s v="EOS0404"/>
    <s v="22/07/2025"/>
    <s v="FB"/>
    <s v="Ronak"/>
    <m/>
    <x v="0"/>
    <s v="Rejected"/>
    <n v="177000"/>
    <n v="107403"/>
    <s v="Rejected"/>
    <s v="Rejected"/>
    <m/>
    <s v=""/>
    <s v="Growth"/>
    <s v="July"/>
    <s v="Q3"/>
  </r>
  <r>
    <s v="EOS0405"/>
    <s v="23/07/2025"/>
    <s v="FB"/>
    <s v="Vrundav Gamit"/>
    <s v="Vyara"/>
    <x v="0"/>
    <s v="Rejected"/>
    <n v="108000"/>
    <n v="107404"/>
    <s v="Rejected"/>
    <s v="Rejected"/>
    <m/>
    <s v=""/>
    <s v="Starter"/>
    <s v="July"/>
    <s v="Q3"/>
  </r>
  <r>
    <s v="EOS0406"/>
    <s v="23/07/2025"/>
    <s v="FB"/>
    <s v="Solat Tejas"/>
    <s v="Vadodara"/>
    <x v="0"/>
    <s v="Rejected"/>
    <n v="130000"/>
    <n v="107405"/>
    <s v="Rejected"/>
    <s v="Rejected"/>
    <m/>
    <s v=""/>
    <s v="Starter"/>
    <s v="July"/>
    <s v="Q3"/>
  </r>
  <r>
    <s v="EOS0407"/>
    <s v="23/07/2025"/>
    <s v="FB"/>
    <s v="Salim Madaam"/>
    <s v="Junagadh"/>
    <x v="0"/>
    <s v="Rejected"/>
    <n v="108000"/>
    <n v="107406"/>
    <s v="Rejected"/>
    <s v="Rejected"/>
    <m/>
    <s v=""/>
    <s v="Starter"/>
    <s v="July"/>
    <s v="Q3"/>
  </r>
  <r>
    <s v="EOS0408"/>
    <s v="23/07/2025"/>
    <s v="FB"/>
    <s v="piyush Dave"/>
    <s v="Rajkot"/>
    <x v="0"/>
    <s v="Rejected"/>
    <n v="130000"/>
    <n v="107407"/>
    <s v="Rejected"/>
    <s v="Rejected"/>
    <m/>
    <s v=""/>
    <s v="Starter"/>
    <s v="July"/>
    <s v="Q3"/>
  </r>
  <r>
    <s v="EOS0409"/>
    <s v="23/07/2025"/>
    <s v="FB"/>
    <s v="HK Ahir"/>
    <s v="Surat"/>
    <x v="0"/>
    <s v="Rejected"/>
    <n v="130000"/>
    <n v="107408"/>
    <s v="Rejected"/>
    <s v="Rejected"/>
    <m/>
    <s v=""/>
    <s v="Starter"/>
    <s v="July"/>
    <s v="Q3"/>
  </r>
  <r>
    <s v="EOS0410"/>
    <s v="23/07/2025"/>
    <s v="FB"/>
    <s v="Ninama Purshottam"/>
    <s v="Limkheda"/>
    <x v="0"/>
    <s v="Rejected"/>
    <n v="130000"/>
    <n v="107409"/>
    <s v="Rejected"/>
    <s v="Rejected"/>
    <m/>
    <s v=""/>
    <s v="Starter"/>
    <s v="July"/>
    <s v="Q3"/>
  </r>
  <r>
    <s v="EOS0411"/>
    <s v="23/07/2025"/>
    <s v="FB"/>
    <s v="Yuvraj Yuvraj"/>
    <s v="Mansa"/>
    <x v="0"/>
    <s v="Rejected"/>
    <n v="130000"/>
    <n v="107410"/>
    <s v="Rejected"/>
    <s v="Rejected"/>
    <m/>
    <s v=""/>
    <s v="Starter"/>
    <s v="July"/>
    <s v="Q3"/>
  </r>
  <r>
    <s v="EOS0412"/>
    <s v="23/07/2025"/>
    <s v="FB"/>
    <s v="Nagabhai meramanbhai parmar"/>
    <s v="Junagadh"/>
    <x v="0"/>
    <s v="Rejected"/>
    <n v="108000"/>
    <n v="107411"/>
    <s v="Rejected"/>
    <s v="Rejected"/>
    <m/>
    <s v=""/>
    <s v="Starter"/>
    <s v="July"/>
    <s v="Q3"/>
  </r>
  <r>
    <s v="EOS0413"/>
    <s v="23/07/2025"/>
    <s v="FB"/>
    <s v="Yogesh kidecha"/>
    <s v="Ahmedabad"/>
    <x v="0"/>
    <s v="Rejected"/>
    <n v="177000"/>
    <n v="107412"/>
    <s v="Rejected"/>
    <s v="Rejected"/>
    <m/>
    <s v=""/>
    <s v="Growth"/>
    <s v="July"/>
    <s v="Q3"/>
  </r>
  <r>
    <s v="EOS0414"/>
    <s v="23/07/2025"/>
    <s v="FB"/>
    <s v="S.M.I.T.R.A.J"/>
    <s v="Surendranagar"/>
    <x v="0"/>
    <s v="Rejected"/>
    <n v="130000"/>
    <n v="107413"/>
    <s v="Rejected"/>
    <s v="Rejected"/>
    <m/>
    <s v=""/>
    <s v="Starter"/>
    <s v="July"/>
    <s v="Q3"/>
  </r>
  <r>
    <s v="EOS0415"/>
    <s v="23/07/2025"/>
    <s v="FB"/>
    <s v="Rahul"/>
    <m/>
    <x v="2"/>
    <s v="Rejected"/>
    <n v="130000"/>
    <n v="107414"/>
    <s v="Rejected"/>
    <s v="Rejected"/>
    <m/>
    <s v=""/>
    <s v="Starter"/>
    <s v="July"/>
    <s v="Q3"/>
  </r>
  <r>
    <s v="EOS0416"/>
    <s v="23/07/2025"/>
    <s v="FB"/>
    <s v="Gopal das"/>
    <s v="ALIPURDUAR"/>
    <x v="9"/>
    <s v="Rejected"/>
    <n v="108000"/>
    <n v="107415"/>
    <s v="Rejected"/>
    <s v="Rejected"/>
    <m/>
    <s v=""/>
    <s v="Starter"/>
    <s v="July"/>
    <s v="Q3"/>
  </r>
  <r>
    <s v="EOS0417"/>
    <s v="23/07/2025"/>
    <s v="FB"/>
    <s v="vikarm Singh"/>
    <s v="Ganganagar"/>
    <x v="2"/>
    <s v="Rejected"/>
    <n v="177000"/>
    <n v="107416"/>
    <s v="Rejected"/>
    <s v="Rejected"/>
    <m/>
    <s v=""/>
    <s v="Growth"/>
    <s v="July"/>
    <s v="Q3"/>
  </r>
  <r>
    <s v="EOS0418"/>
    <s v="24/07/2025"/>
    <s v="FB"/>
    <s v="Krishu Gauswami"/>
    <s v="Una"/>
    <x v="0"/>
    <s v="Rejected"/>
    <n v="108000"/>
    <n v="107417"/>
    <s v="Rejected"/>
    <s v="Rejected"/>
    <m/>
    <s v=""/>
    <s v="Starter"/>
    <s v="July"/>
    <s v="Q3"/>
  </r>
  <r>
    <s v="EOS0419"/>
    <s v="28/07/2025"/>
    <s v="FB"/>
    <s v="Parmar Dipesh"/>
    <s v=" Bhavnagar"/>
    <x v="0"/>
    <s v="Rejected"/>
    <n v="130000"/>
    <n v="107418"/>
    <s v="Rejected"/>
    <s v="Rejected"/>
    <m/>
    <s v=""/>
    <s v="Starter"/>
    <s v="July"/>
    <s v="Q3"/>
  </r>
  <r>
    <s v="EOS0420"/>
    <d v="2025-07-24T00:00:00"/>
    <s v="FB"/>
    <s v="Kvin Raghuvanshi"/>
    <s v="Rajkot"/>
    <x v="0"/>
    <s v="Rejected"/>
    <n v="177000"/>
    <n v="107419"/>
    <s v="Rejected"/>
    <s v="Rejected"/>
    <m/>
    <s v=""/>
    <s v="Growth"/>
    <s v="July"/>
    <s v="Q3"/>
  </r>
  <r>
    <s v="EOS0421"/>
    <s v="24/07/2025"/>
    <s v="FB"/>
    <s v="Magnani Jitu"/>
    <s v="Surat"/>
    <x v="0"/>
    <s v="Rejected"/>
    <n v="108000"/>
    <n v="107420"/>
    <s v="Rejected"/>
    <s v="Rejected"/>
    <m/>
    <s v=""/>
    <s v="Starter"/>
    <s v="July"/>
    <s v="Q3"/>
  </r>
  <r>
    <s v="EOS0422"/>
    <s v="24/07/2025"/>
    <s v="FB"/>
    <s v="Hasan"/>
    <s v="Una"/>
    <x v="0"/>
    <s v="Rejected"/>
    <n v="108000"/>
    <n v="107421"/>
    <s v="Rejected"/>
    <s v="Rejected"/>
    <m/>
    <s v=""/>
    <s v="Starter"/>
    <s v="July"/>
    <s v="Q3"/>
  </r>
  <r>
    <s v="EOS0423"/>
    <s v="24/07/2025"/>
    <s v="FB"/>
    <s v="Shabir Barejiya"/>
    <s v="Visavadar"/>
    <x v="0"/>
    <s v="Rejected"/>
    <n v="108000"/>
    <n v="107422"/>
    <s v="Rejected"/>
    <s v="Rejected"/>
    <m/>
    <s v=""/>
    <s v="Starter"/>
    <s v="July"/>
    <s v="Q3"/>
  </r>
  <r>
    <s v="EOS0424"/>
    <s v="24/07/2025"/>
    <s v="FB"/>
    <s v="Brijesh Vahan"/>
    <s v="Talala"/>
    <x v="0"/>
    <s v="Rejected"/>
    <n v="130000"/>
    <n v="107423"/>
    <s v="Rejected"/>
    <s v="Rejected"/>
    <m/>
    <s v=""/>
    <s v="Starter"/>
    <s v="July"/>
    <s v="Q3"/>
  </r>
  <r>
    <s v="EOS0425"/>
    <s v="24/07/2025"/>
    <s v="FB"/>
    <s v="Makwana Viral"/>
    <s v="Jambusar"/>
    <x v="0"/>
    <s v="Rejected"/>
    <n v="108000"/>
    <n v="107424"/>
    <s v="Rejected"/>
    <s v="Rejected"/>
    <m/>
    <s v=""/>
    <s v="Starter"/>
    <s v="July"/>
    <s v="Q3"/>
  </r>
  <r>
    <s v="EOS0426"/>
    <s v="24/07/2025"/>
    <s v="FB"/>
    <s v="Sunil dhangar"/>
    <s v="Bardoli"/>
    <x v="0"/>
    <s v="Rejected"/>
    <n v="108000"/>
    <n v="107425"/>
    <s v="Rejected"/>
    <s v="Rejected"/>
    <m/>
    <s v=""/>
    <s v="Starter"/>
    <s v="July"/>
    <s v="Q3"/>
  </r>
  <r>
    <s v="EOS0427"/>
    <s v="24/07/2025"/>
    <s v="FB"/>
    <s v="Malataj Bagiwala"/>
    <s v="Anand"/>
    <x v="0"/>
    <s v="Rejected"/>
    <n v="108000"/>
    <n v="107426"/>
    <s v="Rejected"/>
    <s v="Rejected"/>
    <m/>
    <s v=""/>
    <s v="Starter"/>
    <s v="July"/>
    <s v="Q3"/>
  </r>
  <r>
    <s v="EOS0428"/>
    <s v="24/07/2025"/>
    <s v="FB"/>
    <s v="Jatin dudharejiya"/>
    <s v="Junagadh"/>
    <x v="0"/>
    <s v="Rejected"/>
    <n v="130000"/>
    <n v="107427"/>
    <s v="Rejected"/>
    <s v="Rejected"/>
    <m/>
    <s v=""/>
    <s v="Starter"/>
    <s v="July"/>
    <s v="Q3"/>
  </r>
  <r>
    <s v="EOS0429"/>
    <s v="24/07/2025"/>
    <s v="FB"/>
    <s v="Kishan Maru"/>
    <s v="Amreli"/>
    <x v="0"/>
    <s v="Rejected"/>
    <n v="130000"/>
    <n v="107428"/>
    <s v="Rejected"/>
    <s v="Rejected"/>
    <m/>
    <s v=""/>
    <s v="Starter"/>
    <s v="July"/>
    <s v="Q3"/>
  </r>
  <r>
    <s v="EOS0430"/>
    <s v="24/07/2025"/>
    <s v="FB"/>
    <s v="Pratik"/>
    <s v="Porbandar"/>
    <x v="0"/>
    <s v="Rejected"/>
    <n v="130000"/>
    <n v="107429"/>
    <s v="Rejected"/>
    <s v="Rejected"/>
    <m/>
    <s v=""/>
    <s v="Starter"/>
    <s v="July"/>
    <s v="Q3"/>
  </r>
  <r>
    <s v="EOS0431"/>
    <s v="24/07/2025"/>
    <s v="FB"/>
    <s v="PIYUSH"/>
    <s v="Navsari"/>
    <x v="0"/>
    <s v="Deal "/>
    <n v="130000"/>
    <n v="107430"/>
    <s v="Deal"/>
    <s v="Converted"/>
    <d v="2025-07-30T00:00:00"/>
    <n v="6"/>
    <s v="Starter"/>
    <s v="July"/>
    <s v="Q3"/>
  </r>
  <r>
    <s v="EOS0432"/>
    <s v="24/07/2025"/>
    <s v="FB"/>
    <s v="Kiran Parmar"/>
    <s v="Vadodara"/>
    <x v="0"/>
    <s v="Rejected"/>
    <n v="130000"/>
    <n v="107431"/>
    <s v="Rejected"/>
    <s v="Rejected"/>
    <m/>
    <s v=""/>
    <s v="Starter"/>
    <s v="July"/>
    <s v="Q3"/>
  </r>
  <r>
    <s v="EOS0433"/>
    <s v="24/07/2025"/>
    <s v="WA"/>
    <s v="Mayur"/>
    <s v="Ratanpada"/>
    <x v="0"/>
    <s v="Rejected"/>
    <n v="108000"/>
    <n v="107432"/>
    <s v="Rejected"/>
    <s v="Rejected"/>
    <m/>
    <s v=""/>
    <s v="Starter"/>
    <s v="July"/>
    <s v="Q3"/>
  </r>
  <r>
    <s v="EOS0434"/>
    <s v="25/07/2025"/>
    <s v="FB"/>
    <s v="Nazir Dhanani"/>
    <s v=" Bhavnagar"/>
    <x v="0"/>
    <s v="Rejected"/>
    <n v="130000"/>
    <n v="107433"/>
    <s v="Rejected"/>
    <s v="Rejected"/>
    <m/>
    <s v=""/>
    <s v="Starter"/>
    <s v="July"/>
    <s v="Q3"/>
  </r>
  <r>
    <s v="EOS0435"/>
    <s v="25/07/2025"/>
    <s v="FB"/>
    <s v="dipraj"/>
    <s v="Surat"/>
    <x v="0"/>
    <s v="Rejected"/>
    <n v="130000"/>
    <n v="107434"/>
    <s v="Rejected"/>
    <s v="Rejected"/>
    <m/>
    <s v=""/>
    <s v="Starter"/>
    <s v="July"/>
    <s v="Q3"/>
  </r>
  <r>
    <s v="EOS0436"/>
    <s v="25/07/2025"/>
    <s v="FB"/>
    <s v="Shaishav Kapadia"/>
    <s v="Surat"/>
    <x v="0"/>
    <s v="Rejected"/>
    <n v="130000"/>
    <n v="107435"/>
    <s v="Rejected"/>
    <s v="Rejected"/>
    <m/>
    <s v=""/>
    <s v="Starter"/>
    <s v="July"/>
    <s v="Q3"/>
  </r>
  <r>
    <s v="EOS0437"/>
    <s v="25/07/2025"/>
    <s v="FB"/>
    <s v="Rushil Patel"/>
    <s v="Junagadh"/>
    <x v="0"/>
    <s v="Rejected"/>
    <n v="130000"/>
    <n v="107436"/>
    <s v="Rejected"/>
    <s v="Rejected"/>
    <m/>
    <s v=""/>
    <s v="Starter"/>
    <s v="July"/>
    <s v="Q3"/>
  </r>
  <r>
    <s v="EOS0438"/>
    <s v="25/07/2025"/>
    <s v="FB"/>
    <s v="Nirmit Patel"/>
    <s v="Vadodara"/>
    <x v="0"/>
    <s v="Rejected"/>
    <n v="108000"/>
    <n v="107437"/>
    <s v="Rejected"/>
    <s v="Rejected"/>
    <m/>
    <s v=""/>
    <s v="Starter"/>
    <s v="July"/>
    <s v="Q3"/>
  </r>
  <r>
    <s v="EOS0439"/>
    <s v="25/07/2025"/>
    <s v="FB"/>
    <s v="Dhranga Rajdeep"/>
    <s v="Rajkot"/>
    <x v="0"/>
    <s v="Rejected"/>
    <n v="108000"/>
    <n v="107438"/>
    <s v="Rejected"/>
    <s v="Rejected"/>
    <m/>
    <s v=""/>
    <s v="Starter"/>
    <s v="July"/>
    <s v="Q3"/>
  </r>
  <r>
    <s v="EOS0440"/>
    <s v="25/07/2025"/>
    <s v="FB"/>
    <s v="ᴀꜱʜɪꜱʜ_ᴍɪꜱᴛʀy"/>
    <s v="Palitana"/>
    <x v="0"/>
    <s v="Rejected"/>
    <n v="108000"/>
    <n v="107439"/>
    <s v="Rejected"/>
    <s v="Rejected"/>
    <m/>
    <s v=""/>
    <s v="Starter"/>
    <s v="July"/>
    <s v="Q3"/>
  </r>
  <r>
    <s v="EOS0441"/>
    <s v="25/07/2025"/>
    <s v="FB"/>
    <s v="PRÃKÅSH RĀVÄL"/>
    <s v="Ahmedabad"/>
    <x v="0"/>
    <s v="Rejected"/>
    <n v="130000"/>
    <n v="107440"/>
    <s v="Rejected"/>
    <s v="Rejected"/>
    <m/>
    <s v=""/>
    <s v="Starter"/>
    <s v="July"/>
    <s v="Q3"/>
  </r>
  <r>
    <s v="EOS0442"/>
    <s v="25/07/2025"/>
    <s v="FB"/>
    <s v="Dharmesh"/>
    <s v="Rajkot"/>
    <x v="0"/>
    <s v="Rejected"/>
    <n v="130000"/>
    <n v="107441"/>
    <s v="Rejected"/>
    <s v="Rejected"/>
    <m/>
    <s v=""/>
    <s v="Starter"/>
    <s v="July"/>
    <s v="Q3"/>
  </r>
  <r>
    <s v="EOS0443"/>
    <s v="25/07/2025"/>
    <s v="FB"/>
    <s v="Jay Mali"/>
    <s v="Deesa"/>
    <x v="0"/>
    <s v="Rejected"/>
    <n v="130000"/>
    <n v="107442"/>
    <s v="Rejected"/>
    <s v="Rejected"/>
    <m/>
    <s v=""/>
    <s v="Starter"/>
    <s v="July"/>
    <s v="Q3"/>
  </r>
  <r>
    <s v="EOS0444"/>
    <s v="25/07/2025"/>
    <s v="FB"/>
    <s v="Parmar Vivek"/>
    <s v="Surat"/>
    <x v="0"/>
    <s v="Rejected"/>
    <n v="108000"/>
    <n v="107443"/>
    <s v="Rejected"/>
    <s v="Rejected"/>
    <m/>
    <s v=""/>
    <s v="Starter"/>
    <s v="July"/>
    <s v="Q3"/>
  </r>
  <r>
    <s v="EOS0445"/>
    <s v="26/07/2025"/>
    <s v="FB"/>
    <s v="Ramsinh Zala"/>
    <s v="Gandhinagar"/>
    <x v="0"/>
    <s v="Rejected"/>
    <n v="130000"/>
    <n v="107444"/>
    <s v="Rejected"/>
    <s v="Rejected"/>
    <m/>
    <s v=""/>
    <s v="Starter"/>
    <s v="July"/>
    <s v="Q3"/>
  </r>
  <r>
    <s v="EOS0446"/>
    <s v="26/07/2025"/>
    <s v="FB"/>
    <s v="Mustufa Mansuri"/>
    <s v="Gandhinagar"/>
    <x v="0"/>
    <s v="Rejected"/>
    <n v="108000"/>
    <n v="107445"/>
    <s v="Rejected"/>
    <s v="Rejected"/>
    <m/>
    <s v=""/>
    <s v="Starter"/>
    <s v="July"/>
    <s v="Q3"/>
  </r>
  <r>
    <s v="EOS0447"/>
    <s v="26/07/2025"/>
    <s v="FB"/>
    <s v="Abhijitt solanki"/>
    <s v="DharaMadhya Pradeshur"/>
    <x v="0"/>
    <s v="Rejected"/>
    <n v="108000"/>
    <n v="107446"/>
    <s v="Rejected"/>
    <s v="Rejected"/>
    <m/>
    <s v=""/>
    <s v="Starter"/>
    <s v="July"/>
    <s v="Q3"/>
  </r>
  <r>
    <s v="EOS0448"/>
    <s v="26/07/2025"/>
    <s v="FB"/>
    <s v="Patel Ravi"/>
    <s v="surat"/>
    <x v="0"/>
    <s v="Rejected"/>
    <n v="108000"/>
    <n v="107447"/>
    <s v="Rejected"/>
    <s v="Rejected"/>
    <m/>
    <s v=""/>
    <s v="Starter"/>
    <s v="July"/>
    <s v="Q3"/>
  </r>
  <r>
    <s v="EOS0449"/>
    <s v="26/07/2025"/>
    <s v="FB"/>
    <s v="sam"/>
    <s v="surat"/>
    <x v="0"/>
    <s v="Rejected"/>
    <n v="130000"/>
    <n v="107448"/>
    <s v="Rejected"/>
    <s v="Rejected"/>
    <m/>
    <s v=""/>
    <s v="Starter"/>
    <s v="July"/>
    <s v="Q3"/>
  </r>
  <r>
    <s v="EOS0450"/>
    <s v="26/07/2025"/>
    <s v="FB"/>
    <s v="Soyab Pathan"/>
    <s v="Kodinar"/>
    <x v="0"/>
    <s v="Rejected"/>
    <n v="108000"/>
    <n v="107449"/>
    <s v="Rejected"/>
    <s v="Rejected"/>
    <m/>
    <s v=""/>
    <s v="Starter"/>
    <s v="July"/>
    <s v="Q3"/>
  </r>
  <r>
    <s v="EOS0451"/>
    <s v="26/07/2025"/>
    <s v="FB"/>
    <s v="prince"/>
    <s v="Ahmedabad"/>
    <x v="0"/>
    <s v="Rejected"/>
    <n v="108000"/>
    <n v="107450"/>
    <s v="Rejected"/>
    <s v="Rejected"/>
    <m/>
    <s v=""/>
    <s v="Starter"/>
    <s v="July"/>
    <s v="Q3"/>
  </r>
  <r>
    <s v="EOS0452"/>
    <s v="26/07/2025"/>
    <s v="FB"/>
    <s v="DISHANT DARJI"/>
    <s v="Mehsana"/>
    <x v="0"/>
    <s v="Rejected"/>
    <n v="108000"/>
    <n v="107451"/>
    <s v="Rejected"/>
    <s v="Rejected"/>
    <m/>
    <s v=""/>
    <s v="Starter"/>
    <s v="July"/>
    <s v="Q3"/>
  </r>
  <r>
    <s v="EOS0453"/>
    <s v="26/07/2025"/>
    <s v="FB"/>
    <s v="Uravish Chudasama"/>
    <s v="Surat"/>
    <x v="0"/>
    <s v="Rejected"/>
    <n v="130000"/>
    <n v="107452"/>
    <s v="Rejected"/>
    <s v="Rejected"/>
    <m/>
    <s v=""/>
    <s v="Starter"/>
    <s v="July"/>
    <s v="Q3"/>
  </r>
  <r>
    <s v="EOS0454"/>
    <s v="26/07/2025"/>
    <s v="WA"/>
    <s v="Avdhesh Singh"/>
    <s v="Deodar"/>
    <x v="2"/>
    <s v="Rejected"/>
    <n v="108000"/>
    <n v="107453"/>
    <s v="Rejected"/>
    <s v="Rejected"/>
    <m/>
    <s v=""/>
    <s v="Starter"/>
    <s v="July"/>
    <s v="Q3"/>
  </r>
  <r>
    <s v="EOS0455"/>
    <s v="26/07/2025"/>
    <s v="WA"/>
    <s v="Chudasama URVISH"/>
    <s v="Surat"/>
    <x v="0"/>
    <s v="Rejected"/>
    <n v="177000"/>
    <n v="107454"/>
    <s v="Rejected"/>
    <s v="Rejected"/>
    <m/>
    <s v=""/>
    <s v="Growth"/>
    <s v="July"/>
    <s v="Q3"/>
  </r>
  <r>
    <s v="EOS0456"/>
    <s v="27/07/2025"/>
    <s v="WA"/>
    <s v="RATHOD RANJITSINH SHANABHAI"/>
    <s v="Vadodara"/>
    <x v="0"/>
    <s v="Rejected"/>
    <n v="108000"/>
    <n v="107455"/>
    <s v="Rejected"/>
    <s v="Rejected"/>
    <m/>
    <s v=""/>
    <s v="Starter"/>
    <s v="July"/>
    <s v="Q3"/>
  </r>
  <r>
    <s v="EOS0457"/>
    <s v="27/07/2025"/>
    <s v="WA"/>
    <s v="Patel Umang"/>
    <s v="Bilasiya"/>
    <x v="0"/>
    <s v="Rejected"/>
    <n v="130000"/>
    <n v="107456"/>
    <s v="Rejected"/>
    <s v="Rejected"/>
    <m/>
    <s v=""/>
    <s v="Starter"/>
    <s v="July"/>
    <s v="Q3"/>
  </r>
  <r>
    <s v="EOS0458"/>
    <s v="27/07/2025"/>
    <s v="WA"/>
    <s v="ABUKHIZAR Ansari"/>
    <s v="Ahmedabad"/>
    <x v="0"/>
    <s v="Rejected"/>
    <n v="130000"/>
    <n v="107457"/>
    <s v="Rejected"/>
    <s v="Rejected"/>
    <m/>
    <s v=""/>
    <s v="Starter"/>
    <s v="July"/>
    <s v="Q3"/>
  </r>
  <r>
    <s v="EOS0459"/>
    <s v="28/07/2025"/>
    <s v="FB"/>
    <s v="Ravi Pandre"/>
    <s v="Silvassa"/>
    <x v="0"/>
    <s v="Rejected"/>
    <n v="108000"/>
    <n v="107458"/>
    <s v="Rejected"/>
    <s v="Rejected"/>
    <m/>
    <s v=""/>
    <s v="Starter"/>
    <s v="July"/>
    <s v="Q3"/>
  </r>
  <r>
    <s v="EOS0460"/>
    <s v="28/07/2025"/>
    <s v="FB"/>
    <s v="Divu"/>
    <s v="Amreli"/>
    <x v="0"/>
    <s v="Rejected"/>
    <n v="108000"/>
    <n v="107459"/>
    <s v="Rejected"/>
    <s v="Rejected"/>
    <m/>
    <s v=""/>
    <s v="Starter"/>
    <s v="July"/>
    <s v="Q3"/>
  </r>
  <r>
    <s v="EOS0461"/>
    <s v="28/07/2025"/>
    <s v="FB"/>
    <s v="kirti Raj"/>
    <s v="Surat"/>
    <x v="0"/>
    <s v="Rejected"/>
    <n v="130000"/>
    <n v="107460"/>
    <s v="Rejected"/>
    <s v="Rejected"/>
    <m/>
    <s v=""/>
    <s v="Starter"/>
    <s v="July"/>
    <s v="Q3"/>
  </r>
  <r>
    <s v="EOS0462"/>
    <s v="28/07/2025"/>
    <s v="FB"/>
    <s v="Mr_Yogesh Senghani"/>
    <s v="Ahmedabad"/>
    <x v="0"/>
    <s v="Rejected"/>
    <n v="108000"/>
    <n v="107461"/>
    <s v="Rejected"/>
    <s v="Rejected"/>
    <m/>
    <s v=""/>
    <s v="Starter"/>
    <s v="July"/>
    <s v="Q3"/>
  </r>
  <r>
    <s v="EOS0463"/>
    <s v="28/07/2025"/>
    <s v="FB"/>
    <s v="Jeetubhai"/>
    <s v="Dhanera"/>
    <x v="0"/>
    <s v="Rejected"/>
    <n v="108000"/>
    <n v="107462"/>
    <s v="Rejected"/>
    <s v="Rejected"/>
    <m/>
    <s v=""/>
    <s v="Starter"/>
    <s v="July"/>
    <s v="Q3"/>
  </r>
  <r>
    <s v="EOS0464"/>
    <s v="28/07/2025"/>
    <s v="FB"/>
    <s v="Alfaz Barkat"/>
    <s v="Keshod"/>
    <x v="0"/>
    <s v="Rejected"/>
    <n v="177000"/>
    <n v="107463"/>
    <s v="Rejected"/>
    <s v="Rejected"/>
    <m/>
    <s v=""/>
    <s v="Growth"/>
    <s v="July"/>
    <s v="Q3"/>
  </r>
  <r>
    <s v="EOS0465"/>
    <s v="28/07/2025"/>
    <s v="FB"/>
    <s v="Rutu Patel"/>
    <s v="Ahmedabad"/>
    <x v="0"/>
    <s v="Rejected"/>
    <n v="108000"/>
    <n v="107464"/>
    <s v="Rejected"/>
    <s v="Rejected"/>
    <m/>
    <s v=""/>
    <s v="Starter"/>
    <s v="July"/>
    <s v="Q3"/>
  </r>
  <r>
    <s v="EOS0466"/>
    <s v="28/07/2025"/>
    <s v="WA"/>
    <s v="Amit"/>
    <s v="Godhra"/>
    <x v="0"/>
    <s v="Rejected"/>
    <n v="108000"/>
    <n v="107465"/>
    <s v="Rejected"/>
    <s v="Rejected"/>
    <m/>
    <s v=""/>
    <s v="Starter"/>
    <s v="July"/>
    <s v="Q3"/>
  </r>
  <r>
    <s v="EOS0467"/>
    <s v="29/07/2025"/>
    <s v="WA"/>
    <s v="Lalit Kumar Goyal"/>
    <m/>
    <x v="0"/>
    <s v="Rejected"/>
    <n v="108000"/>
    <n v="107466"/>
    <s v="Rejected"/>
    <s v="Rejected"/>
    <m/>
    <s v=""/>
    <s v="Starter"/>
    <s v="July"/>
    <s v="Q3"/>
  </r>
  <r>
    <s v="EOS0468"/>
    <s v="29/07/2025"/>
    <s v="WA"/>
    <s v="Soaeb malek"/>
    <m/>
    <x v="5"/>
    <s v="Rejected"/>
    <n v="130000"/>
    <n v="107467"/>
    <s v="Rejected"/>
    <s v="Rejected"/>
    <m/>
    <s v=""/>
    <s v="Starter"/>
    <s v="July"/>
    <s v="Q3"/>
  </r>
  <r>
    <s v="EOS0469"/>
    <s v="30/07/2025"/>
    <s v="FB"/>
    <s v="Dharmesh poptani"/>
    <s v="Amreli"/>
    <x v="0"/>
    <s v="Rejected"/>
    <n v="108000"/>
    <n v="107468"/>
    <s v="Rejected"/>
    <s v="Rejected"/>
    <m/>
    <s v=""/>
    <s v="Starter"/>
    <s v="July"/>
    <s v="Q3"/>
  </r>
  <r>
    <s v="EOS0470"/>
    <s v="30/07/2025"/>
    <s v="FB"/>
    <s v="Dave Milan Dave"/>
    <s v="Ahmedabad"/>
    <x v="0"/>
    <s v="Rejected"/>
    <n v="177000"/>
    <n v="107469"/>
    <s v="Rejected"/>
    <s v="Rejected"/>
    <m/>
    <s v=""/>
    <s v="Growth"/>
    <s v="July"/>
    <s v="Q3"/>
  </r>
  <r>
    <s v="EOS0471"/>
    <s v="30/07/2025"/>
    <s v="FB"/>
    <s v="𝕄𝕣. 𝔸𝕝𝕚 𝔻𝕖𝕝𝕒 علي"/>
    <s v="Rajkot"/>
    <x v="0"/>
    <s v="Rejected"/>
    <n v="130000"/>
    <n v="107470"/>
    <s v="Rejected"/>
    <s v="Rejected"/>
    <m/>
    <s v=""/>
    <s v="Starter"/>
    <s v="July"/>
    <s v="Q3"/>
  </r>
  <r>
    <s v="EOS0472"/>
    <s v="30/07/2025"/>
    <s v="FB"/>
    <s v="Ritesh Patel"/>
    <s v="Ahmedabad"/>
    <x v="0"/>
    <s v="Rejected"/>
    <n v="108000"/>
    <n v="107471"/>
    <s v="Rejected"/>
    <s v="Rejected"/>
    <m/>
    <s v=""/>
    <s v="Starter"/>
    <s v="July"/>
    <s v="Q3"/>
  </r>
  <r>
    <s v="EOS0473"/>
    <s v="30/07/2025"/>
    <s v="FB"/>
    <s v="Bhanu Bharwad"/>
    <s v="Surat"/>
    <x v="0"/>
    <s v="Rejected"/>
    <n v="177000"/>
    <n v="107472"/>
    <s v="Rejected"/>
    <s v="Rejected"/>
    <m/>
    <s v=""/>
    <s v="Growth"/>
    <s v="July"/>
    <s v="Q3"/>
  </r>
  <r>
    <s v="EOS0474"/>
    <s v="30/07/2025"/>
    <s v="FB"/>
    <s v="Rahul"/>
    <s v="Halvad"/>
    <x v="0"/>
    <s v="Rejected"/>
    <n v="130000"/>
    <n v="107473"/>
    <s v="Rejected"/>
    <s v="Rejected"/>
    <m/>
    <s v=""/>
    <s v="Starter"/>
    <s v="July"/>
    <s v="Q3"/>
  </r>
  <r>
    <s v="EOS0475"/>
    <s v="30/07/2025"/>
    <s v="WA"/>
    <s v="Prakash J Rathva"/>
    <s v="Vadodara"/>
    <x v="0"/>
    <s v="Rejected"/>
    <n v="108000"/>
    <n v="107474"/>
    <s v="Rejected"/>
    <s v="Rejected"/>
    <m/>
    <s v=""/>
    <s v="Starter"/>
    <s v="July"/>
    <s v="Q3"/>
  </r>
  <r>
    <s v="EOS0476"/>
    <s v="30/07/2025"/>
    <s v="WA"/>
    <s v="arati tigga"/>
    <s v="Rourkela"/>
    <x v="12"/>
    <s v="Rejected"/>
    <n v="308000"/>
    <n v="107475"/>
    <s v="Rejected"/>
    <s v="Rejected"/>
    <m/>
    <s v=""/>
    <s v="Premium"/>
    <s v="July"/>
    <s v="Q3"/>
  </r>
  <r>
    <s v="EOS0477"/>
    <s v="31/07/2025"/>
    <s v="FB"/>
    <s v="Nikunj Niks Patel"/>
    <s v="Ahmedabad"/>
    <x v="0"/>
    <s v="Rejected"/>
    <n v="108000"/>
    <n v="107476"/>
    <s v="Rejected"/>
    <s v="Rejected"/>
    <m/>
    <s v=""/>
    <s v="Starter"/>
    <s v="July"/>
    <s v="Q3"/>
  </r>
  <r>
    <s v="EOS0478"/>
    <s v="31/07/2025"/>
    <s v="WA"/>
    <s v="Shenva Dhaval"/>
    <s v="Navagam"/>
    <x v="0"/>
    <s v="Rejected"/>
    <n v="108000"/>
    <n v="107477"/>
    <s v="Rejected"/>
    <s v="Rejected"/>
    <m/>
    <s v=""/>
    <s v="Starter"/>
    <s v="July"/>
    <s v="Q3"/>
  </r>
  <r>
    <s v="EOS0479"/>
    <s v="31/07/2025"/>
    <s v="WA"/>
    <s v="Ajay"/>
    <m/>
    <x v="0"/>
    <s v="Rejected"/>
    <n v="108000"/>
    <n v="107478"/>
    <s v="Rejected"/>
    <s v="Rejected"/>
    <m/>
    <s v=""/>
    <s v="Starter"/>
    <s v="July"/>
    <s v="Q3"/>
  </r>
  <r>
    <s v="EOS0480"/>
    <d v="2025-08-01T00:00:00"/>
    <s v="WA"/>
    <s v="Deepak Vaishnav"/>
    <s v="korba"/>
    <x v="3"/>
    <s v="Rejected"/>
    <n v="108000"/>
    <n v="107479"/>
    <s v="Rejected"/>
    <s v="Rejected"/>
    <m/>
    <s v=""/>
    <s v="Starter"/>
    <s v="August"/>
    <s v="Q3"/>
  </r>
  <r>
    <s v="EOS0481"/>
    <d v="2025-08-04T00:00:00"/>
    <s v="WA"/>
    <s v="Adarsh Darji "/>
    <m/>
    <x v="0"/>
    <s v="Rejected"/>
    <n v="108000"/>
    <n v="107480"/>
    <s v="Rejected"/>
    <s v="Rejected"/>
    <m/>
    <s v=""/>
    <s v="Starter"/>
    <s v="August"/>
    <s v="Q3"/>
  </r>
  <r>
    <s v="EOS0482"/>
    <d v="2025-08-04T00:00:00"/>
    <s v="WA"/>
    <s v="Asif"/>
    <m/>
    <x v="2"/>
    <s v="Rejected"/>
    <n v="108000"/>
    <n v="107481"/>
    <s v="Rejected"/>
    <s v="Rejected"/>
    <m/>
    <s v=""/>
    <s v="Starter"/>
    <s v="August"/>
    <s v="Q3"/>
  </r>
  <r>
    <s v="EOS0483"/>
    <d v="2025-08-05T00:00:00"/>
    <s v="WA"/>
    <s v="Prince Joseph Kalacherry"/>
    <s v="Thane "/>
    <x v="5"/>
    <s v="Rejected"/>
    <n v="130000"/>
    <n v="107482"/>
    <s v="Rejected"/>
    <s v="Rejected"/>
    <m/>
    <s v=""/>
    <s v="Starter"/>
    <s v="August"/>
    <s v="Q3"/>
  </r>
  <r>
    <s v="EOS0484"/>
    <d v="2025-08-06T00:00:00"/>
    <s v="FB"/>
    <s v="JOSHI"/>
    <m/>
    <x v="0"/>
    <s v="Rejected"/>
    <n v="130000"/>
    <n v="107483"/>
    <s v="Rejected"/>
    <s v="Rejected"/>
    <m/>
    <s v=""/>
    <s v="Starter"/>
    <s v="August"/>
    <s v="Q3"/>
  </r>
  <r>
    <s v="EOS0485"/>
    <d v="2025-08-06T00:00:00"/>
    <s v="FB"/>
    <s v="Rahul Zinzuvadiya"/>
    <s v="Kalavad"/>
    <x v="0"/>
    <s v="Rejected"/>
    <n v="108000"/>
    <n v="107484"/>
    <s v="Rejected"/>
    <s v="Rejected"/>
    <m/>
    <s v=""/>
    <s v="Starter"/>
    <s v="August"/>
    <s v="Q3"/>
  </r>
  <r>
    <s v="EOS0486"/>
    <d v="2025-08-06T00:00:00"/>
    <s v="FB"/>
    <s v="Nileshkumar Prajapati"/>
    <s v="Viramgam"/>
    <x v="0"/>
    <s v="Rejected"/>
    <n v="130000"/>
    <n v="107485"/>
    <s v="Rejected"/>
    <s v="Rejected"/>
    <m/>
    <s v=""/>
    <s v="Starter"/>
    <s v="August"/>
    <s v="Q3"/>
  </r>
  <r>
    <s v="EOS0487"/>
    <d v="2025-08-06T00:00:00"/>
    <s v="FB"/>
    <s v="_chin jamanpuriya"/>
    <s v="patan"/>
    <x v="0"/>
    <s v="Rejected"/>
    <n v="108000"/>
    <n v="107486"/>
    <s v="Rejected"/>
    <s v="Rejected"/>
    <m/>
    <s v=""/>
    <s v="Starter"/>
    <s v="August"/>
    <s v="Q3"/>
  </r>
  <r>
    <s v="EOS0488"/>
    <d v="2025-08-06T00:00:00"/>
    <s v="FB"/>
    <s v="Mayank  Patel"/>
    <s v="Kalol"/>
    <x v="0"/>
    <s v="Rejected"/>
    <n v="108000"/>
    <n v="107487"/>
    <s v="Rejected"/>
    <s v="Rejected"/>
    <m/>
    <s v=""/>
    <s v="Starter"/>
    <s v="August"/>
    <s v="Q3"/>
  </r>
  <r>
    <s v="EOS0489"/>
    <d v="2025-08-06T00:00:00"/>
    <s v="FB"/>
    <s v="Gaurav pawar"/>
    <s v="Surat"/>
    <x v="0"/>
    <s v="Rejected"/>
    <n v="130000"/>
    <n v="107488"/>
    <s v="Rejected"/>
    <s v="Rejected"/>
    <m/>
    <s v=""/>
    <s v="Starter"/>
    <s v="August"/>
    <s v="Q3"/>
  </r>
  <r>
    <s v="EOS0490"/>
    <d v="2025-08-06T00:00:00"/>
    <s v="WA"/>
    <s v="MOHMMED TAUKIR"/>
    <m/>
    <x v="0"/>
    <s v="Rejected"/>
    <n v="108000"/>
    <n v="107489"/>
    <s v="Rejected"/>
    <s v="Rejected"/>
    <m/>
    <s v=""/>
    <s v="Starter"/>
    <s v="August"/>
    <s v="Q3"/>
  </r>
  <r>
    <s v="EOS0491"/>
    <d v="2025-08-06T00:00:00"/>
    <s v="WA"/>
    <s v="Shaikh azazahemad mahmmadyunus"/>
    <m/>
    <x v="0"/>
    <s v="Rejected"/>
    <n v="177000"/>
    <n v="107490"/>
    <s v="Rejected"/>
    <s v="Rejected"/>
    <m/>
    <s v=""/>
    <s v="Growth"/>
    <s v="August"/>
    <s v="Q3"/>
  </r>
  <r>
    <s v="EOS0492"/>
    <d v="2025-08-06T00:00:00"/>
    <s v="WA"/>
    <s v="Bhatiya Rameshbhai nathabhai"/>
    <s v="Palanpur"/>
    <x v="0"/>
    <s v="Deal "/>
    <n v="130000"/>
    <n v="107491"/>
    <s v="Deal"/>
    <s v="Converted"/>
    <d v="2025-08-12T00:00:00"/>
    <n v="6"/>
    <s v="Starter"/>
    <s v="August"/>
    <s v="Q3"/>
  </r>
  <r>
    <s v="EOS0493"/>
    <d v="2025-08-06T00:00:00"/>
    <s v="WA"/>
    <s v="MANDHARA SAHIL SALEMAN"/>
    <m/>
    <x v="0"/>
    <s v="Rejected"/>
    <n v="108000"/>
    <n v="107492"/>
    <s v="Rejected"/>
    <s v="Rejected"/>
    <m/>
    <s v=""/>
    <s v="Starter"/>
    <s v="August"/>
    <s v="Q3"/>
  </r>
  <r>
    <s v="EOS0494"/>
    <d v="2025-08-07T00:00:00"/>
    <s v="FB"/>
    <s v="Viral Patel"/>
    <s v="VALSAD"/>
    <x v="0"/>
    <s v="Rejected"/>
    <n v="130000"/>
    <n v="107493"/>
    <s v="Rejected"/>
    <s v="Rejected"/>
    <m/>
    <s v=""/>
    <s v="Starter"/>
    <s v="August"/>
    <s v="Q3"/>
  </r>
  <r>
    <s v="EOS0495"/>
    <d v="2025-08-07T00:00:00"/>
    <s v="FB"/>
    <s v="Vinay Parmar"/>
    <s v="Anand"/>
    <x v="0"/>
    <s v="Rejected"/>
    <n v="177000"/>
    <n v="107494"/>
    <s v="Rejected"/>
    <s v="Rejected"/>
    <m/>
    <s v=""/>
    <s v="Growth"/>
    <s v="August"/>
    <s v="Q3"/>
  </r>
  <r>
    <s v="EOS0496"/>
    <d v="2025-08-07T00:00:00"/>
    <s v="FB"/>
    <s v="Sunil Dalvani"/>
    <s v="Jamnagar"/>
    <x v="0"/>
    <s v="Rejected"/>
    <n v="130000"/>
    <n v="107495"/>
    <s v="Rejected"/>
    <s v="Rejected"/>
    <m/>
    <s v=""/>
    <s v="Starter"/>
    <s v="August"/>
    <s v="Q3"/>
  </r>
  <r>
    <s v="EOS0497"/>
    <d v="2025-08-07T00:00:00"/>
    <s v="FB"/>
    <s v="Teju"/>
    <m/>
    <x v="0"/>
    <s v="Rejected"/>
    <n v="130000"/>
    <n v="107496"/>
    <s v="Rejected"/>
    <s v="Rejected"/>
    <m/>
    <s v=""/>
    <s v="Starter"/>
    <s v="August"/>
    <s v="Q3"/>
  </r>
  <r>
    <s v="EOS0498"/>
    <d v="2025-08-07T00:00:00"/>
    <s v="FB"/>
    <s v="Mushtaq kapadia"/>
    <s v="Surat "/>
    <x v="0"/>
    <s v="Rejected"/>
    <n v="108000"/>
    <n v="107497"/>
    <s v="Rejected"/>
    <s v="Rejected"/>
    <m/>
    <s v=""/>
    <s v="Starter"/>
    <s v="August"/>
    <s v="Q3"/>
  </r>
  <r>
    <s v="EOS0499"/>
    <d v="2025-08-07T00:00:00"/>
    <s v="FB"/>
    <s v="Dilip Thakor"/>
    <s v="Kadol"/>
    <x v="0"/>
    <s v="Rejected"/>
    <n v="130000"/>
    <n v="107498"/>
    <s v="Rejected"/>
    <s v="Rejected"/>
    <m/>
    <s v=""/>
    <s v="Starter"/>
    <s v="August"/>
    <s v="Q3"/>
  </r>
  <r>
    <s v="EOS0500"/>
    <d v="2025-08-07T00:00:00"/>
    <s v="FB"/>
    <s v="Sagar Vasava"/>
    <s v="uchaal "/>
    <x v="0"/>
    <s v="Rejected"/>
    <n v="108000"/>
    <n v="107499"/>
    <s v="Rejected"/>
    <s v="Rejected"/>
    <m/>
    <s v=""/>
    <s v="Starter"/>
    <s v="August"/>
    <s v="Q3"/>
  </r>
  <r>
    <s v="EOS0501"/>
    <d v="2025-08-07T00:00:00"/>
    <s v="FB"/>
    <s v="Ajay Sinhar"/>
    <s v="Vadodara"/>
    <x v="0"/>
    <s v="Rejected"/>
    <n v="177000"/>
    <n v="107500"/>
    <s v="Rejected"/>
    <s v="Rejected"/>
    <m/>
    <s v=""/>
    <s v="Growth"/>
    <s v="August"/>
    <s v="Q3"/>
  </r>
  <r>
    <s v="EOS0502"/>
    <d v="2025-08-07T00:00:00"/>
    <s v="FB"/>
    <s v="Dharmagna Acharya"/>
    <s v="Jamnagar"/>
    <x v="0"/>
    <s v="Rejected"/>
    <n v="130000"/>
    <n v="107501"/>
    <s v="Rejected"/>
    <s v="Rejected"/>
    <m/>
    <s v=""/>
    <s v="Starter"/>
    <s v="August"/>
    <s v="Q3"/>
  </r>
  <r>
    <s v="EOS0503"/>
    <d v="2025-08-07T00:00:00"/>
    <s v="FB"/>
    <s v="Fenil"/>
    <s v="Surat"/>
    <x v="0"/>
    <s v="Rejected"/>
    <n v="130000"/>
    <n v="107502"/>
    <s v="Rejected"/>
    <s v="Rejected"/>
    <m/>
    <s v=""/>
    <s v="Starter"/>
    <s v="August"/>
    <s v="Q3"/>
  </r>
  <r>
    <s v="EOS0504"/>
    <d v="2025-08-08T00:00:00"/>
    <s v="FB"/>
    <s v="Devaraj Bharaj"/>
    <s v="Upetla "/>
    <x v="0"/>
    <s v="Rejected"/>
    <n v="130000"/>
    <n v="107503"/>
    <s v="Rejected"/>
    <s v="Rejected"/>
    <m/>
    <s v=""/>
    <s v="Starter"/>
    <s v="August"/>
    <s v="Q3"/>
  </r>
  <r>
    <s v="EOS0505"/>
    <d v="2025-08-08T00:00:00"/>
    <s v="FB"/>
    <s v="Ahir Sagar Bhopala"/>
    <m/>
    <x v="0"/>
    <s v="Rejected"/>
    <n v="108000"/>
    <n v="107504"/>
    <s v="Rejected"/>
    <s v="Rejected"/>
    <m/>
    <s v=""/>
    <s v="Starter"/>
    <s v="August"/>
    <s v="Q3"/>
  </r>
  <r>
    <s v="EOS0506"/>
    <d v="2025-08-08T00:00:00"/>
    <s v="FB"/>
    <s v="Sheikh Adnan"/>
    <m/>
    <x v="0"/>
    <s v="Rejected"/>
    <n v="108000"/>
    <n v="107505"/>
    <s v="Rejected"/>
    <s v="Rejected"/>
    <m/>
    <s v=""/>
    <s v="Starter"/>
    <s v="August"/>
    <s v="Q3"/>
  </r>
  <r>
    <s v="EOS0507"/>
    <d v="2025-08-08T00:00:00"/>
    <s v="FB"/>
    <s v="Kishor"/>
    <m/>
    <x v="0"/>
    <s v="Rejected"/>
    <n v="177000"/>
    <n v="107506"/>
    <s v="Rejected"/>
    <s v="Rejected"/>
    <m/>
    <s v=""/>
    <s v="Growth"/>
    <s v="August"/>
    <s v="Q3"/>
  </r>
  <r>
    <s v="EOS0508"/>
    <d v="2025-08-08T00:00:00"/>
    <s v="FB"/>
    <s v="parmarnikhil"/>
    <m/>
    <x v="0"/>
    <s v="Rejected"/>
    <n v="130000"/>
    <n v="107507"/>
    <s v="Rejected"/>
    <s v="Rejected"/>
    <m/>
    <s v=""/>
    <s v="Starter"/>
    <s v="August"/>
    <s v="Q3"/>
  </r>
  <r>
    <s v="EOS0509"/>
    <d v="2025-08-08T00:00:00"/>
    <s v="FB"/>
    <s v="Bhavik Chauhan"/>
    <m/>
    <x v="0"/>
    <s v="Rejected"/>
    <n v="177000"/>
    <n v="107508"/>
    <s v="Rejected"/>
    <s v="Rejected"/>
    <m/>
    <s v=""/>
    <s v="Growth"/>
    <s v="August"/>
    <s v="Q3"/>
  </r>
  <r>
    <s v="EOS0510"/>
    <d v="2025-08-08T00:00:00"/>
    <s v="FB"/>
    <s v="Rahul parmar"/>
    <m/>
    <x v="0"/>
    <s v="Rejected"/>
    <n v="177000"/>
    <n v="107509"/>
    <s v="Rejected"/>
    <s v="Rejected"/>
    <m/>
    <s v=""/>
    <s v="Growth"/>
    <s v="August"/>
    <s v="Q3"/>
  </r>
  <r>
    <s v="EOS0511"/>
    <d v="2025-08-08T00:00:00"/>
    <s v="FB"/>
    <s v="Ankit Patel"/>
    <m/>
    <x v="0"/>
    <s v="Rejected"/>
    <n v="108000"/>
    <n v="107510"/>
    <s v="Rejected"/>
    <s v="Rejected"/>
    <m/>
    <s v=""/>
    <s v="Starter"/>
    <s v="August"/>
    <s v="Q3"/>
  </r>
  <r>
    <s v="EOS0512"/>
    <d v="2025-08-08T00:00:00"/>
    <s v="FB"/>
    <s v="Taliya Harun"/>
    <m/>
    <x v="0"/>
    <s v="Rejected"/>
    <n v="108000"/>
    <n v="107511"/>
    <s v="Rejected"/>
    <s v="Rejected"/>
    <m/>
    <s v=""/>
    <s v="Starter"/>
    <s v="August"/>
    <s v="Q3"/>
  </r>
  <r>
    <s v="EOS0513"/>
    <d v="2025-08-08T00:00:00"/>
    <s v="FB"/>
    <s v="Akshay Thakor"/>
    <m/>
    <x v="0"/>
    <s v="Rejected"/>
    <n v="130000"/>
    <n v="107512"/>
    <s v="Rejected"/>
    <s v="Rejected"/>
    <m/>
    <s v=""/>
    <s v="Starter"/>
    <s v="August"/>
    <s v="Q3"/>
  </r>
  <r>
    <s v="EOS0514"/>
    <d v="2025-08-08T00:00:00"/>
    <s v="WA"/>
    <s v="Akshay patanvadiya"/>
    <m/>
    <x v="0"/>
    <s v="Rejected"/>
    <n v="108000"/>
    <n v="107513"/>
    <s v="Rejected"/>
    <s v="Rejected"/>
    <m/>
    <s v=""/>
    <s v="Starter"/>
    <s v="August"/>
    <s v="Q3"/>
  </r>
  <r>
    <s v="EOS0515"/>
    <d v="2025-08-09T00:00:00"/>
    <s v="FB"/>
    <s v="D@shrath_D@bhi_!"/>
    <m/>
    <x v="0"/>
    <s v="Rejected"/>
    <n v="177000"/>
    <n v="107514"/>
    <s v="Rejected"/>
    <s v="Rejected"/>
    <m/>
    <s v=""/>
    <s v="Growth"/>
    <s v="August"/>
    <s v="Q3"/>
  </r>
  <r>
    <s v="EOS0516"/>
    <d v="2025-08-09T00:00:00"/>
    <s v="FB"/>
    <s v="SOHIL"/>
    <m/>
    <x v="0"/>
    <s v="Rejected"/>
    <n v="130000"/>
    <n v="107515"/>
    <s v="Rejected"/>
    <s v="Rejected"/>
    <m/>
    <s v=""/>
    <s v="Starter"/>
    <s v="August"/>
    <s v="Q3"/>
  </r>
  <r>
    <s v="EOS0517"/>
    <d v="2025-08-09T00:00:00"/>
    <s v="FB"/>
    <s v="Juned Andhi"/>
    <m/>
    <x v="0"/>
    <s v="Rejected"/>
    <n v="130000"/>
    <n v="107516"/>
    <s v="Rejected"/>
    <s v="Rejected"/>
    <m/>
    <s v=""/>
    <s v="Starter"/>
    <s v="August"/>
    <s v="Q3"/>
  </r>
  <r>
    <s v="EOS0518"/>
    <d v="2025-08-09T00:00:00"/>
    <s v="FB"/>
    <s v="mahendrajit"/>
    <m/>
    <x v="0"/>
    <s v="Rejected"/>
    <n v="108000"/>
    <n v="107517"/>
    <s v="Rejected"/>
    <s v="Rejected"/>
    <m/>
    <s v=""/>
    <s v="Starter"/>
    <s v="August"/>
    <s v="Q3"/>
  </r>
  <r>
    <s v="EOS0519"/>
    <d v="2025-08-09T00:00:00"/>
    <s v="FB"/>
    <s v="Naren Rajput"/>
    <m/>
    <x v="0"/>
    <s v="Rejected"/>
    <n v="130000"/>
    <n v="107518"/>
    <s v="Rejected"/>
    <s v="Rejected"/>
    <m/>
    <s v=""/>
    <s v="Starter"/>
    <s v="August"/>
    <s v="Q3"/>
  </r>
  <r>
    <s v="EOS0520"/>
    <d v="2025-08-09T00:00:00"/>
    <s v="FB"/>
    <s v="Mangalu Lakhnotran"/>
    <m/>
    <x v="0"/>
    <s v="Rejected"/>
    <n v="108000"/>
    <n v="107519"/>
    <s v="Rejected"/>
    <s v="Rejected"/>
    <m/>
    <s v=""/>
    <s v="Starter"/>
    <s v="August"/>
    <s v="Q3"/>
  </r>
  <r>
    <s v="EOS0521"/>
    <d v="2025-08-09T00:00:00"/>
    <s v="FB"/>
    <s v="Pulkit Pathak"/>
    <m/>
    <x v="0"/>
    <s v="Rejected"/>
    <n v="130000"/>
    <n v="107520"/>
    <s v="Rejected"/>
    <s v="Rejected"/>
    <m/>
    <s v=""/>
    <s v="Starter"/>
    <s v="August"/>
    <s v="Q3"/>
  </r>
  <r>
    <s v="EOS0522"/>
    <d v="2025-08-09T00:00:00"/>
    <s v="FB"/>
    <s v="Nirav Upadhyay"/>
    <m/>
    <x v="0"/>
    <s v="Rejected"/>
    <n v="308000"/>
    <n v="107521"/>
    <s v="Rejected"/>
    <s v="Rejected"/>
    <m/>
    <s v=""/>
    <s v="Premium"/>
    <s v="August"/>
    <s v="Q3"/>
  </r>
  <r>
    <s v="EOS0523"/>
    <d v="2025-08-09T00:00:00"/>
    <s v="FB"/>
    <s v="Hitesh Chandegara"/>
    <m/>
    <x v="0"/>
    <s v="Rejected"/>
    <n v="108000"/>
    <n v="107522"/>
    <s v="Rejected"/>
    <s v="Rejected"/>
    <m/>
    <s v=""/>
    <s v="Starter"/>
    <s v="August"/>
    <s v="Q3"/>
  </r>
  <r>
    <s v="EOS0524"/>
    <d v="2025-08-09T00:00:00"/>
    <s v="FB"/>
    <s v="Bikash"/>
    <m/>
    <x v="0"/>
    <s v="Rejected"/>
    <n v="108000"/>
    <n v="107523"/>
    <s v="Rejected"/>
    <s v="Rejected"/>
    <m/>
    <s v=""/>
    <s v="Starter"/>
    <s v="August"/>
    <s v="Q3"/>
  </r>
  <r>
    <s v="EOS0525"/>
    <d v="2025-08-11T00:00:00"/>
    <s v="FB"/>
    <s v="Shah Varnit"/>
    <m/>
    <x v="0"/>
    <s v="Rejected"/>
    <n v="108000"/>
    <n v="107524"/>
    <s v="Rejected"/>
    <s v="Rejected"/>
    <m/>
    <s v=""/>
    <s v="Starter"/>
    <s v="August"/>
    <s v="Q3"/>
  </r>
  <r>
    <s v="EOS0526"/>
    <d v="2025-08-11T00:00:00"/>
    <s v="FB"/>
    <s v="Minapara Akram"/>
    <m/>
    <x v="0"/>
    <s v="Rejected"/>
    <n v="108000"/>
    <n v="107525"/>
    <s v="Rejected"/>
    <s v="Rejected"/>
    <m/>
    <s v=""/>
    <s v="Starter"/>
    <s v="August"/>
    <s v="Q3"/>
  </r>
  <r>
    <s v="EOS0527"/>
    <d v="2025-08-11T00:00:00"/>
    <s v="FB"/>
    <s v="Anil"/>
    <m/>
    <x v="0"/>
    <s v="Rejected"/>
    <n v="130000"/>
    <n v="107526"/>
    <s v="Rejected"/>
    <s v="Rejected"/>
    <m/>
    <s v=""/>
    <s v="Starter"/>
    <s v="August"/>
    <s v="Q3"/>
  </r>
  <r>
    <s v="EOS0528"/>
    <d v="2025-08-11T00:00:00"/>
    <s v="FB"/>
    <s v="Paawan Namkeen"/>
    <m/>
    <x v="0"/>
    <s v="Rejected"/>
    <n v="308000"/>
    <n v="107527"/>
    <s v="Rejected"/>
    <s v="Rejected"/>
    <m/>
    <s v=""/>
    <s v="Premium"/>
    <s v="August"/>
    <s v="Q3"/>
  </r>
  <r>
    <s v="EOS0529"/>
    <d v="2025-08-11T00:00:00"/>
    <s v="FB"/>
    <s v="YAsh Shah"/>
    <m/>
    <x v="0"/>
    <s v="Rejected"/>
    <n v="130000"/>
    <n v="107528"/>
    <s v="Rejected"/>
    <s v="Rejected"/>
    <m/>
    <s v=""/>
    <s v="Starter"/>
    <s v="August"/>
    <s v="Q3"/>
  </r>
  <r>
    <s v="EOS0530"/>
    <d v="2025-08-11T00:00:00"/>
    <s v="FB"/>
    <s v="Hasmukh Trambadiya"/>
    <s v="Palanpur"/>
    <x v="0"/>
    <s v="Rejected"/>
    <n v="108000"/>
    <n v="107529"/>
    <s v="Rejected"/>
    <s v="Rejected"/>
    <m/>
    <s v=""/>
    <s v="Starter"/>
    <s v="August"/>
    <s v="Q3"/>
  </r>
  <r>
    <s v="EOS0531"/>
    <d v="2025-08-11T00:00:00"/>
    <s v="FB"/>
    <s v="Sharma Bharat"/>
    <m/>
    <x v="0"/>
    <s v="Rejected"/>
    <n v="177000"/>
    <n v="107530"/>
    <s v="Rejected"/>
    <s v="Rejected"/>
    <m/>
    <s v=""/>
    <s v="Growth"/>
    <s v="August"/>
    <s v="Q3"/>
  </r>
  <r>
    <s v="EOS0532"/>
    <d v="2025-08-11T00:00:00"/>
    <s v="FB"/>
    <s v="Manoj Biswal"/>
    <s v="Surat"/>
    <x v="0"/>
    <s v="Rejected"/>
    <n v="130000"/>
    <n v="107531"/>
    <s v="Rejected"/>
    <s v="Rejected"/>
    <m/>
    <s v=""/>
    <s v="Starter"/>
    <s v="August"/>
    <s v="Q3"/>
  </r>
  <r>
    <s v="EOS0533"/>
    <d v="2025-08-11T00:00:00"/>
    <s v="FB"/>
    <s v="A. k. khedut mol"/>
    <m/>
    <x v="0"/>
    <s v="Rejected"/>
    <n v="108000"/>
    <n v="107532"/>
    <s v="Rejected"/>
    <s v="Rejected"/>
    <m/>
    <s v=""/>
    <s v="Starter"/>
    <s v="August"/>
    <s v="Q3"/>
  </r>
  <r>
    <s v="EOS0534"/>
    <d v="2025-08-11T00:00:00"/>
    <s v="FB"/>
    <s v="SOHIL BABARIYA"/>
    <s v="Ahmedabad"/>
    <x v="0"/>
    <s v="Rejected"/>
    <n v="108000"/>
    <n v="107533"/>
    <s v="Rejected"/>
    <s v="Rejected"/>
    <m/>
    <s v=""/>
    <s v="Starter"/>
    <s v="August"/>
    <s v="Q3"/>
  </r>
  <r>
    <s v="EOS0535"/>
    <d v="2025-08-11T00:00:00"/>
    <s v="FB"/>
    <s v="AZEEM SHAIKH"/>
    <m/>
    <x v="0"/>
    <s v="Rejected"/>
    <n v="130000"/>
    <n v="107534"/>
    <s v="Rejected"/>
    <s v="Rejected"/>
    <m/>
    <s v=""/>
    <s v="Starter"/>
    <s v="August"/>
    <s v="Q3"/>
  </r>
  <r>
    <s v="EOS0536"/>
    <d v="2025-08-11T00:00:00"/>
    <s v="WA"/>
    <s v="Shanu mehta"/>
    <m/>
    <x v="0"/>
    <s v="Rejected"/>
    <n v="108000"/>
    <n v="107535"/>
    <s v="Rejected"/>
    <s v="Rejected"/>
    <m/>
    <s v=""/>
    <s v="Starter"/>
    <s v="August"/>
    <s v="Q3"/>
  </r>
  <r>
    <s v="EOS0537"/>
    <d v="2025-08-11T00:00:00"/>
    <s v="WA"/>
    <s v="Panchal smit hareshbhai"/>
    <m/>
    <x v="0"/>
    <s v="Rejected"/>
    <n v="108000"/>
    <n v="107536"/>
    <s v="Rejected"/>
    <s v="Rejected"/>
    <m/>
    <s v=""/>
    <s v="Starter"/>
    <s v="August"/>
    <s v="Q3"/>
  </r>
  <r>
    <s v="EOS0538"/>
    <d v="2025-08-12T00:00:00"/>
    <s v="FB"/>
    <s v="Jayanti gar g goswami"/>
    <m/>
    <x v="0"/>
    <s v="Rejected"/>
    <n v="130000"/>
    <n v="107537"/>
    <s v="Rejected"/>
    <s v="Rejected"/>
    <m/>
    <s v=""/>
    <s v="Starter"/>
    <s v="August"/>
    <s v="Q3"/>
  </r>
  <r>
    <s v="EOS0539"/>
    <d v="2025-08-12T00:00:00"/>
    <s v="FB"/>
    <s v="Jack Barry"/>
    <s v="Vyara"/>
    <x v="0"/>
    <s v="Rejected"/>
    <n v="108000"/>
    <n v="107538"/>
    <s v="Rejected"/>
    <s v="Rejected"/>
    <m/>
    <s v=""/>
    <s v="Starter"/>
    <s v="August"/>
    <s v="Q3"/>
  </r>
  <r>
    <s v="EOS0540"/>
    <d v="2025-08-12T00:00:00"/>
    <s v="FB"/>
    <s v="Sagar Shrimali"/>
    <m/>
    <x v="0"/>
    <s v="Rejected"/>
    <n v="130000"/>
    <n v="107539"/>
    <s v="Rejected"/>
    <s v="Rejected"/>
    <m/>
    <s v=""/>
    <s v="Starter"/>
    <s v="August"/>
    <s v="Q3"/>
  </r>
  <r>
    <s v="EOS0541"/>
    <d v="2025-08-12T00:00:00"/>
    <s v="FB"/>
    <s v="Ramesh Parmar"/>
    <m/>
    <x v="0"/>
    <s v="Rejected"/>
    <n v="177000"/>
    <n v="107540"/>
    <s v="Rejected"/>
    <s v="Rejected"/>
    <m/>
    <s v=""/>
    <s v="Growth"/>
    <s v="August"/>
    <s v="Q3"/>
  </r>
  <r>
    <s v="EOS0542"/>
    <d v="2025-08-12T00:00:00"/>
    <s v="FB"/>
    <s v="kalpesh parmar"/>
    <m/>
    <x v="0"/>
    <s v="Rejected"/>
    <n v="130000"/>
    <n v="107541"/>
    <s v="Rejected"/>
    <s v="Rejected"/>
    <m/>
    <s v=""/>
    <s v="Starter"/>
    <s v="August"/>
    <s v="Q3"/>
  </r>
  <r>
    <s v="EOS0543"/>
    <d v="2025-08-12T00:00:00"/>
    <s v="WA"/>
    <s v="shilpa Alpesh Shah"/>
    <m/>
    <x v="0"/>
    <s v="Rejected"/>
    <n v="108000"/>
    <n v="107542"/>
    <s v="Rejected"/>
    <s v="Rejected"/>
    <m/>
    <s v=""/>
    <s v="Starter"/>
    <s v="August"/>
    <s v="Q3"/>
  </r>
  <r>
    <s v="EOS0544"/>
    <d v="2025-08-12T00:00:00"/>
    <s v="WA"/>
    <s v="Yogesh parmar"/>
    <m/>
    <x v="0"/>
    <s v="Rejected"/>
    <n v="130000"/>
    <n v="107543"/>
    <s v="Rejected"/>
    <s v="Rejected"/>
    <m/>
    <s v=""/>
    <s v="Starter"/>
    <s v="August"/>
    <s v="Q3"/>
  </r>
  <r>
    <s v="EOS0545"/>
    <d v="2025-08-13T00:00:00"/>
    <s v="FB"/>
    <s v="Shish kamali"/>
    <s v="godhra"/>
    <x v="0"/>
    <s v="Rejected"/>
    <n v="108000"/>
    <n v="107544"/>
    <s v="Rejected"/>
    <s v="Rejected"/>
    <m/>
    <s v=""/>
    <s v="Starter"/>
    <s v="August"/>
    <s v="Q3"/>
  </r>
  <r>
    <s v="EOS0546"/>
    <d v="2025-08-13T00:00:00"/>
    <s v="FB"/>
    <s v="Moin"/>
    <m/>
    <x v="0"/>
    <s v="Rejected"/>
    <n v="130000"/>
    <n v="107545"/>
    <s v="Rejected"/>
    <s v="Rejected"/>
    <m/>
    <s v=""/>
    <s v="Starter"/>
    <s v="August"/>
    <s v="Q3"/>
  </r>
  <r>
    <s v="EOS0547"/>
    <d v="2025-08-13T00:00:00"/>
    <s v="FB"/>
    <s v="Na"/>
    <m/>
    <x v="0"/>
    <s v="Rejected"/>
    <n v="130000"/>
    <n v="107546"/>
    <s v="Rejected"/>
    <s v="Rejected"/>
    <m/>
    <s v=""/>
    <s v="Starter"/>
    <s v="August"/>
    <s v="Q3"/>
  </r>
  <r>
    <s v="EOS0548"/>
    <d v="2025-08-13T00:00:00"/>
    <s v="FB"/>
    <s v="Paresh Suthar"/>
    <m/>
    <x v="0"/>
    <s v="Rejected"/>
    <n v="130000"/>
    <n v="107547"/>
    <s v="Rejected"/>
    <s v="Rejected"/>
    <m/>
    <s v=""/>
    <s v="Starter"/>
    <s v="August"/>
    <s v="Q3"/>
  </r>
  <r>
    <s v="EOS0549"/>
    <d v="2025-08-13T00:00:00"/>
    <s v="FB"/>
    <s v="Na"/>
    <m/>
    <x v="0"/>
    <s v="Rejected"/>
    <n v="130000"/>
    <n v="107548"/>
    <s v="Rejected"/>
    <s v="Rejected"/>
    <m/>
    <s v=""/>
    <s v="Starter"/>
    <s v="August"/>
    <s v="Q3"/>
  </r>
  <r>
    <s v="EOS0550"/>
    <d v="2025-08-13T00:00:00"/>
    <s v="FB"/>
    <s v="Niraj Patej"/>
    <s v="Khambhat"/>
    <x v="0"/>
    <s v="Rejected"/>
    <n v="130000"/>
    <n v="107549"/>
    <s v="Rejected"/>
    <s v="Rejected"/>
    <m/>
    <s v=""/>
    <s v="Starter"/>
    <s v="August"/>
    <s v="Q3"/>
  </r>
  <r>
    <s v="EOS0551"/>
    <d v="2025-08-13T00:00:00"/>
    <s v="WA"/>
    <s v="Vishal patel"/>
    <s v="unja "/>
    <x v="0"/>
    <s v="Rejected"/>
    <n v="130000"/>
    <n v="107550"/>
    <s v="Rejected"/>
    <s v="Rejected"/>
    <m/>
    <s v=""/>
    <s v="Starter"/>
    <s v="August"/>
    <s v="Q3"/>
  </r>
  <r>
    <s v="EOS0552"/>
    <d v="2025-08-14T00:00:00"/>
    <s v="FB"/>
    <s v="tushar_4xvr"/>
    <m/>
    <x v="0"/>
    <s v="Rejected"/>
    <n v="177000"/>
    <n v="107551"/>
    <s v="Rejected"/>
    <s v="Rejected"/>
    <m/>
    <s v=""/>
    <s v="Growth"/>
    <s v="August"/>
    <s v="Q3"/>
  </r>
  <r>
    <s v="EOS0553"/>
    <d v="2025-08-14T00:00:00"/>
    <s v="FB"/>
    <s v="Chauhan Nik"/>
    <m/>
    <x v="0"/>
    <s v="Rejected"/>
    <n v="130000"/>
    <n v="107552"/>
    <s v="Rejected"/>
    <s v="Rejected"/>
    <m/>
    <s v=""/>
    <s v="Starter"/>
    <s v="August"/>
    <s v="Q3"/>
  </r>
  <r>
    <s v="EOS0554"/>
    <d v="2025-08-14T00:00:00"/>
    <s v="FB"/>
    <s v="R.V. Odedra"/>
    <s v="porbandar "/>
    <x v="0"/>
    <s v="Rejected"/>
    <n v="108000"/>
    <n v="107553"/>
    <s v="Rejected"/>
    <s v="Rejected"/>
    <m/>
    <s v=""/>
    <s v="Starter"/>
    <s v="August"/>
    <s v="Q3"/>
  </r>
  <r>
    <s v="EOS0555"/>
    <d v="2025-08-14T00:00:00"/>
    <s v="FB"/>
    <s v="Paras Mehta"/>
    <m/>
    <x v="0"/>
    <s v="Rejected"/>
    <n v="177000"/>
    <n v="107554"/>
    <s v="Rejected"/>
    <s v="Rejected"/>
    <m/>
    <s v=""/>
    <s v="Growth"/>
    <s v="August"/>
    <s v="Q3"/>
  </r>
  <r>
    <s v="EOS0556"/>
    <d v="2025-08-14T00:00:00"/>
    <s v="WA"/>
    <s v="Dhamecha Vijay"/>
    <m/>
    <x v="0"/>
    <s v="Rejected"/>
    <n v="108000"/>
    <n v="107555"/>
    <s v="Rejected"/>
    <s v="Rejected"/>
    <m/>
    <s v=""/>
    <s v="Starter"/>
    <s v="August"/>
    <s v="Q3"/>
  </r>
  <r>
    <s v="EOS0557"/>
    <d v="2025-08-16T00:00:00"/>
    <s v="FB"/>
    <s v="Firdosh Khan Jat Malek"/>
    <s v="radhanpur"/>
    <x v="0"/>
    <s v="Rejected"/>
    <n v="108000"/>
    <n v="107556"/>
    <s v="Rejected"/>
    <s v="Rejected"/>
    <m/>
    <s v=""/>
    <s v="Starter"/>
    <s v="August"/>
    <s v="Q3"/>
  </r>
  <r>
    <s v="EOS0558"/>
    <d v="2025-08-16T00:00:00"/>
    <s v="FB"/>
    <s v="Patel Meet"/>
    <m/>
    <x v="0"/>
    <s v="Rejected"/>
    <n v="108000"/>
    <n v="107557"/>
    <s v="Rejected"/>
    <s v="Rejected"/>
    <m/>
    <s v=""/>
    <s v="Starter"/>
    <s v="August"/>
    <s v="Q3"/>
  </r>
  <r>
    <s v="EOS0559"/>
    <d v="2025-08-16T00:00:00"/>
    <s v="FB"/>
    <s v="Tokir Teli"/>
    <s v="Ahmedabad"/>
    <x v="0"/>
    <s v="Rejected"/>
    <n v="108000"/>
    <n v="107558"/>
    <s v="Rejected"/>
    <s v="Rejected"/>
    <m/>
    <s v=""/>
    <s v="Starter"/>
    <s v="August"/>
    <s v="Q3"/>
  </r>
  <r>
    <s v="EOS0560"/>
    <d v="2025-08-16T00:00:00"/>
    <s v="FB"/>
    <s v="Jimish Sharma"/>
    <m/>
    <x v="0"/>
    <s v="Rejected"/>
    <n v="130000"/>
    <n v="107559"/>
    <s v="Rejected"/>
    <s v="Rejected"/>
    <m/>
    <s v=""/>
    <s v="Starter"/>
    <s v="August"/>
    <s v="Q3"/>
  </r>
  <r>
    <s v="EOS0561"/>
    <d v="2025-08-16T00:00:00"/>
    <s v="FB"/>
    <s v="Vipul Soni"/>
    <m/>
    <x v="0"/>
    <s v="Rejected"/>
    <n v="177000"/>
    <n v="107560"/>
    <s v="Rejected"/>
    <s v="Rejected"/>
    <m/>
    <s v=""/>
    <s v="Growth"/>
    <s v="August"/>
    <s v="Q3"/>
  </r>
  <r>
    <s v="EOS0562"/>
    <d v="2025-08-16T00:00:00"/>
    <s v="FB"/>
    <s v="Saurabh Patel"/>
    <m/>
    <x v="0"/>
    <s v="Rejected"/>
    <n v="108000"/>
    <n v="107561"/>
    <s v="Rejected"/>
    <s v="Rejected"/>
    <m/>
    <s v=""/>
    <s v="Starter"/>
    <s v="August"/>
    <s v="Q3"/>
  </r>
  <r>
    <s v="EOS0563"/>
    <d v="2025-08-16T00:00:00"/>
    <s v="FB"/>
    <s v="Jiten"/>
    <m/>
    <x v="0"/>
    <s v="Rejected"/>
    <n v="108000"/>
    <n v="107562"/>
    <s v="Rejected"/>
    <s v="Rejected"/>
    <m/>
    <s v=""/>
    <s v="Starter"/>
    <s v="August"/>
    <s v="Q3"/>
  </r>
  <r>
    <s v="EOS0564"/>
    <d v="2025-08-16T00:00:00"/>
    <s v="FB"/>
    <s v="C. J Jadav"/>
    <m/>
    <x v="0"/>
    <s v="Rejected"/>
    <n v="108000"/>
    <n v="107563"/>
    <s v="Rejected"/>
    <s v="Rejected"/>
    <m/>
    <s v=""/>
    <s v="Starter"/>
    <s v="August"/>
    <s v="Q3"/>
  </r>
  <r>
    <s v="EOS0565"/>
    <d v="2025-08-16T00:00:00"/>
    <s v="FB"/>
    <s v="Kirti Patel"/>
    <m/>
    <x v="0"/>
    <s v="Rejected"/>
    <n v="108000"/>
    <n v="107564"/>
    <s v="Rejected"/>
    <s v="Rejected"/>
    <m/>
    <s v=""/>
    <s v="Starter"/>
    <s v="August"/>
    <s v="Q3"/>
  </r>
  <r>
    <s v="EOS0566"/>
    <d v="2025-08-16T00:00:00"/>
    <s v="FB"/>
    <s v="India Voice"/>
    <m/>
    <x v="0"/>
    <s v="Rejected"/>
    <n v="108000"/>
    <n v="107565"/>
    <s v="Rejected"/>
    <s v="Rejected"/>
    <m/>
    <s v=""/>
    <s v="Starter"/>
    <s v="August"/>
    <s v="Q3"/>
  </r>
  <r>
    <s v="EOS0567"/>
    <d v="2025-08-16T00:00:00"/>
    <s v="FB"/>
    <s v="Makrani Sahid"/>
    <m/>
    <x v="0"/>
    <s v="Rejected"/>
    <n v="130000"/>
    <n v="107566"/>
    <s v="Rejected"/>
    <s v="Rejected"/>
    <m/>
    <s v=""/>
    <s v="Starter"/>
    <s v="August"/>
    <s v="Q3"/>
  </r>
  <r>
    <s v="EOS0568"/>
    <d v="2025-08-16T00:00:00"/>
    <s v="FB"/>
    <s v="Dhruvesh Parekh"/>
    <s v="Vadodara"/>
    <x v="0"/>
    <s v="Rejected"/>
    <n v="130000"/>
    <n v="107567"/>
    <s v="Rejected"/>
    <s v="Rejected"/>
    <m/>
    <s v=""/>
    <s v="Starter"/>
    <s v="August"/>
    <s v="Q3"/>
  </r>
  <r>
    <s v="EOS0569"/>
    <d v="2025-08-16T00:00:00"/>
    <s v="FB"/>
    <s v="a b.malek.3051"/>
    <m/>
    <x v="0"/>
    <s v="Rejected"/>
    <n v="130000"/>
    <n v="107568"/>
    <s v="Rejected"/>
    <s v="Rejected"/>
    <m/>
    <s v=""/>
    <s v="Starter"/>
    <s v="August"/>
    <s v="Q3"/>
  </r>
  <r>
    <s v="EOS0570"/>
    <d v="2025-08-16T00:00:00"/>
    <s v="FB"/>
    <s v="rathod bittu"/>
    <m/>
    <x v="0"/>
    <s v="Rejected"/>
    <n v="108000"/>
    <n v="107569"/>
    <s v="Rejected"/>
    <s v="Rejected"/>
    <m/>
    <s v=""/>
    <s v="Starter"/>
    <s v="August"/>
    <s v="Q3"/>
  </r>
  <r>
    <s v="EOS0571"/>
    <d v="2025-08-16T00:00:00"/>
    <s v="WA"/>
    <s v="Rajiv sain"/>
    <m/>
    <x v="0"/>
    <s v="Rejected"/>
    <n v="130000"/>
    <n v="107570"/>
    <s v="Rejected"/>
    <s v="Rejected"/>
    <m/>
    <s v=""/>
    <s v="Starter"/>
    <s v="August"/>
    <s v="Q3"/>
  </r>
  <r>
    <s v="EOS0572"/>
    <d v="2025-08-16T00:00:00"/>
    <s v="FB"/>
    <s v="Vishal Chauhan"/>
    <s v="surat"/>
    <x v="0"/>
    <s v="Rejected"/>
    <n v="130000"/>
    <n v="107571"/>
    <s v="Rejected"/>
    <s v="Rejected"/>
    <m/>
    <s v=""/>
    <s v="Starter"/>
    <s v="August"/>
    <s v="Q3"/>
  </r>
  <r>
    <s v="EOS0573"/>
    <d v="2025-08-16T00:00:00"/>
    <s v="WA"/>
    <s v="Rajat Kaushal"/>
    <m/>
    <x v="0"/>
    <s v="Rejected"/>
    <n v="108000"/>
    <n v="107572"/>
    <s v="Rejected"/>
    <s v="Rejected"/>
    <m/>
    <s v=""/>
    <s v="Starter"/>
    <s v="August"/>
    <s v="Q3"/>
  </r>
  <r>
    <s v="EOS0574"/>
    <d v="2025-08-16T00:00:00"/>
    <s v="WA"/>
    <s v="Pathan akbarkhan"/>
    <m/>
    <x v="0"/>
    <s v="Rejected"/>
    <n v="108000"/>
    <n v="107573"/>
    <s v="Rejected"/>
    <s v="Rejected"/>
    <m/>
    <s v=""/>
    <s v="Starter"/>
    <s v="August"/>
    <s v="Q3"/>
  </r>
  <r>
    <s v="EOS0575"/>
    <d v="2025-08-16T00:00:00"/>
    <s v="WA"/>
    <s v="Safayat Ali"/>
    <s v="Maheshpur"/>
    <x v="7"/>
    <s v="Rejected"/>
    <n v="130000"/>
    <n v="107574"/>
    <s v="Rejected"/>
    <s v="Rejected"/>
    <m/>
    <s v=""/>
    <s v="Starter"/>
    <s v="August"/>
    <s v="Q3"/>
  </r>
  <r>
    <s v="EOS0576"/>
    <d v="2025-08-16T00:00:00"/>
    <s v="FB"/>
    <s v="Kuldip Patel"/>
    <s v=" Bhavnagar"/>
    <x v="0"/>
    <s v="Rejected"/>
    <n v="130000"/>
    <n v="107575"/>
    <s v="Rejected"/>
    <s v="Rejected"/>
    <m/>
    <s v=""/>
    <s v="Starter"/>
    <s v="August"/>
    <s v="Q3"/>
  </r>
  <r>
    <s v="EOS0577"/>
    <d v="2025-08-16T00:00:00"/>
    <s v="FB"/>
    <s v="Bharatsinh solanki"/>
    <s v="godhra"/>
    <x v="0"/>
    <s v="Rejected"/>
    <n v="177000"/>
    <n v="107576"/>
    <s v="Rejected"/>
    <s v="Rejected"/>
    <m/>
    <s v=""/>
    <s v="Growth"/>
    <s v="August"/>
    <s v="Q3"/>
  </r>
  <r>
    <s v="EOS0578"/>
    <d v="2025-08-16T00:00:00"/>
    <s v="FB"/>
    <s v="Meer Ramabhai"/>
    <m/>
    <x v="0"/>
    <s v="Rejected"/>
    <n v="108000"/>
    <n v="107577"/>
    <s v="Rejected"/>
    <s v="Rejected"/>
    <m/>
    <s v=""/>
    <s v="Starter"/>
    <s v="August"/>
    <s v="Q3"/>
  </r>
  <r>
    <s v="EOS0579"/>
    <d v="2025-08-16T00:00:00"/>
    <s v="FB"/>
    <s v="Patel Prince"/>
    <m/>
    <x v="0"/>
    <s v="Rejected"/>
    <n v="108000"/>
    <n v="107578"/>
    <s v="Rejected"/>
    <s v="Rejected"/>
    <m/>
    <s v=""/>
    <s v="Starter"/>
    <s v="August"/>
    <s v="Q3"/>
  </r>
  <r>
    <s v="EOS0580"/>
    <d v="2025-08-18T00:00:00"/>
    <s v="FB"/>
    <s v="Hardik "/>
    <m/>
    <x v="0"/>
    <s v="Rejected"/>
    <n v="108000"/>
    <n v="107579"/>
    <s v="Rejected"/>
    <s v="Rejected"/>
    <m/>
    <s v=""/>
    <s v="Starter"/>
    <s v="August"/>
    <s v="Q3"/>
  </r>
  <r>
    <s v="EOS0581"/>
    <d v="2025-08-18T00:00:00"/>
    <s v="FB"/>
    <s v="Talha Shaikh"/>
    <s v="Valsad"/>
    <x v="0"/>
    <s v="Rejected"/>
    <n v="177000"/>
    <n v="107580"/>
    <s v="Rejected"/>
    <s v="Rejected"/>
    <m/>
    <s v=""/>
    <s v="Growth"/>
    <s v="August"/>
    <s v="Q3"/>
  </r>
  <r>
    <s v="EOS0582"/>
    <d v="2025-08-18T00:00:00"/>
    <s v="FB"/>
    <s v="Mohitt G Maru"/>
    <s v="Rajkot"/>
    <x v="0"/>
    <s v="Rejected"/>
    <n v="130000"/>
    <n v="107581"/>
    <s v="Rejected"/>
    <s v="Rejected"/>
    <m/>
    <s v=""/>
    <s v="Starter"/>
    <s v="August"/>
    <s v="Q3"/>
  </r>
  <r>
    <s v="EOS0583"/>
    <d v="2025-08-18T00:00:00"/>
    <s v="FB"/>
    <s v="Kishore M Maganani"/>
    <m/>
    <x v="0"/>
    <s v="Rejected"/>
    <n v="130000"/>
    <n v="107582"/>
    <s v="Rejected"/>
    <s v="Rejected"/>
    <m/>
    <s v=""/>
    <s v="Starter"/>
    <s v="August"/>
    <s v="Q3"/>
  </r>
  <r>
    <s v="EOS0584"/>
    <d v="2025-08-18T00:00:00"/>
    <s v="WA"/>
    <s v="Ashish Ladua"/>
    <s v="Veraval "/>
    <x v="0"/>
    <s v="Rejected"/>
    <n v="130000"/>
    <n v="107583"/>
    <s v="Rejected"/>
    <s v="Rejected"/>
    <m/>
    <s v=""/>
    <s v="Starter"/>
    <s v="August"/>
    <s v="Q3"/>
  </r>
  <r>
    <s v="EOS0585"/>
    <d v="2025-08-19T00:00:00"/>
    <s v="WA"/>
    <s v="Adnan Ansari"/>
    <s v="Ahmedabad"/>
    <x v="0"/>
    <s v="Rejected"/>
    <n v="108000"/>
    <n v="107584"/>
    <s v="Rejected"/>
    <s v="Rejected"/>
    <m/>
    <s v=""/>
    <s v="Starter"/>
    <s v="August"/>
    <s v="Q3"/>
  </r>
  <r>
    <s v="EOS0586"/>
    <d v="2025-08-19T00:00:00"/>
    <s v="WA"/>
    <s v="Samir patel"/>
    <m/>
    <x v="0"/>
    <s v="Rejected"/>
    <n v="108000"/>
    <n v="107585"/>
    <s v="Rejected"/>
    <s v="Rejected"/>
    <m/>
    <s v=""/>
    <s v="Starter"/>
    <s v="August"/>
    <s v="Q3"/>
  </r>
  <r>
    <s v="EOS0587"/>
    <d v="2025-08-19T00:00:00"/>
    <s v="WA"/>
    <s v="Shravanbhai kevabhai"/>
    <m/>
    <x v="14"/>
    <s v="Rejected"/>
    <n v="177000"/>
    <n v="107586"/>
    <s v="Rejected"/>
    <s v="Rejected"/>
    <m/>
    <s v=""/>
    <s v="Growth"/>
    <s v="August"/>
    <s v="Q3"/>
  </r>
  <r>
    <s v="EOS0588"/>
    <d v="2025-08-19T00:00:00"/>
    <s v="WA"/>
    <s v="Govind Rastogi"/>
    <m/>
    <x v="14"/>
    <s v="Rejected"/>
    <n v="108000"/>
    <n v="107587"/>
    <s v="Rejected"/>
    <s v="Rejected"/>
    <m/>
    <s v=""/>
    <s v="Starter"/>
    <s v="August"/>
    <s v="Q3"/>
  </r>
  <r>
    <s v="EOS0589"/>
    <d v="2025-08-19T00:00:00"/>
    <s v="WA"/>
    <s v="Satya Ranjan Nayak"/>
    <m/>
    <x v="14"/>
    <s v="Rejected"/>
    <n v="130000"/>
    <n v="107588"/>
    <s v="Rejected"/>
    <s v="Rejected"/>
    <m/>
    <s v=""/>
    <s v="Starter"/>
    <s v="August"/>
    <s v="Q3"/>
  </r>
  <r>
    <s v="EOS0590"/>
    <d v="2025-08-19T00:00:00"/>
    <s v="WA"/>
    <s v="milan "/>
    <m/>
    <x v="14"/>
    <s v="Rejected"/>
    <n v="108000"/>
    <n v="107589"/>
    <s v="Rejected"/>
    <s v="Rejected"/>
    <m/>
    <s v=""/>
    <s v="Starter"/>
    <s v="August"/>
    <s v="Q3"/>
  </r>
  <r>
    <s v="EOS0591"/>
    <d v="2025-08-19T00:00:00"/>
    <s v="WA"/>
    <s v="DHIREN"/>
    <m/>
    <x v="14"/>
    <s v="Rejected"/>
    <n v="108000"/>
    <n v="107590"/>
    <s v="Rejected"/>
    <s v="Rejected"/>
    <m/>
    <s v=""/>
    <s v="Starter"/>
    <s v="August"/>
    <s v="Q3"/>
  </r>
  <r>
    <s v="EOS0592"/>
    <d v="2025-08-19T00:00:00"/>
    <s v="WA"/>
    <s v="Paresh Patel"/>
    <m/>
    <x v="14"/>
    <s v="Rejected"/>
    <n v="130000"/>
    <n v="107591"/>
    <s v="Rejected"/>
    <s v="Rejected"/>
    <m/>
    <s v=""/>
    <s v="Starter"/>
    <s v="August"/>
    <s v="Q3"/>
  </r>
  <r>
    <s v="EOS0593"/>
    <d v="2025-08-20T00:00:00"/>
    <s v="FB"/>
    <s v="Raja Malik"/>
    <s v="Vadodara"/>
    <x v="0"/>
    <s v="Rejected"/>
    <n v="108000"/>
    <n v="107592"/>
    <s v="Rejected"/>
    <s v="Rejected"/>
    <m/>
    <s v=""/>
    <s v="Starter"/>
    <s v="August"/>
    <s v="Q3"/>
  </r>
  <r>
    <s v="EOS0594"/>
    <d v="2025-08-20T00:00:00"/>
    <s v="FB"/>
    <s v="Ayaan"/>
    <m/>
    <x v="0"/>
    <s v="Rejected"/>
    <n v="108000"/>
    <n v="107593"/>
    <s v="Rejected"/>
    <s v="Rejected"/>
    <m/>
    <s v=""/>
    <s v="Starter"/>
    <s v="August"/>
    <s v="Q3"/>
  </r>
  <r>
    <s v="EOS0595"/>
    <d v="2025-08-20T00:00:00"/>
    <s v="FB"/>
    <s v="Aand Sodha"/>
    <m/>
    <x v="0"/>
    <s v="Rejected"/>
    <n v="177000"/>
    <n v="107594"/>
    <s v="Rejected"/>
    <s v="Rejected"/>
    <m/>
    <s v=""/>
    <s v="Growth"/>
    <s v="August"/>
    <s v="Q3"/>
  </r>
  <r>
    <s v="EOS0596"/>
    <d v="2025-08-20T00:00:00"/>
    <s v="FB"/>
    <s v="Jitubhai Makwana"/>
    <s v=" Bhavnagar"/>
    <x v="14"/>
    <s v="Rejected"/>
    <n v="130000"/>
    <n v="107595"/>
    <s v="Rejected"/>
    <s v="Rejected"/>
    <m/>
    <s v=""/>
    <s v="Starter"/>
    <s v="August"/>
    <s v="Q3"/>
  </r>
  <r>
    <s v="EOS0597"/>
    <d v="2025-08-20T00:00:00"/>
    <s v="FB"/>
    <s v="hemang nathani"/>
    <s v="Ahmedabad"/>
    <x v="14"/>
    <s v="Rejected"/>
    <n v="130000"/>
    <n v="107596"/>
    <s v="Rejected"/>
    <s v="Rejected"/>
    <m/>
    <s v=""/>
    <s v="Starter"/>
    <s v="August"/>
    <s v="Q3"/>
  </r>
  <r>
    <s v="EOS0598"/>
    <d v="2025-08-20T00:00:00"/>
    <s v="FB"/>
    <s v="Jasani Suresh "/>
    <m/>
    <x v="0"/>
    <s v="Rejected"/>
    <n v="108000"/>
    <n v="107597"/>
    <s v="Rejected"/>
    <s v="Rejected"/>
    <m/>
    <s v=""/>
    <s v="Starter"/>
    <s v="August"/>
    <s v="Q3"/>
  </r>
  <r>
    <s v="EOS0599"/>
    <d v="2025-08-20T00:00:00"/>
    <s v="FB"/>
    <s v="Savan Ahir"/>
    <m/>
    <x v="0"/>
    <s v="Rejected"/>
    <n v="130000"/>
    <n v="107598"/>
    <s v="Rejected"/>
    <s v="Rejected"/>
    <m/>
    <s v=""/>
    <s v="Starter"/>
    <s v="August"/>
    <s v="Q3"/>
  </r>
  <r>
    <s v="EOS0600"/>
    <d v="2025-08-20T00:00:00"/>
    <s v="FB"/>
    <s v="Janak "/>
    <m/>
    <x v="0"/>
    <s v="Rejected"/>
    <n v="130000"/>
    <n v="107599"/>
    <s v="Rejected"/>
    <s v="Rejected"/>
    <m/>
    <s v=""/>
    <s v="Starter"/>
    <s v="August"/>
    <s v="Q3"/>
  </r>
  <r>
    <s v="EOS0601"/>
    <d v="2025-08-20T00:00:00"/>
    <s v="FB"/>
    <s v="kateshiya_vijay"/>
    <s v="Rajkot"/>
    <x v="0"/>
    <s v="Rejected"/>
    <n v="130000"/>
    <n v="107600"/>
    <s v="Rejected"/>
    <s v="Rejected"/>
    <m/>
    <s v=""/>
    <s v="Starter"/>
    <s v="August"/>
    <s v="Q3"/>
  </r>
  <r>
    <s v="EOS0602"/>
    <d v="2025-08-20T00:00:00"/>
    <s v="FB"/>
    <s v="Rajni Bharai"/>
    <s v="Jamnagar"/>
    <x v="0"/>
    <s v="Rejected"/>
    <n v="108000"/>
    <n v="107601"/>
    <s v="Rejected"/>
    <s v="Rejected"/>
    <m/>
    <s v=""/>
    <s v="Starter"/>
    <s v="August"/>
    <s v="Q3"/>
  </r>
  <r>
    <s v="EOS0603"/>
    <d v="2025-08-20T00:00:00"/>
    <s v="FB"/>
    <s v="Hari"/>
    <m/>
    <x v="13"/>
    <s v="Rejected"/>
    <n v="130000"/>
    <n v="107602"/>
    <s v="Rejected"/>
    <s v="Rejected"/>
    <m/>
    <s v=""/>
    <s v="Starter"/>
    <s v="August"/>
    <s v="Q3"/>
  </r>
  <r>
    <s v="EOS0604"/>
    <d v="2025-08-20T00:00:00"/>
    <s v="FB"/>
    <s v="Sagathiya BJ"/>
    <m/>
    <x v="15"/>
    <s v="Rejected"/>
    <n v="130000"/>
    <n v="107603"/>
    <s v="Rejected"/>
    <s v="Rejected"/>
    <m/>
    <s v=""/>
    <s v="Starter"/>
    <s v="August"/>
    <s v="Q3"/>
  </r>
  <r>
    <s v="EOS0605"/>
    <d v="2025-08-20T00:00:00"/>
    <s v="FB"/>
    <s v="Sambhu Singh Rajput"/>
    <s v="Ahmedabad"/>
    <x v="0"/>
    <s v="Rejected"/>
    <n v="130000"/>
    <n v="107604"/>
    <s v="Rejected"/>
    <s v="Rejected"/>
    <m/>
    <s v=""/>
    <s v="Starter"/>
    <s v="August"/>
    <s v="Q3"/>
  </r>
  <r>
    <s v="EOS0606"/>
    <d v="2025-08-20T00:00:00"/>
    <s v="WA"/>
    <s v="shalini maurya"/>
    <m/>
    <x v="0"/>
    <s v="Rejected"/>
    <n v="130000"/>
    <n v="107605"/>
    <s v="Rejected"/>
    <s v="Rejected"/>
    <m/>
    <s v=""/>
    <s v="Starter"/>
    <s v="August"/>
    <s v="Q3"/>
  </r>
  <r>
    <s v="EOS0607"/>
    <d v="2025-08-20T00:00:00"/>
    <s v="WA"/>
    <s v="Anil Kumar yadav"/>
    <s v="Bereli"/>
    <x v="1"/>
    <s v="Rejected"/>
    <n v="108000"/>
    <n v="107606"/>
    <s v="Rejected"/>
    <s v="Rejected"/>
    <m/>
    <s v=""/>
    <s v="Starter"/>
    <s v="August"/>
    <s v="Q3"/>
  </r>
  <r>
    <s v="EOS0608"/>
    <d v="2025-08-20T00:00:00"/>
    <s v="WA"/>
    <s v="DHIREN"/>
    <m/>
    <x v="13"/>
    <s v="Rejected"/>
    <n v="130000"/>
    <n v="107607"/>
    <s v="Rejected"/>
    <s v="Rejected"/>
    <m/>
    <s v=""/>
    <s v="Starter"/>
    <s v="August"/>
    <s v="Q3"/>
  </r>
  <r>
    <s v="EOS0609"/>
    <d v="2025-08-21T00:00:00"/>
    <s v="FB"/>
    <s v="Sanjay Thakor"/>
    <s v="Mehsana"/>
    <x v="0"/>
    <s v="Rejected"/>
    <n v="108000"/>
    <n v="107608"/>
    <s v="Rejected"/>
    <s v="Rejected"/>
    <m/>
    <s v=""/>
    <s v="Starter"/>
    <s v="August"/>
    <s v="Q3"/>
  </r>
  <r>
    <s v="EOS0610"/>
    <d v="2025-08-21T00:00:00"/>
    <s v="FB"/>
    <s v="Zala "/>
    <s v="Balasinor"/>
    <x v="0"/>
    <s v="Rejected"/>
    <n v="108000"/>
    <n v="107609"/>
    <s v="Rejected"/>
    <s v="Rejected"/>
    <m/>
    <s v=""/>
    <s v="Starter"/>
    <s v="August"/>
    <s v="Q3"/>
  </r>
  <r>
    <s v="EOS0611"/>
    <d v="2025-08-22T00:00:00"/>
    <s v="WA"/>
    <s v=" ANIL"/>
    <m/>
    <x v="13"/>
    <s v="Rejected"/>
    <n v="130000"/>
    <n v="107610"/>
    <s v="Rejected"/>
    <s v="Rejected"/>
    <m/>
    <s v=""/>
    <s v="Starter"/>
    <s v="August"/>
    <s v="Q3"/>
  </r>
  <r>
    <s v="EOS0612"/>
    <d v="2025-08-22T00:00:00"/>
    <s v="WA"/>
    <s v="Arun Kumar Rathor"/>
    <m/>
    <x v="16"/>
    <s v="Rejected"/>
    <n v="130000"/>
    <n v="107611"/>
    <s v="Rejected"/>
    <s v="Rejected"/>
    <m/>
    <s v=""/>
    <s v="Starter"/>
    <s v="August"/>
    <s v="Q3"/>
  </r>
  <r>
    <s v="EOS0613"/>
    <d v="2025-04-21T00:00:00"/>
    <s v="WA"/>
    <s v="Manishkumar mistry"/>
    <m/>
    <x v="0"/>
    <s v="Rejected"/>
    <n v="108000"/>
    <n v="107612"/>
    <s v="Rejected"/>
    <s v="Rejected"/>
    <m/>
    <s v=""/>
    <s v="Starter"/>
    <s v="April"/>
    <s v="Q2"/>
  </r>
  <r>
    <s v="EOS0614"/>
    <d v="2025-08-22T00:00:00"/>
    <s v="FB"/>
    <s v="na"/>
    <m/>
    <x v="0"/>
    <s v="Rejected"/>
    <n v="108000"/>
    <n v="107613"/>
    <s v="Rejected"/>
    <s v="Rejected"/>
    <m/>
    <s v=""/>
    <s v="Starter"/>
    <s v="August"/>
    <s v="Q3"/>
  </r>
  <r>
    <s v="EOS0615"/>
    <d v="2025-08-22T00:00:00"/>
    <s v="FB"/>
    <s v="lala Bharwad "/>
    <m/>
    <x v="0"/>
    <s v="Rejected"/>
    <n v="130000"/>
    <n v="107614"/>
    <s v="Rejected"/>
    <s v="Rejected"/>
    <m/>
    <s v=""/>
    <s v="Starter"/>
    <s v="August"/>
    <s v="Q3"/>
  </r>
  <r>
    <s v="EOS0616"/>
    <d v="2025-08-23T00:00:00"/>
    <s v="WA"/>
    <s v="Mahavir Jain"/>
    <s v="Ahmedabad"/>
    <x v="0"/>
    <s v="Rejected"/>
    <n v="130000"/>
    <n v="107615"/>
    <s v="Rejected"/>
    <s v="Rejected"/>
    <m/>
    <s v=""/>
    <s v="Starter"/>
    <s v="August"/>
    <s v="Q3"/>
  </r>
  <r>
    <s v="EOS0617"/>
    <d v="2025-08-25T00:00:00"/>
    <s v="FB"/>
    <s v="Keyur Paghdal"/>
    <m/>
    <x v="0"/>
    <s v="Rejected"/>
    <n v="108000"/>
    <n v="107616"/>
    <s v="Rejected"/>
    <s v="Rejected"/>
    <m/>
    <s v=""/>
    <s v="Starter"/>
    <s v="August"/>
    <s v="Q3"/>
  </r>
  <r>
    <s v="EOS0618"/>
    <d v="2025-08-25T00:00:00"/>
    <s v="FB"/>
    <s v="Yogesh nai"/>
    <s v="Surat "/>
    <x v="0"/>
    <s v="Rejected"/>
    <n v="130000"/>
    <n v="107617"/>
    <s v="Rejected"/>
    <s v="Rejected"/>
    <m/>
    <s v=""/>
    <s v="Starter"/>
    <s v="August"/>
    <s v="Q3"/>
  </r>
  <r>
    <s v="EOS0619"/>
    <d v="2025-08-25T00:00:00"/>
    <s v="FB"/>
    <s v="Naim Noor"/>
    <m/>
    <x v="0"/>
    <s v="Rejected"/>
    <n v="130000"/>
    <n v="107618"/>
    <s v="Rejected"/>
    <s v="Rejected"/>
    <m/>
    <s v=""/>
    <s v="Starter"/>
    <s v="August"/>
    <s v="Q3"/>
  </r>
  <r>
    <s v="EOS0620"/>
    <d v="2025-08-25T00:00:00"/>
    <s v="FB"/>
    <s v="sajid sakhidas"/>
    <m/>
    <x v="0"/>
    <s v="Rejected"/>
    <n v="108000"/>
    <n v="107619"/>
    <s v="Rejected"/>
    <s v="Rejected"/>
    <m/>
    <s v=""/>
    <s v="Starter"/>
    <s v="August"/>
    <s v="Q3"/>
  </r>
  <r>
    <s v="EOS0621"/>
    <d v="2025-08-25T00:00:00"/>
    <s v="FB"/>
    <s v="Jayesh Parmar"/>
    <s v="vaah "/>
    <x v="0"/>
    <s v="Rejected"/>
    <n v="108000"/>
    <n v="107620"/>
    <s v="Rejected"/>
    <s v="Rejected"/>
    <m/>
    <s v=""/>
    <s v="Starter"/>
    <s v="August"/>
    <s v="Q3"/>
  </r>
  <r>
    <s v="EOS0622"/>
    <d v="2025-08-25T00:00:00"/>
    <s v="WA"/>
    <s v="Dayabhai"/>
    <m/>
    <x v="0"/>
    <s v="Rejected"/>
    <n v="108000"/>
    <n v="107621"/>
    <s v="Rejected"/>
    <s v="Rejected"/>
    <m/>
    <s v=""/>
    <s v="Starter"/>
    <s v="August"/>
    <s v="Q3"/>
  </r>
  <r>
    <s v="EOS0623"/>
    <d v="2025-08-25T00:00:00"/>
    <s v="WA"/>
    <s v="Ganesh Mahato"/>
    <m/>
    <x v="0"/>
    <s v="Rejected"/>
    <n v="108000"/>
    <n v="107622"/>
    <s v="Rejected"/>
    <s v="Rejected"/>
    <m/>
    <s v=""/>
    <s v="Starter"/>
    <s v="August"/>
    <s v="Q3"/>
  </r>
  <r>
    <s v="EOS0624"/>
    <d v="2025-08-25T00:00:00"/>
    <s v="WA"/>
    <s v="Bhargav Mehra"/>
    <m/>
    <x v="0"/>
    <s v="Rejected"/>
    <n v="130000"/>
    <n v="107623"/>
    <s v="Rejected"/>
    <s v="Rejected"/>
    <m/>
    <s v=""/>
    <s v="Starter"/>
    <s v="August"/>
    <s v="Q3"/>
  </r>
  <r>
    <s v="EOS0625"/>
    <d v="2025-08-25T00:00:00"/>
    <s v="WA"/>
    <s v="Gopal porwal"/>
    <m/>
    <x v="0"/>
    <s v="Rejected"/>
    <n v="108000"/>
    <n v="107624"/>
    <s v="Rejected"/>
    <s v="Rejected"/>
    <m/>
    <s v=""/>
    <s v="Starter"/>
    <s v="August"/>
    <s v="Q3"/>
  </r>
  <r>
    <s v="EOS0626"/>
    <d v="2025-08-25T00:00:00"/>
    <s v="FB"/>
    <s v="Kazi Faisal"/>
    <s v="Kadi"/>
    <x v="0"/>
    <s v="Rejected"/>
    <n v="108000"/>
    <n v="107625"/>
    <s v="Rejected"/>
    <s v="Rejected"/>
    <m/>
    <s v=""/>
    <s v="Starter"/>
    <s v="August"/>
    <s v="Q3"/>
  </r>
  <r>
    <s v="EOS0627"/>
    <d v="2025-08-25T00:00:00"/>
    <s v="FB"/>
    <s v="Precision Telecom"/>
    <s v="Amreli"/>
    <x v="0"/>
    <s v="Rejected"/>
    <n v="108000"/>
    <n v="107626"/>
    <s v="Rejected"/>
    <s v="Rejected"/>
    <m/>
    <s v=""/>
    <s v="Starter"/>
    <s v="August"/>
    <s v="Q3"/>
  </r>
  <r>
    <s v="EOS0628"/>
    <d v="2025-08-25T00:00:00"/>
    <s v="FB"/>
    <s v="SANJAY ALGOTAR"/>
    <m/>
    <x v="0"/>
    <s v="Rejected"/>
    <n v="108000"/>
    <n v="107627"/>
    <s v="Rejected"/>
    <s v="Rejected"/>
    <m/>
    <s v=""/>
    <s v="Starter"/>
    <s v="August"/>
    <s v="Q3"/>
  </r>
  <r>
    <s v="EOS0629"/>
    <d v="2025-08-25T00:00:00"/>
    <s v="WA"/>
    <s v="Haresh H Nihalani"/>
    <m/>
    <x v="0"/>
    <s v="Rejected"/>
    <n v="108000"/>
    <n v="107628"/>
    <s v="Rejected"/>
    <s v="Rejected"/>
    <m/>
    <s v=""/>
    <s v="Starter"/>
    <s v="August"/>
    <s v="Q3"/>
  </r>
  <r>
    <s v="EOS0630"/>
    <d v="2025-08-25T00:00:00"/>
    <s v="WA"/>
    <s v="Pratyush sahani"/>
    <s v="Gorakhpur"/>
    <x v="16"/>
    <s v="Rejected"/>
    <n v="130000"/>
    <n v="107629"/>
    <s v="Rejected"/>
    <s v="Rejected"/>
    <m/>
    <s v=""/>
    <s v="Starter"/>
    <s v="August"/>
    <s v="Q3"/>
  </r>
  <r>
    <s v="EOS0631"/>
    <d v="2025-08-27T00:00:00"/>
    <s v="WA"/>
    <s v="Rahul Gujar"/>
    <m/>
    <x v="0"/>
    <s v="Rejected"/>
    <n v="130000"/>
    <n v="107630"/>
    <s v="Rejected"/>
    <s v="Rejected"/>
    <m/>
    <s v=""/>
    <s v="Starter"/>
    <s v="August"/>
    <s v="Q3"/>
  </r>
  <r>
    <s v="EOS0632"/>
    <d v="2025-08-28T00:00:00"/>
    <s v="FB"/>
    <s v="Jayesh R Tarasriya"/>
    <m/>
    <x v="0"/>
    <s v="Rejected"/>
    <n v="108000"/>
    <n v="107631"/>
    <s v="Rejected"/>
    <s v="Rejected"/>
    <m/>
    <s v=""/>
    <s v="Starter"/>
    <s v="August"/>
    <s v="Q3"/>
  </r>
  <r>
    <s v="EOS0633"/>
    <d v="2025-08-28T00:00:00"/>
    <s v="WA"/>
    <s v="Arjun Mata"/>
    <s v="Bharuch"/>
    <x v="14"/>
    <s v="Rejected"/>
    <n v="108000"/>
    <n v="107632"/>
    <s v="Rejected"/>
    <s v="Rejected"/>
    <m/>
    <s v=""/>
    <s v="Starter"/>
    <s v="August"/>
    <s v="Q3"/>
  </r>
  <r>
    <s v="EOS0634"/>
    <d v="2025-08-28T00:00:00"/>
    <s v="WA"/>
    <s v="Vipul jain"/>
    <m/>
    <x v="14"/>
    <s v="Rejected"/>
    <n v="130000"/>
    <n v="107633"/>
    <s v="Rejected"/>
    <s v="Rejected"/>
    <m/>
    <s v=""/>
    <s v="Starter"/>
    <s v="August"/>
    <s v="Q3"/>
  </r>
  <r>
    <s v="EOS0635"/>
    <d v="2025-08-28T00:00:00"/>
    <s v="WA"/>
    <s v="Ankit BHADORIYA"/>
    <m/>
    <x v="14"/>
    <s v="Rejected"/>
    <n v="130000"/>
    <n v="107634"/>
    <s v="Rejected"/>
    <s v="Rejected"/>
    <m/>
    <s v=""/>
    <s v="Starter"/>
    <s v="August"/>
    <s v="Q3"/>
  </r>
  <r>
    <s v="EOS0636"/>
    <d v="2025-08-28T00:00:00"/>
    <s v="FB"/>
    <s v="Tejash Gohil"/>
    <m/>
    <x v="14"/>
    <s v="Rejected"/>
    <n v="130000"/>
    <n v="107635"/>
    <s v="Rejected"/>
    <s v="Rejected"/>
    <m/>
    <s v=""/>
    <s v="Starter"/>
    <s v="August"/>
    <s v="Q3"/>
  </r>
  <r>
    <s v="EOS0637"/>
    <d v="2025-08-28T00:00:00"/>
    <s v="FB"/>
    <s v="Mogal Cris"/>
    <s v="Gondal "/>
    <x v="14"/>
    <s v="Rejected"/>
    <n v="108000"/>
    <n v="107636"/>
    <s v="Rejected"/>
    <s v="Rejected"/>
    <m/>
    <s v=""/>
    <s v="Starter"/>
    <s v="August"/>
    <s v="Q3"/>
  </r>
  <r>
    <s v="EOS0638"/>
    <d v="2025-08-28T00:00:00"/>
    <s v="FB"/>
    <s v="Dhaval Dasadiya"/>
    <s v="Surendranagar"/>
    <x v="14"/>
    <s v="Rejected"/>
    <n v="108000"/>
    <n v="107637"/>
    <s v="Rejected"/>
    <s v="Rejected"/>
    <m/>
    <s v=""/>
    <s v="Starter"/>
    <s v="August"/>
    <s v="Q3"/>
  </r>
  <r>
    <s v="EOS0639"/>
    <d v="2025-08-28T00:00:00"/>
    <s v="FB"/>
    <s v="Faishal yakubbhai patel"/>
    <m/>
    <x v="14"/>
    <s v="Rejected"/>
    <n v="108000"/>
    <n v="107638"/>
    <s v="Rejected"/>
    <s v="Rejected"/>
    <m/>
    <s v=""/>
    <s v="Starter"/>
    <s v="August"/>
    <s v="Q3"/>
  </r>
  <r>
    <s v="EOS0640"/>
    <d v="2025-08-28T00:00:00"/>
    <s v="FB"/>
    <s v="SADHU YASH"/>
    <m/>
    <x v="14"/>
    <s v="Rejected"/>
    <n v="108000"/>
    <n v="107639"/>
    <s v="Rejected"/>
    <s v="Rejected"/>
    <m/>
    <s v=""/>
    <s v="Starter"/>
    <s v="August"/>
    <s v="Q3"/>
  </r>
  <r>
    <s v="EOS0641"/>
    <d v="2025-08-28T00:00:00"/>
    <s v="FB"/>
    <s v="Hitesh Shah"/>
    <m/>
    <x v="14"/>
    <s v="Rejected"/>
    <n v="108000"/>
    <n v="107640"/>
    <s v="Rejected"/>
    <s v="Rejected"/>
    <m/>
    <s v=""/>
    <s v="Starter"/>
    <s v="August"/>
    <s v="Q3"/>
  </r>
  <r>
    <s v="EOS0642"/>
    <d v="2025-08-28T00:00:00"/>
    <s v="FB"/>
    <s v="Mohammed hafiz"/>
    <m/>
    <x v="14"/>
    <s v="Rejected"/>
    <n v="108000"/>
    <n v="107641"/>
    <s v="Rejected"/>
    <s v="Rejected"/>
    <m/>
    <s v=""/>
    <s v="Starter"/>
    <s v="August"/>
    <s v="Q3"/>
  </r>
  <r>
    <s v="EOS0643"/>
    <d v="2025-08-28T00:00:00"/>
    <s v="FB"/>
    <s v="Amardeepsinh Rajput"/>
    <m/>
    <x v="14"/>
    <s v="Rejected"/>
    <n v="130000"/>
    <n v="107642"/>
    <s v="Rejected"/>
    <s v="Rejected"/>
    <m/>
    <s v=""/>
    <s v="Starter"/>
    <s v="August"/>
    <s v="Q3"/>
  </r>
  <r>
    <s v="EOS0644"/>
    <d v="2025-08-28T00:00:00"/>
    <s v="FB"/>
    <s v="Belim Rizwan"/>
    <s v="Palanpur"/>
    <x v="14"/>
    <s v="Rejected"/>
    <n v="108000"/>
    <n v="107643"/>
    <s v="Rejected"/>
    <s v="Rejected"/>
    <m/>
    <s v=""/>
    <s v="Starter"/>
    <s v="August"/>
    <s v="Q3"/>
  </r>
  <r>
    <s v="EOS0645"/>
    <d v="2025-08-28T00:00:00"/>
    <s v="FB"/>
    <s v="dhruvil "/>
    <m/>
    <x v="14"/>
    <s v="Rejected"/>
    <n v="177000"/>
    <n v="107644"/>
    <s v="Rejected"/>
    <s v="Rejected"/>
    <m/>
    <s v=""/>
    <s v="Growth"/>
    <s v="August"/>
    <s v="Q3"/>
  </r>
  <r>
    <s v="EOS0646"/>
    <d v="2025-08-28T00:00:00"/>
    <s v="FB"/>
    <s v="Bhuva Rushik"/>
    <s v="Rajkot"/>
    <x v="14"/>
    <s v="Rejected"/>
    <n v="108000"/>
    <n v="107645"/>
    <s v="Rejected"/>
    <s v="Rejected"/>
    <m/>
    <s v=""/>
    <s v="Starter"/>
    <s v="August"/>
    <s v="Q3"/>
  </r>
  <r>
    <s v="EOS0647"/>
    <d v="2025-08-28T00:00:00"/>
    <s v="WA"/>
    <s v="Rahul Gujar"/>
    <m/>
    <x v="4"/>
    <s v="Rejected"/>
    <n v="108000"/>
    <n v="107646"/>
    <s v="Rejected"/>
    <s v="Rejected"/>
    <m/>
    <s v=""/>
    <s v="Starter"/>
    <s v="August"/>
    <s v="Q3"/>
  </r>
  <r>
    <s v="EOS0648"/>
    <d v="2025-08-28T00:00:00"/>
    <s v="WA"/>
    <s v="Utsav sharma"/>
    <s v="Sehore"/>
    <x v="14"/>
    <s v="Rejected"/>
    <n v="130000"/>
    <n v="107647"/>
    <s v="Rejected"/>
    <s v="Rejected"/>
    <m/>
    <s v=""/>
    <s v="Starter"/>
    <s v="August"/>
    <s v="Q3"/>
  </r>
  <r>
    <s v="EOS0649"/>
    <d v="2025-08-28T00:00:00"/>
    <s v="WA"/>
    <s v="Sharad Harishchandra dave"/>
    <s v="Surat "/>
    <x v="14"/>
    <s v="Rejected"/>
    <n v="108000"/>
    <n v="107648"/>
    <s v="Rejected"/>
    <s v="Rejected"/>
    <m/>
    <s v=""/>
    <s v="Starter"/>
    <s v="August"/>
    <s v="Q3"/>
  </r>
  <r>
    <s v="EOS0650"/>
    <d v="2025-08-28T00:00:00"/>
    <s v="FB"/>
    <s v="Akshay Vaghela"/>
    <m/>
    <x v="14"/>
    <s v="Rejected"/>
    <n v="130000"/>
    <n v="107649"/>
    <s v="Rejected"/>
    <s v="Rejected"/>
    <m/>
    <s v=""/>
    <s v="Starter"/>
    <s v="August"/>
    <s v="Q3"/>
  </r>
  <r>
    <s v="EOS0651"/>
    <d v="2025-08-29T00:00:00"/>
    <s v="FB"/>
    <s v="Dillip Senapati"/>
    <m/>
    <x v="13"/>
    <s v="Rejected"/>
    <n v="130000"/>
    <n v="107650"/>
    <s v="Rejected"/>
    <s v="Rejected"/>
    <m/>
    <s v=""/>
    <s v="Starter"/>
    <s v="August"/>
    <s v="Q3"/>
  </r>
  <r>
    <s v="EOS0652"/>
    <d v="2025-08-29T00:00:00"/>
    <s v="WA"/>
    <s v="Soumen bhowmik"/>
    <m/>
    <x v="9"/>
    <s v="Rejected"/>
    <n v="108000"/>
    <n v="107651"/>
    <s v="Rejected"/>
    <s v="Rejected"/>
    <m/>
    <s v=""/>
    <s v="Starter"/>
    <s v="August"/>
    <s v="Q3"/>
  </r>
  <r>
    <s v="EOS0653"/>
    <d v="2025-08-29T00:00:00"/>
    <s v="WA"/>
    <s v="Md.Safi Shah"/>
    <s v="Gotat"/>
    <x v="0"/>
    <s v="Rejected"/>
    <n v="108000"/>
    <n v="107652"/>
    <s v="Rejected"/>
    <s v="Rejected"/>
    <m/>
    <s v=""/>
    <s v="Starter"/>
    <s v="August"/>
    <s v="Q3"/>
  </r>
  <r>
    <s v="EOS0654"/>
    <d v="2025-08-30T00:00:00"/>
    <s v="WA"/>
    <s v="Sameer "/>
    <m/>
    <x v="16"/>
    <s v="Rejected"/>
    <n v="130000"/>
    <n v="107653"/>
    <s v="Rejected"/>
    <s v="Rejected"/>
    <m/>
    <s v=""/>
    <s v="Starter"/>
    <s v="August"/>
    <s v="Q3"/>
  </r>
  <r>
    <s v="EOS0655"/>
    <d v="2025-08-30T00:00:00"/>
    <s v="FB"/>
    <s v="Sameer "/>
    <s v="jashi"/>
    <x v="16"/>
    <s v="Rejected"/>
    <n v="177000"/>
    <n v="107654"/>
    <s v="Rejected"/>
    <s v="Rejected"/>
    <m/>
    <s v=""/>
    <s v="Growth"/>
    <s v="August"/>
    <s v="Q3"/>
  </r>
  <r>
    <s v="EOS0656"/>
    <d v="2025-08-30T00:00:00"/>
    <s v="FB"/>
    <s v="Bharat"/>
    <m/>
    <x v="0"/>
    <s v="Rejected"/>
    <n v="108000"/>
    <n v="107655"/>
    <s v="Rejected"/>
    <s v="Rejected"/>
    <m/>
    <s v=""/>
    <s v="Starter"/>
    <s v="August"/>
    <s v="Q3"/>
  </r>
  <r>
    <s v="EOS0657"/>
    <d v="2025-08-30T00:00:00"/>
    <s v="FB"/>
    <s v="Pankaj D Parmar"/>
    <m/>
    <x v="0"/>
    <s v="Rejected"/>
    <n v="108000"/>
    <n v="107656"/>
    <s v="Rejected"/>
    <s v="Rejected"/>
    <m/>
    <s v=""/>
    <s v="Starter"/>
    <s v="August"/>
    <s v="Q3"/>
  </r>
  <r>
    <s v="EOS0658"/>
    <d v="2025-08-30T00:00:00"/>
    <s v="FB"/>
    <s v="Dinesh Shah"/>
    <m/>
    <x v="0"/>
    <s v="Rejected"/>
    <n v="108000"/>
    <n v="107657"/>
    <s v="Rejected"/>
    <s v="Rejected"/>
    <m/>
    <s v=""/>
    <s v="Starter"/>
    <s v="August"/>
    <s v="Q3"/>
  </r>
  <r>
    <s v="EOS0659"/>
    <d v="2025-08-30T00:00:00"/>
    <s v="FB"/>
    <s v="Ashish Baraiya"/>
    <m/>
    <x v="0"/>
    <s v="Rejected"/>
    <n v="108000"/>
    <n v="107658"/>
    <s v="Rejected"/>
    <s v="Rejected"/>
    <m/>
    <s v=""/>
    <s v="Starter"/>
    <s v="August"/>
    <s v="Q3"/>
  </r>
  <r>
    <s v="EOS0660"/>
    <d v="2025-08-30T00:00:00"/>
    <s v="FB"/>
    <s v="Nitin Bhanushali"/>
    <m/>
    <x v="0"/>
    <s v="Rejected"/>
    <n v="130000"/>
    <n v="107659"/>
    <s v="Rejected"/>
    <s v="Rejected"/>
    <m/>
    <s v=""/>
    <s v="Starter"/>
    <s v="August"/>
    <s v="Q3"/>
  </r>
  <r>
    <s v="EOS0661"/>
    <d v="2025-08-31T00:00:00"/>
    <s v="FB"/>
    <s v="Bhatti ARFAT"/>
    <s v="Jafarabad "/>
    <x v="14"/>
    <s v="Rejected"/>
    <n v="108000"/>
    <n v="107660"/>
    <s v="Rejected"/>
    <s v="Rejected"/>
    <m/>
    <s v=""/>
    <s v="Starter"/>
    <s v="August"/>
    <s v="Q3"/>
  </r>
  <r>
    <s v="EOS0662"/>
    <d v="2025-08-31T00:00:00"/>
    <s v="FB"/>
    <s v="Safvan"/>
    <s v="Godhra"/>
    <x v="14"/>
    <s v="Rejected"/>
    <n v="130000"/>
    <n v="107661"/>
    <s v="Rejected"/>
    <s v="Rejected"/>
    <m/>
    <s v=""/>
    <s v="Starter"/>
    <s v="August"/>
    <s v="Q3"/>
  </r>
  <r>
    <s v="EOS0663"/>
    <d v="2025-08-31T00:00:00"/>
    <s v="FB"/>
    <s v="Jignashu Shroff"/>
    <s v="Ahmedabad"/>
    <x v="14"/>
    <s v="Rejected"/>
    <n v="130000"/>
    <n v="107662"/>
    <s v="Rejected"/>
    <s v="Rejected"/>
    <m/>
    <s v=""/>
    <s v="Starter"/>
    <s v="August"/>
    <s v="Q3"/>
  </r>
  <r>
    <s v="EOS0664"/>
    <d v="2025-08-31T00:00:00"/>
    <s v="FB"/>
    <s v="Dhairya Joshi"/>
    <s v="Sidpur "/>
    <x v="0"/>
    <s v="Rejected"/>
    <n v="130000"/>
    <n v="107663"/>
    <s v="Rejected"/>
    <s v="Rejected"/>
    <m/>
    <s v=""/>
    <s v="Starter"/>
    <s v="August"/>
    <s v="Q3"/>
  </r>
  <r>
    <s v="EOS0665"/>
    <d v="2025-08-31T00:00:00"/>
    <s v="FB"/>
    <s v="Vaghri vinod kantibhai"/>
    <m/>
    <x v="14"/>
    <s v="Rejected"/>
    <n v="177000"/>
    <n v="107664"/>
    <s v="Rejected"/>
    <s v="Rejected"/>
    <m/>
    <s v=""/>
    <s v="Growth"/>
    <s v="August"/>
    <s v="Q3"/>
  </r>
  <r>
    <s v="EOS0666"/>
    <d v="2025-08-31T00:00:00"/>
    <s v="FB"/>
    <s v="Solanki aniruddhsinh i"/>
    <m/>
    <x v="14"/>
    <s v="Rejected"/>
    <n v="130000"/>
    <n v="107665"/>
    <s v="Rejected"/>
    <s v="Rejected"/>
    <m/>
    <s v=""/>
    <s v="Starter"/>
    <s v="August"/>
    <s v="Q3"/>
  </r>
  <r>
    <s v="EOS0667"/>
    <d v="2025-08-31T00:00:00"/>
    <s v="FB"/>
    <s v="ashish shah"/>
    <m/>
    <x v="14"/>
    <s v="Rejected"/>
    <n v="108000"/>
    <n v="107666"/>
    <s v="Rejected"/>
    <s v="Rejected"/>
    <m/>
    <s v=""/>
    <s v="Starter"/>
    <s v="August"/>
    <s v="Q3"/>
  </r>
  <r>
    <s v="EOS0668"/>
    <d v="2025-08-31T00:00:00"/>
    <s v="FB"/>
    <s v="Srujal Nayak"/>
    <s v="Mehsana"/>
    <x v="14"/>
    <s v="Rejected"/>
    <n v="108000"/>
    <n v="107667"/>
    <s v="Rejected"/>
    <s v="Rejected"/>
    <m/>
    <s v=""/>
    <s v="Starter"/>
    <s v="August"/>
    <s v="Q3"/>
  </r>
  <r>
    <s v="EOS0669"/>
    <d v="2025-08-31T00:00:00"/>
    <s v="FB"/>
    <s v="SHAILESH CHAUDHARY"/>
    <m/>
    <x v="14"/>
    <s v="Rejected"/>
    <n v="130000"/>
    <n v="107668"/>
    <s v="Rejected"/>
    <s v="Rejected"/>
    <m/>
    <s v=""/>
    <s v="Starter"/>
    <s v="August"/>
    <s v="Q3"/>
  </r>
  <r>
    <s v="EOS0670"/>
    <d v="2025-08-31T00:00:00"/>
    <s v="FB"/>
    <s v="NanDa upendra "/>
    <s v="Jamnagar"/>
    <x v="14"/>
    <s v="Rejected"/>
    <n v="108000"/>
    <n v="107669"/>
    <s v="Rejected"/>
    <s v="Rejected"/>
    <m/>
    <s v=""/>
    <s v="Starter"/>
    <s v="August"/>
    <s v="Q3"/>
  </r>
  <r>
    <s v="EOS0671"/>
    <d v="2025-08-31T00:00:00"/>
    <s v="FB"/>
    <s v="Gaurang Darodker"/>
    <s v="Ahmedabad"/>
    <x v="14"/>
    <s v="Rejected"/>
    <n v="177000"/>
    <n v="107670"/>
    <s v="Rejected"/>
    <s v="Rejected"/>
    <m/>
    <s v=""/>
    <s v="Growth"/>
    <s v="August"/>
    <s v="Q3"/>
  </r>
  <r>
    <s v="EOS0672"/>
    <d v="2025-08-31T00:00:00"/>
    <s v="FB"/>
    <s v="grish "/>
    <s v="Gandhinagar"/>
    <x v="14"/>
    <s v="Rejected"/>
    <n v="108000"/>
    <n v="107671"/>
    <s v="Rejected"/>
    <s v="Rejected"/>
    <m/>
    <s v=""/>
    <s v="Starter"/>
    <s v="August"/>
    <s v="Q3"/>
  </r>
  <r>
    <s v="EOS0673"/>
    <d v="2025-08-31T00:00:00"/>
    <s v="FB"/>
    <s v="Madhavendra"/>
    <s v="Agar"/>
    <x v="16"/>
    <s v="Rejected"/>
    <n v="130000"/>
    <n v="107672"/>
    <s v="Rejected"/>
    <s v="Rejected"/>
    <m/>
    <s v=""/>
    <s v="Starter"/>
    <s v="August"/>
    <s v="Q3"/>
  </r>
  <r>
    <s v="EOS0674"/>
    <d v="2025-09-01T00:00:00"/>
    <s v="FB"/>
    <s v="Amrut Gohil"/>
    <s v="Ahmedabad"/>
    <x v="0"/>
    <s v="Rejected"/>
    <n v="177000"/>
    <n v="107673"/>
    <s v="Rejected"/>
    <s v="Rejected"/>
    <m/>
    <s v=""/>
    <s v="Growth"/>
    <s v="September"/>
    <s v="Q3"/>
  </r>
  <r>
    <s v="EOS0675"/>
    <d v="2025-09-01T00:00:00"/>
    <s v="FB"/>
    <s v="Vishal Sharma"/>
    <m/>
    <x v="14"/>
    <s v="Rejected"/>
    <n v="108000"/>
    <n v="107674"/>
    <s v="Rejected"/>
    <s v="Rejected"/>
    <m/>
    <s v=""/>
    <s v="Starter"/>
    <s v="September"/>
    <s v="Q3"/>
  </r>
  <r>
    <s v="EOS0676"/>
    <d v="2025-09-01T00:00:00"/>
    <s v="WA"/>
    <n v="0"/>
    <m/>
    <x v="9"/>
    <s v="Rejected"/>
    <n v="130000"/>
    <n v="107675"/>
    <s v="Rejected"/>
    <s v="Rejected"/>
    <m/>
    <s v=""/>
    <s v="Starter"/>
    <s v="September"/>
    <s v="Q3"/>
  </r>
  <r>
    <s v="EOS0677"/>
    <d v="2025-09-01T00:00:00"/>
    <s v="WA"/>
    <s v="Arpit jain"/>
    <s v="SitaPur "/>
    <x v="1"/>
    <s v="Rejected"/>
    <n v="108000"/>
    <n v="107676"/>
    <s v="Rejected"/>
    <s v="Rejected"/>
    <m/>
    <s v=""/>
    <s v="Starter"/>
    <s v="September"/>
    <s v="Q3"/>
  </r>
  <r>
    <s v="EOS0678"/>
    <d v="2025-09-01T00:00:00"/>
    <s v="WA"/>
    <s v="Jitendra Singh"/>
    <m/>
    <x v="13"/>
    <s v="Rejected"/>
    <n v="108000"/>
    <n v="107677"/>
    <s v="Rejected"/>
    <s v="Rejected"/>
    <m/>
    <s v=""/>
    <s v="Starter"/>
    <s v="September"/>
    <s v="Q3"/>
  </r>
  <r>
    <s v="EOS0679"/>
    <d v="2025-09-01T00:00:00"/>
    <s v="WA"/>
    <s v="Sachin"/>
    <m/>
    <x v="0"/>
    <s v="Rejected"/>
    <n v="130000"/>
    <n v="107678"/>
    <s v="Rejected"/>
    <s v="Rejected"/>
    <m/>
    <s v=""/>
    <s v="Starter"/>
    <s v="September"/>
    <s v="Q3"/>
  </r>
  <r>
    <s v="EOS0680"/>
    <d v="2025-09-01T00:00:00"/>
    <s v="WA"/>
    <s v="Rajveer Singh Kushwaha"/>
    <m/>
    <x v="14"/>
    <s v="Rejected"/>
    <n v="130000"/>
    <n v="107679"/>
    <s v="Rejected"/>
    <s v="Rejected"/>
    <m/>
    <s v=""/>
    <s v="Starter"/>
    <s v="September"/>
    <s v="Q3"/>
  </r>
  <r>
    <s v="EOS0681"/>
    <d v="2025-09-02T00:00:00"/>
    <s v="FB"/>
    <s v="Vaibhav M panchal"/>
    <s v="Ahmedabad"/>
    <x v="14"/>
    <s v="Rejected"/>
    <n v="130000"/>
    <n v="107680"/>
    <s v="Rejected"/>
    <s v="Rejected"/>
    <m/>
    <s v=""/>
    <s v="Starter"/>
    <s v="September"/>
    <s v="Q3"/>
  </r>
  <r>
    <s v="EOS0682"/>
    <d v="2025-09-02T00:00:00"/>
    <s v="WA"/>
    <s v="Pushparaj jaiswal"/>
    <m/>
    <x v="4"/>
    <s v="Rejected"/>
    <n v="177000"/>
    <n v="107681"/>
    <s v="Rejected"/>
    <s v="Rejected"/>
    <m/>
    <s v=""/>
    <s v="Growth"/>
    <s v="September"/>
    <s v="Q3"/>
  </r>
  <r>
    <s v="EOS0683"/>
    <d v="2025-09-02T00:00:00"/>
    <s v="WA"/>
    <s v="Yash Singh"/>
    <s v="jauhpur"/>
    <x v="1"/>
    <s v="Rejected"/>
    <n v="130000"/>
    <n v="107682"/>
    <s v="Rejected"/>
    <s v="Rejected"/>
    <m/>
    <s v=""/>
    <s v="Starter"/>
    <s v="September"/>
    <s v="Q3"/>
  </r>
  <r>
    <s v="EOS0684"/>
    <d v="2025-09-02T00:00:00"/>
    <s v="WA"/>
    <s v="Ashish Saxena"/>
    <s v="noida "/>
    <x v="1"/>
    <s v="Rejected"/>
    <n v="130000"/>
    <n v="107683"/>
    <s v="Rejected"/>
    <s v="Rejected"/>
    <m/>
    <s v=""/>
    <s v="Starter"/>
    <s v="September"/>
    <s v="Q3"/>
  </r>
  <r>
    <s v="EOS0685"/>
    <d v="2025-09-02T00:00:00"/>
    <s v="WA"/>
    <s v="Om Srivastava"/>
    <m/>
    <x v="13"/>
    <s v="Rejected"/>
    <n v="108000"/>
    <n v="107684"/>
    <s v="Rejected"/>
    <s v="Rejected"/>
    <m/>
    <s v=""/>
    <s v="Starter"/>
    <s v="September"/>
    <s v="Q3"/>
  </r>
  <r>
    <s v="EOS0686"/>
    <d v="2025-09-02T00:00:00"/>
    <s v="WA"/>
    <s v="Amit Kumar"/>
    <m/>
    <x v="13"/>
    <s v="Rejected"/>
    <n v="108000"/>
    <n v="107685"/>
    <s v="Rejected"/>
    <s v="Rejected"/>
    <m/>
    <s v=""/>
    <s v="Starter"/>
    <s v="September"/>
    <s v="Q3"/>
  </r>
  <r>
    <s v="EOS0687"/>
    <d v="2025-09-03T00:00:00"/>
    <s v="WA"/>
    <s v="Tejpal Kushwaha"/>
    <s v="Ujjain"/>
    <x v="4"/>
    <s v="Rejected"/>
    <n v="130000"/>
    <n v="107686"/>
    <s v="Rejected"/>
    <s v="Rejected"/>
    <m/>
    <s v=""/>
    <s v="Starter"/>
    <s v="September"/>
    <s v="Q3"/>
  </r>
  <r>
    <s v="EOS0688"/>
    <d v="2025-09-03T00:00:00"/>
    <s v="WA"/>
    <s v="Amitabh Jain"/>
    <m/>
    <x v="4"/>
    <s v="Rejected"/>
    <n v="130000"/>
    <n v="107687"/>
    <s v="Rejected"/>
    <s v="Rejected"/>
    <m/>
    <s v=""/>
    <s v="Starter"/>
    <s v="September"/>
    <s v="Q3"/>
  </r>
  <r>
    <s v="EOS0689"/>
    <d v="2025-09-03T00:00:00"/>
    <s v="FB"/>
    <s v="Prakash Kumar"/>
    <s v="Deesa"/>
    <x v="14"/>
    <s v="Rejected"/>
    <n v="177000"/>
    <n v="107688"/>
    <s v="Rejected"/>
    <s v="Rejected"/>
    <m/>
    <s v=""/>
    <s v="Growth"/>
    <s v="September"/>
    <s v="Q3"/>
  </r>
  <r>
    <s v="EOS0690"/>
    <d v="2025-09-03T00:00:00"/>
    <s v="FB"/>
    <s v="_chaudhary"/>
    <s v="Surat"/>
    <x v="14"/>
    <s v="Rejected"/>
    <n v="130000"/>
    <n v="107689"/>
    <s v="Rejected"/>
    <s v="Rejected"/>
    <m/>
    <s v=""/>
    <s v="Starter"/>
    <s v="September"/>
    <s v="Q3"/>
  </r>
  <r>
    <s v="EOS0691"/>
    <d v="2025-09-03T00:00:00"/>
    <s v="FB"/>
    <s v="Ajay Rathi"/>
    <s v="barrod "/>
    <x v="16"/>
    <s v="Rejected"/>
    <n v="177000"/>
    <n v="107690"/>
    <s v="Rejected"/>
    <s v="Rejected"/>
    <m/>
    <s v=""/>
    <s v="Growth"/>
    <s v="September"/>
    <s v="Q3"/>
  </r>
  <r>
    <s v="EOS0692"/>
    <d v="2025-09-04T00:00:00"/>
    <s v="FB"/>
    <s v="Praful Sanchaniya"/>
    <s v="Rajkot"/>
    <x v="0"/>
    <s v="Rejected"/>
    <n v="177000"/>
    <n v="107691"/>
    <s v="Rejected"/>
    <s v="Rejected"/>
    <m/>
    <s v=""/>
    <s v="Growth"/>
    <s v="September"/>
    <s v="Q3"/>
  </r>
  <r>
    <s v="EOS0693"/>
    <d v="2025-09-04T00:00:00"/>
    <s v="FB"/>
    <s v="Ganesh Choudhari"/>
    <s v="Vadodara"/>
    <x v="0"/>
    <s v="Rejected"/>
    <n v="108000"/>
    <n v="107692"/>
    <s v="Rejected"/>
    <s v="Rejected"/>
    <m/>
    <s v=""/>
    <s v="Starter"/>
    <s v="September"/>
    <s v="Q3"/>
  </r>
  <r>
    <s v="EOS0694"/>
    <d v="2025-09-05T00:00:00"/>
    <s v="FB"/>
    <s v="gala yuvraj "/>
    <m/>
    <x v="0"/>
    <s v="Rejected"/>
    <n v="130000"/>
    <n v="107693"/>
    <s v="Rejected"/>
    <s v="Rejected"/>
    <m/>
    <s v=""/>
    <s v="Starter"/>
    <s v="September"/>
    <s v="Q3"/>
  </r>
  <r>
    <s v="EOS0695"/>
    <d v="2025-09-05T00:00:00"/>
    <s v="FB"/>
    <s v="Aamin Shekh"/>
    <m/>
    <x v="0"/>
    <s v="Rejected"/>
    <n v="130000"/>
    <n v="107694"/>
    <s v="Rejected"/>
    <s v="Rejected"/>
    <m/>
    <s v=""/>
    <s v="Starter"/>
    <s v="September"/>
    <s v="Q3"/>
  </r>
  <r>
    <s v="EOS0696"/>
    <d v="2025-09-05T00:00:00"/>
    <s v="FB"/>
    <s v="K J GONDALIYA"/>
    <m/>
    <x v="0"/>
    <s v="Rejected"/>
    <n v="108000"/>
    <n v="107695"/>
    <s v="Rejected"/>
    <s v="Rejected"/>
    <m/>
    <s v=""/>
    <s v="Starter"/>
    <s v="September"/>
    <s v="Q3"/>
  </r>
  <r>
    <s v="EOS0697"/>
    <d v="2025-09-05T00:00:00"/>
    <s v="FB"/>
    <s v="RAVISC PARMAR"/>
    <m/>
    <x v="0"/>
    <s v="Rejected"/>
    <n v="177000"/>
    <n v="107696"/>
    <s v="Rejected"/>
    <s v="Rejected"/>
    <m/>
    <s v=""/>
    <s v="Growth"/>
    <s v="September"/>
    <s v="Q3"/>
  </r>
  <r>
    <s v="EOS0698"/>
    <d v="2025-09-05T00:00:00"/>
    <s v="FB"/>
    <s v="krunal shah"/>
    <m/>
    <x v="0"/>
    <s v="Rejected"/>
    <n v="108000"/>
    <n v="107697"/>
    <s v="Rejected"/>
    <s v="Rejected"/>
    <m/>
    <s v=""/>
    <s v="Starter"/>
    <s v="September"/>
    <s v="Q3"/>
  </r>
  <r>
    <s v="EOS0699"/>
    <d v="2025-09-05T00:00:00"/>
    <s v="FB"/>
    <s v="P_I_Y_U_S_H"/>
    <m/>
    <x v="0"/>
    <s v="Rejected"/>
    <n v="130000"/>
    <n v="107698"/>
    <s v="Rejected"/>
    <s v="Rejected"/>
    <m/>
    <s v=""/>
    <s v="Starter"/>
    <s v="September"/>
    <s v="Q3"/>
  </r>
  <r>
    <s v="EOS0700"/>
    <d v="2025-09-05T00:00:00"/>
    <s v="FB"/>
    <s v="Kamil Vahora"/>
    <m/>
    <x v="0"/>
    <s v="Rejected"/>
    <n v="108000"/>
    <n v="107699"/>
    <s v="Rejected"/>
    <s v="Rejected"/>
    <m/>
    <s v=""/>
    <s v="Starter"/>
    <s v="September"/>
    <s v="Q3"/>
  </r>
  <r>
    <s v="EOS0701"/>
    <d v="2025-09-05T00:00:00"/>
    <s v="FB"/>
    <s v="Pappu jhaa"/>
    <m/>
    <x v="0"/>
    <s v="Rejected"/>
    <n v="130000"/>
    <n v="107700"/>
    <s v="Rejected"/>
    <s v="Rejected"/>
    <m/>
    <s v=""/>
    <s v="Starter"/>
    <s v="September"/>
    <s v="Q3"/>
  </r>
  <r>
    <s v="EOS0702"/>
    <d v="2025-09-05T00:00:00"/>
    <s v="FB"/>
    <s v="Shah meet "/>
    <m/>
    <x v="0"/>
    <s v="Rejected"/>
    <n v="130000"/>
    <n v="107701"/>
    <s v="Rejected"/>
    <s v="Rejected"/>
    <m/>
    <s v=""/>
    <s v="Starter"/>
    <s v="September"/>
    <s v="Q3"/>
  </r>
  <r>
    <s v="EOS0703"/>
    <d v="2025-09-05T00:00:00"/>
    <s v="FB"/>
    <s v="Mitesh "/>
    <s v="Surat "/>
    <x v="0"/>
    <s v="Rejected"/>
    <n v="108000"/>
    <n v="107702"/>
    <s v="Rejected"/>
    <s v="Rejected"/>
    <m/>
    <s v=""/>
    <s v="Starter"/>
    <s v="September"/>
    <s v="Q3"/>
  </r>
  <r>
    <s v="EOS0704"/>
    <d v="2025-09-08T00:00:00"/>
    <s v="WA"/>
    <s v="Vinod"/>
    <m/>
    <x v="0"/>
    <s v="Rejected"/>
    <n v="108000"/>
    <n v="107703"/>
    <s v="Rejected"/>
    <s v="Rejected"/>
    <m/>
    <s v=""/>
    <s v="Starter"/>
    <s v="September"/>
    <s v="Q3"/>
  </r>
  <r>
    <s v="EOS0705"/>
    <d v="2025-09-08T00:00:00"/>
    <s v="FB"/>
    <s v="mahavir dhadha"/>
    <m/>
    <x v="0"/>
    <s v="Rejected"/>
    <n v="108000"/>
    <n v="107704"/>
    <s v="Rejected"/>
    <s v="Rejected"/>
    <m/>
    <s v=""/>
    <s v="Starter"/>
    <s v="September"/>
    <s v="Q3"/>
  </r>
  <r>
    <s v="EOS0706"/>
    <d v="2025-09-08T00:00:00"/>
    <s v="FB"/>
    <s v="Nikhil Kalal"/>
    <s v="Surat "/>
    <x v="0"/>
    <s v="Rejected"/>
    <n v="130000"/>
    <n v="107705"/>
    <s v="Rejected"/>
    <s v="Rejected"/>
    <m/>
    <s v=""/>
    <s v="Starter"/>
    <s v="September"/>
    <s v="Q3"/>
  </r>
  <r>
    <s v="EOS0707"/>
    <d v="2025-09-08T00:00:00"/>
    <s v="FB"/>
    <s v="Kunal Mandani"/>
    <s v="Ahmedabad"/>
    <x v="0"/>
    <s v="Rejected"/>
    <n v="177000"/>
    <n v="107706"/>
    <s v="Rejected"/>
    <s v="Rejected"/>
    <m/>
    <s v=""/>
    <s v="Growth"/>
    <s v="September"/>
    <s v="Q3"/>
  </r>
  <r>
    <s v="EOS0708"/>
    <d v="2025-09-08T00:00:00"/>
    <s v="FB"/>
    <s v="Nayan Patel"/>
    <s v="Vadodara"/>
    <x v="0"/>
    <s v="Rejected"/>
    <n v="108000"/>
    <n v="107707"/>
    <s v="Rejected"/>
    <s v="Rejected"/>
    <m/>
    <s v=""/>
    <s v="Starter"/>
    <s v="September"/>
    <s v="Q3"/>
  </r>
  <r>
    <s v="EOS0709"/>
    <d v="2025-09-08T00:00:00"/>
    <s v="FB"/>
    <s v="Asmat Varaiya"/>
    <s v="Ahmedabad"/>
    <x v="0"/>
    <s v="Rejected"/>
    <n v="130000"/>
    <n v="107708"/>
    <s v="Rejected"/>
    <s v="Rejected"/>
    <m/>
    <s v=""/>
    <s v="Starter"/>
    <s v="September"/>
    <s v="Q3"/>
  </r>
  <r>
    <s v="EOS0710"/>
    <d v="2025-09-08T00:00:00"/>
    <s v="FB"/>
    <s v="Md Fyaj"/>
    <s v="Surat"/>
    <x v="0"/>
    <s v="Rejected"/>
    <n v="108000"/>
    <n v="107709"/>
    <s v="Rejected"/>
    <s v="Rejected"/>
    <m/>
    <s v=""/>
    <s v="Starter"/>
    <s v="September"/>
    <s v="Q3"/>
  </r>
  <r>
    <s v="EOS0711"/>
    <d v="2025-09-08T00:00:00"/>
    <s v="FB"/>
    <s v="Naksh Rajput"/>
    <s v="Surendranagar"/>
    <x v="0"/>
    <s v="Rejected"/>
    <n v="130000"/>
    <n v="107710"/>
    <s v="Rejected"/>
    <s v="Rejected"/>
    <m/>
    <s v=""/>
    <s v="Starter"/>
    <s v="September"/>
    <s v="Q3"/>
  </r>
  <r>
    <s v="EOS0712"/>
    <d v="2025-09-08T00:00:00"/>
    <s v="FB"/>
    <s v="Pragnesh Bhadka"/>
    <s v="Surendranagar"/>
    <x v="0"/>
    <s v="Rejected"/>
    <n v="177000"/>
    <n v="107711"/>
    <s v="Rejected"/>
    <s v="Rejected"/>
    <m/>
    <s v=""/>
    <s v="Growth"/>
    <s v="September"/>
    <s v="Q3"/>
  </r>
  <r>
    <s v="EOS0713"/>
    <d v="2025-09-08T00:00:00"/>
    <s v="FB"/>
    <s v="Pinal Parekh"/>
    <s v="Bharuch"/>
    <x v="0"/>
    <s v="Rejected"/>
    <n v="108000"/>
    <n v="107712"/>
    <s v="Rejected"/>
    <s v="Rejected"/>
    <m/>
    <s v=""/>
    <s v="Starter"/>
    <s v="September"/>
    <s v="Q3"/>
  </r>
  <r>
    <s v="EOS0714"/>
    <d v="2025-09-08T00:00:00"/>
    <s v="FB"/>
    <s v="Jignesh kumar Manilal patel"/>
    <s v="Virpur"/>
    <x v="0"/>
    <s v="Rejected"/>
    <n v="130000"/>
    <n v="107713"/>
    <s v="Rejected"/>
    <s v="Rejected"/>
    <m/>
    <s v=""/>
    <s v="Starter"/>
    <s v="September"/>
    <s v="Q3"/>
  </r>
  <r>
    <s v="EOS0715"/>
    <d v="2025-09-08T00:00:00"/>
    <s v="FB"/>
    <s v="Arjun"/>
    <s v="Jamnagar"/>
    <x v="0"/>
    <s v="Rejected"/>
    <n v="130000"/>
    <n v="107714"/>
    <s v="Rejected"/>
    <s v="Rejected"/>
    <m/>
    <s v=""/>
    <s v="Starter"/>
    <s v="September"/>
    <s v="Q3"/>
  </r>
  <r>
    <s v="EOS0716"/>
    <d v="2025-09-08T00:00:00"/>
    <s v="FB"/>
    <s v="A�kit Patel"/>
    <s v="Surat "/>
    <x v="0"/>
    <s v="Rejected"/>
    <n v="108000"/>
    <n v="107715"/>
    <s v="Rejected"/>
    <s v="Rejected"/>
    <m/>
    <s v=""/>
    <s v="Starter"/>
    <s v="September"/>
    <s v="Q3"/>
  </r>
  <r>
    <s v="EOS0717"/>
    <d v="2025-09-08T00:00:00"/>
    <s v="FB"/>
    <s v="Bhavesh Khamal"/>
    <s v="Surat "/>
    <x v="0"/>
    <s v="Rejected"/>
    <n v="108000"/>
    <n v="107716"/>
    <s v="Rejected"/>
    <s v="Rejected"/>
    <m/>
    <s v=""/>
    <s v="Starter"/>
    <s v="September"/>
    <s v="Q3"/>
  </r>
  <r>
    <s v="EOS0718"/>
    <d v="2025-09-08T00:00:00"/>
    <s v="FB"/>
    <s v="kishor"/>
    <m/>
    <x v="0"/>
    <s v="Rejected"/>
    <n v="108000"/>
    <n v="107717"/>
    <s v="Rejected"/>
    <s v="Rejected"/>
    <m/>
    <s v=""/>
    <s v="Starter"/>
    <s v="September"/>
    <s v="Q3"/>
  </r>
  <r>
    <s v="EOS0719"/>
    <d v="2025-09-08T00:00:00"/>
    <s v="WA"/>
    <s v="Shaminur rahman"/>
    <m/>
    <x v="17"/>
    <s v="Rejected"/>
    <n v="108000"/>
    <n v="107718"/>
    <s v="Rejected"/>
    <s v="Rejected"/>
    <m/>
    <s v=""/>
    <s v="Starter"/>
    <s v="September"/>
    <s v="Q3"/>
  </r>
  <r>
    <s v="EOS0720"/>
    <d v="2025-09-08T00:00:00"/>
    <s v="WA"/>
    <s v="Devendra gosavi"/>
    <m/>
    <x v="4"/>
    <s v="Rejected"/>
    <n v="108000"/>
    <n v="107719"/>
    <s v="Rejected"/>
    <s v="Rejected"/>
    <m/>
    <s v=""/>
    <s v="Starter"/>
    <s v="September"/>
    <s v="Q3"/>
  </r>
  <r>
    <s v="EOS0721"/>
    <d v="2025-09-08T00:00:00"/>
    <s v="WA"/>
    <s v="Pathik patel"/>
    <s v="Amroli Surat "/>
    <x v="0"/>
    <s v="Rejected"/>
    <n v="130000"/>
    <n v="107720"/>
    <s v="Rejected"/>
    <s v="Rejected"/>
    <m/>
    <s v=""/>
    <s v="Starter"/>
    <s v="September"/>
    <s v="Q3"/>
  </r>
  <r>
    <s v="EOS0722"/>
    <d v="2025-09-09T00:00:00"/>
    <s v="FB"/>
    <s v="Aniket "/>
    <s v="Idar"/>
    <x v="0"/>
    <s v="Rejected"/>
    <n v="130000"/>
    <n v="107721"/>
    <s v="Rejected"/>
    <s v="Rejected"/>
    <m/>
    <s v=""/>
    <s v="Starter"/>
    <s v="September"/>
    <s v="Q3"/>
  </r>
  <r>
    <s v="EOS0723"/>
    <d v="2025-09-09T00:00:00"/>
    <s v="FB"/>
    <s v="Hasmita Jadeja "/>
    <m/>
    <x v="0"/>
    <s v="Rejected"/>
    <n v="108000"/>
    <n v="107722"/>
    <s v="Rejected"/>
    <s v="Rejected"/>
    <m/>
    <s v=""/>
    <s v="Starter"/>
    <s v="September"/>
    <s v="Q3"/>
  </r>
  <r>
    <s v="EOS0724"/>
    <d v="2025-09-09T00:00:00"/>
    <s v="FB"/>
    <s v="Vishal Ahir"/>
    <s v="Rajkot"/>
    <x v="0"/>
    <s v="Rejected"/>
    <n v="108000"/>
    <n v="107723"/>
    <s v="Rejected"/>
    <s v="Rejected"/>
    <m/>
    <s v=""/>
    <s v="Starter"/>
    <s v="September"/>
    <s v="Q3"/>
  </r>
  <r>
    <s v="EOS0725"/>
    <d v="2025-09-09T00:00:00"/>
    <s v="FB"/>
    <s v="Vala Divyaraj Sin"/>
    <s v="Jamnagar"/>
    <x v="0"/>
    <s v="Rejected"/>
    <n v="108000"/>
    <n v="107724"/>
    <s v="Rejected"/>
    <s v="Rejected"/>
    <m/>
    <s v=""/>
    <s v="Starter"/>
    <s v="September"/>
    <s v="Q3"/>
  </r>
  <r>
    <s v="EOS0726"/>
    <d v="2025-09-09T00:00:00"/>
    <s v="WA"/>
    <s v="Balkrishna Baldha"/>
    <m/>
    <x v="13"/>
    <s v="Rejected"/>
    <n v="108000"/>
    <n v="107725"/>
    <s v="Rejected"/>
    <s v="Rejected"/>
    <m/>
    <s v=""/>
    <s v="Starter"/>
    <s v="September"/>
    <s v="Q3"/>
  </r>
  <r>
    <s v="EOS0727"/>
    <d v="2025-09-09T00:00:00"/>
    <s v="WA"/>
    <s v="Kadar Kakal"/>
    <s v="Jamnagar"/>
    <x v="14"/>
    <s v="Rejected"/>
    <n v="177000"/>
    <n v="107726"/>
    <s v="Rejected"/>
    <s v="Rejected"/>
    <m/>
    <s v=""/>
    <s v="Growth"/>
    <s v="September"/>
    <s v="Q3"/>
  </r>
  <r>
    <s v="EOS0728"/>
    <d v="2025-09-09T00:00:00"/>
    <s v="WA"/>
    <s v="Jaydip vajkani"/>
    <s v="Rajkot"/>
    <x v="14"/>
    <s v="Rejected"/>
    <n v="130000"/>
    <n v="107727"/>
    <s v="Rejected"/>
    <s v="Rejected"/>
    <m/>
    <s v=""/>
    <s v="Starter"/>
    <s v="September"/>
    <s v="Q3"/>
  </r>
  <r>
    <s v="EOS0729"/>
    <d v="2025-09-09T00:00:00"/>
    <s v="WA"/>
    <s v="Pankaj sharma"/>
    <s v="Jamnagar"/>
    <x v="14"/>
    <s v="Rejected"/>
    <n v="130000"/>
    <n v="107728"/>
    <s v="Rejected"/>
    <s v="Rejected"/>
    <m/>
    <s v=""/>
    <s v="Starter"/>
    <s v="September"/>
    <s v="Q3"/>
  </r>
  <r>
    <s v="EOS0730"/>
    <d v="2025-09-10T00:00:00"/>
    <s v="FB"/>
    <s v="Adity chaudhary"/>
    <s v="Patan"/>
    <x v="14"/>
    <s v="Rejected"/>
    <n v="108000"/>
    <n v="107729"/>
    <s v="Rejected"/>
    <s v="Rejected"/>
    <m/>
    <s v=""/>
    <s v="Starter"/>
    <s v="September"/>
    <s v="Q3"/>
  </r>
  <r>
    <s v="EOS0731"/>
    <d v="2025-09-10T00:00:00"/>
    <s v="FB"/>
    <s v="Ravi Chopda"/>
    <s v="Veraval"/>
    <x v="14"/>
    <s v="Rejected"/>
    <n v="108000"/>
    <n v="107730"/>
    <s v="Rejected"/>
    <s v="Rejected"/>
    <m/>
    <s v=""/>
    <s v="Starter"/>
    <s v="September"/>
    <s v="Q3"/>
  </r>
  <r>
    <s v="EOS0732"/>
    <d v="2025-09-10T00:00:00"/>
    <s v="FB"/>
    <s v="Omkar Gauswami"/>
    <s v="Patan"/>
    <x v="14"/>
    <s v="Rejected"/>
    <n v="108000"/>
    <n v="107731"/>
    <s v="Rejected"/>
    <s v="Rejected"/>
    <m/>
    <s v=""/>
    <s v="Starter"/>
    <s v="September"/>
    <s v="Q3"/>
  </r>
  <r>
    <s v="EOS0733"/>
    <d v="2025-09-10T00:00:00"/>
    <s v="FB"/>
    <s v="Koli Amit"/>
    <s v="Vadodara"/>
    <x v="14"/>
    <s v="Rejected"/>
    <n v="130000"/>
    <n v="107732"/>
    <s v="Rejected"/>
    <s v="Rejected"/>
    <m/>
    <s v=""/>
    <s v="Starter"/>
    <s v="September"/>
    <s v="Q3"/>
  </r>
  <r>
    <s v="EOS0734"/>
    <d v="2025-09-10T00:00:00"/>
    <s v="FB"/>
    <s v="Aryankumar Ganeshbhai Bharwad"/>
    <s v="Ahmedabad"/>
    <x v="14"/>
    <s v="Rejected"/>
    <n v="130000"/>
    <n v="107733"/>
    <s v="Rejected"/>
    <s v="Rejected"/>
    <m/>
    <s v=""/>
    <s v="Starter"/>
    <s v="September"/>
    <s v="Q3"/>
  </r>
  <r>
    <s v="EOS0735"/>
    <d v="2025-09-10T00:00:00"/>
    <s v="FB"/>
    <s v="DAVID KATHAD"/>
    <s v="Sutrapada"/>
    <x v="14"/>
    <s v="Rejected"/>
    <n v="177000"/>
    <n v="107734"/>
    <s v="Rejected"/>
    <s v="Rejected"/>
    <m/>
    <s v=""/>
    <s v="Growth"/>
    <s v="September"/>
    <s v="Q3"/>
  </r>
  <r>
    <s v="EOS0736"/>
    <d v="2025-09-10T00:00:00"/>
    <s v="WA"/>
    <s v="Ritesh panchal"/>
    <s v="Vadodara"/>
    <x v="14"/>
    <s v="Deal "/>
    <n v="130000"/>
    <n v="107735"/>
    <s v="Deal"/>
    <s v="Converted"/>
    <d v="2025-09-18T00:00:00"/>
    <n v="8"/>
    <s v="Starter"/>
    <s v="September"/>
    <s v="Q3"/>
  </r>
  <r>
    <s v="EOS0737"/>
    <d v="2025-09-10T00:00:00"/>
    <s v="WA"/>
    <s v="Manohar"/>
    <s v="Vadodara"/>
    <x v="14"/>
    <s v="Rejected"/>
    <n v="130000"/>
    <n v="107736"/>
    <s v="Rejected"/>
    <s v="Rejected"/>
    <m/>
    <s v=""/>
    <s v="Starter"/>
    <s v="September"/>
    <s v="Q3"/>
  </r>
  <r>
    <s v="EOS0738"/>
    <d v="2025-09-11T00:00:00"/>
    <s v="FB"/>
    <s v="Manish Bhoi"/>
    <m/>
    <x v="14"/>
    <s v="Rejected"/>
    <n v="130000"/>
    <n v="107737"/>
    <s v="Rejected"/>
    <s v="Rejected"/>
    <m/>
    <s v=""/>
    <s v="Starter"/>
    <s v="September"/>
    <s v="Q3"/>
  </r>
  <r>
    <s v="EOS0739"/>
    <d v="2025-09-11T00:00:00"/>
    <s v="FB"/>
    <s v="Vinay Attu"/>
    <s v="Dahod"/>
    <x v="14"/>
    <s v="Rejected"/>
    <n v="108000"/>
    <n v="107738"/>
    <s v="Rejected"/>
    <s v="Rejected"/>
    <m/>
    <s v=""/>
    <s v="Starter"/>
    <s v="September"/>
    <s v="Q3"/>
  </r>
  <r>
    <s v="EOS0740"/>
    <d v="2025-09-11T00:00:00"/>
    <s v="FB"/>
    <s v="Rajendersingh Sisodiya"/>
    <s v="Ahmedabad"/>
    <x v="14"/>
    <s v="Rejected"/>
    <n v="108000"/>
    <n v="107739"/>
    <s v="Rejected"/>
    <s v="Rejected"/>
    <m/>
    <s v=""/>
    <s v="Starter"/>
    <s v="September"/>
    <s v="Q3"/>
  </r>
  <r>
    <s v="EOS0741"/>
    <d v="2025-09-11T00:00:00"/>
    <s v="FB"/>
    <s v="HARSH"/>
    <s v="Una"/>
    <x v="14"/>
    <s v="Rejected"/>
    <n v="108000"/>
    <n v="107740"/>
    <s v="Rejected"/>
    <s v="Rejected"/>
    <m/>
    <s v=""/>
    <s v="Starter"/>
    <s v="September"/>
    <s v="Q3"/>
  </r>
  <r>
    <s v="EOS0742"/>
    <d v="2025-09-11T00:00:00"/>
    <s v="FB"/>
    <s v="Chavda"/>
    <m/>
    <x v="14"/>
    <s v="Rejected"/>
    <n v="108000"/>
    <n v="107741"/>
    <s v="Rejected"/>
    <s v="Rejected"/>
    <m/>
    <s v=""/>
    <s v="Starter"/>
    <s v="September"/>
    <s v="Q3"/>
  </r>
  <r>
    <s v="EOS0743"/>
    <d v="2025-09-11T00:00:00"/>
    <s v="FB"/>
    <s v="Mohd Sheikh "/>
    <m/>
    <x v="14"/>
    <s v="Rejected"/>
    <n v="130000"/>
    <n v="107742"/>
    <s v="Rejected"/>
    <s v="Rejected"/>
    <m/>
    <s v=""/>
    <s v="Starter"/>
    <s v="September"/>
    <s v="Q3"/>
  </r>
  <r>
    <s v="EOS0744"/>
    <d v="2025-09-11T00:00:00"/>
    <s v="WA"/>
    <s v="Parmar ramde"/>
    <s v="Bhogat"/>
    <x v="0"/>
    <s v="Rejected"/>
    <n v="130000"/>
    <n v="107743"/>
    <s v="Rejected"/>
    <s v="Rejected"/>
    <m/>
    <s v=""/>
    <s v="Starter"/>
    <s v="September"/>
    <s v="Q3"/>
  </r>
  <r>
    <s v="EOS0745"/>
    <d v="2025-09-12T00:00:00"/>
    <s v="FB"/>
    <s v="Dharmendrasinh Rathod"/>
    <s v="Botad"/>
    <x v="14"/>
    <s v="Rejected"/>
    <n v="177000"/>
    <n v="107744"/>
    <s v="Rejected"/>
    <s v="Rejected"/>
    <m/>
    <s v=""/>
    <s v="Growth"/>
    <s v="September"/>
    <s v="Q3"/>
  </r>
  <r>
    <s v="EOS0746"/>
    <d v="2025-09-12T00:00:00"/>
    <s v="WA"/>
    <s v="Subal das"/>
    <m/>
    <x v="9"/>
    <s v="Rejected"/>
    <n v="177000"/>
    <n v="107745"/>
    <s v="Rejected"/>
    <s v="Rejected"/>
    <m/>
    <s v=""/>
    <s v="Growth"/>
    <s v="September"/>
    <s v="Q3"/>
  </r>
  <r>
    <s v="EOS0747"/>
    <d v="2025-09-12T00:00:00"/>
    <s v="FB"/>
    <s v="Dharmesh Darji"/>
    <s v="Ahmedabad"/>
    <x v="14"/>
    <s v="Rejected"/>
    <n v="108000"/>
    <n v="107746"/>
    <s v="Rejected"/>
    <s v="Rejected"/>
    <m/>
    <s v=""/>
    <s v="Starter"/>
    <s v="September"/>
    <s v="Q3"/>
  </r>
  <r>
    <s v="EOS0748"/>
    <d v="2025-09-12T00:00:00"/>
    <s v="FB"/>
    <s v="Kevalsinh Thakor"/>
    <s v="Patan"/>
    <x v="14"/>
    <s v="Rejected"/>
    <n v="130000"/>
    <n v="107747"/>
    <s v="Rejected"/>
    <s v="Rejected"/>
    <m/>
    <s v=""/>
    <s v="Starter"/>
    <s v="September"/>
    <s v="Q3"/>
  </r>
  <r>
    <s v="EOS0749"/>
    <d v="2025-09-12T00:00:00"/>
    <s v="FB"/>
    <s v="Vishal"/>
    <s v="Santramapur"/>
    <x v="14"/>
    <s v="Rejected"/>
    <n v="108000"/>
    <n v="107748"/>
    <s v="Rejected"/>
    <s v="Rejected"/>
    <m/>
    <s v=""/>
    <s v="Starter"/>
    <s v="September"/>
    <s v="Q3"/>
  </r>
  <r>
    <s v="EOS0750"/>
    <d v="2025-09-12T00:00:00"/>
    <s v="FB"/>
    <s v="Naresh Thakor"/>
    <m/>
    <x v="14"/>
    <s v="Rejected"/>
    <n v="108000"/>
    <n v="107749"/>
    <s v="Rejected"/>
    <s v="Rejected"/>
    <m/>
    <s v=""/>
    <s v="Starter"/>
    <s v="September"/>
    <s v="Q3"/>
  </r>
  <r>
    <s v="EOS0751"/>
    <d v="2025-09-12T00:00:00"/>
    <s v="FB"/>
    <s v="Kasid Malik"/>
    <s v="Jaipur"/>
    <x v="2"/>
    <s v="Rejected"/>
    <n v="108000"/>
    <n v="107750"/>
    <s v="Rejected"/>
    <s v="Rejected"/>
    <m/>
    <s v=""/>
    <s v="Starter"/>
    <s v="September"/>
    <s v="Q3"/>
  </r>
  <r>
    <s v="EOS0752"/>
    <d v="2025-09-12T00:00:00"/>
    <s v="FB"/>
    <s v="Maharaj Saurabh Rawat"/>
    <m/>
    <x v="13"/>
    <s v="Rejected"/>
    <n v="108000"/>
    <n v="107751"/>
    <s v="Rejected"/>
    <s v="Rejected"/>
    <m/>
    <s v=""/>
    <s v="Starter"/>
    <s v="September"/>
    <s v="Q3"/>
  </r>
  <r>
    <s v="EOS0753"/>
    <d v="2025-09-12T00:00:00"/>
    <s v="WA"/>
    <s v="Ankit Bhatia"/>
    <s v="Delhi "/>
    <x v="6"/>
    <s v="Rejected"/>
    <n v="130000"/>
    <n v="107752"/>
    <s v="Rejected"/>
    <s v="Rejected"/>
    <m/>
    <s v=""/>
    <s v="Starter"/>
    <s v="September"/>
    <s v="Q3"/>
  </r>
  <r>
    <s v="EOS0754"/>
    <d v="2025-09-12T00:00:00"/>
    <s v="WA"/>
    <s v="Ameer Meena"/>
    <s v="Jaipur "/>
    <x v="2"/>
    <s v="Rejected"/>
    <n v="108000"/>
    <n v="107753"/>
    <s v="Rejected"/>
    <s v="Rejected"/>
    <m/>
    <s v=""/>
    <s v="Starter"/>
    <s v="September"/>
    <s v="Q3"/>
  </r>
  <r>
    <s v="EOS0755"/>
    <d v="2025-09-12T00:00:00"/>
    <s v="FB"/>
    <s v="Suraj "/>
    <s v="Gandhinagar"/>
    <x v="14"/>
    <s v="Rejected"/>
    <n v="108000"/>
    <n v="107754"/>
    <s v="Rejected"/>
    <s v="Rejected"/>
    <m/>
    <s v=""/>
    <s v="Starter"/>
    <s v="September"/>
    <s v="Q3"/>
  </r>
  <r>
    <s v="EOS0756"/>
    <d v="2025-09-12T00:00:00"/>
    <s v="FB"/>
    <s v="Varu Chhatrajitbhai"/>
    <s v="Amreli"/>
    <x v="14"/>
    <s v="Rejected"/>
    <n v="130000"/>
    <n v="107755"/>
    <s v="Rejected"/>
    <s v="Rejected"/>
    <m/>
    <s v=""/>
    <s v="Starter"/>
    <s v="September"/>
    <s v="Q3"/>
  </r>
  <r>
    <s v="EOS0757"/>
    <d v="2025-09-12T00:00:00"/>
    <s v="FB"/>
    <s v="Dipak parmar"/>
    <s v="Rajpipla"/>
    <x v="14"/>
    <s v="Rejected"/>
    <n v="177000"/>
    <n v="107756"/>
    <s v="Rejected"/>
    <s v="Rejected"/>
    <m/>
    <s v=""/>
    <s v="Growth"/>
    <s v="September"/>
    <s v="Q3"/>
  </r>
  <r>
    <s v="EOS0758"/>
    <d v="2025-09-12T00:00:00"/>
    <s v="FB"/>
    <s v="Premji Vaghel"/>
    <s v="patan "/>
    <x v="14"/>
    <s v="Rejected"/>
    <n v="130000"/>
    <n v="107757"/>
    <s v="Rejected"/>
    <s v="Rejected"/>
    <m/>
    <s v=""/>
    <s v="Starter"/>
    <s v="September"/>
    <s v="Q3"/>
  </r>
  <r>
    <s v="EOS0759"/>
    <d v="2025-09-12T00:00:00"/>
    <s v="FB"/>
    <s v="Farhin mohsi"/>
    <s v="Vadodara"/>
    <x v="14"/>
    <s v="Rejected"/>
    <n v="108000"/>
    <n v="107758"/>
    <s v="Rejected"/>
    <s v="Rejected"/>
    <m/>
    <s v=""/>
    <s v="Starter"/>
    <s v="September"/>
    <s v="Q3"/>
  </r>
  <r>
    <s v="EOS0760"/>
    <d v="2025-09-12T00:00:00"/>
    <s v="FB"/>
    <s v="Darshak"/>
    <s v="Dwarka"/>
    <x v="14"/>
    <s v="Rejected"/>
    <n v="177000"/>
    <n v="107759"/>
    <s v="Rejected"/>
    <s v="Rejected"/>
    <m/>
    <s v=""/>
    <s v="Growth"/>
    <s v="September"/>
    <s v="Q3"/>
  </r>
  <r>
    <s v="EOS0761"/>
    <d v="2025-09-12T00:00:00"/>
    <s v="FB"/>
    <s v="Dhaval Rathod"/>
    <s v="Ahmedabad"/>
    <x v="14"/>
    <s v="Rejected"/>
    <n v="108000"/>
    <n v="107760"/>
    <s v="Rejected"/>
    <s v="Rejected"/>
    <m/>
    <s v=""/>
    <s v="Starter"/>
    <s v="September"/>
    <s v="Q3"/>
  </r>
  <r>
    <s v="EOS0762"/>
    <d v="2025-09-12T00:00:00"/>
    <s v="FB"/>
    <s v="rathod kanaksinh"/>
    <s v="Jamnagar"/>
    <x v="14"/>
    <s v="Rejected"/>
    <n v="130000"/>
    <n v="107761"/>
    <s v="Rejected"/>
    <s v="Rejected"/>
    <m/>
    <s v=""/>
    <s v="Starter"/>
    <s v="September"/>
    <s v="Q3"/>
  </r>
  <r>
    <s v="EOS0763"/>
    <d v="2025-09-13T00:00:00"/>
    <s v="FB"/>
    <s v="Rupak Ranja"/>
    <s v="Surat "/>
    <x v="14"/>
    <s v="Rejected"/>
    <n v="177000"/>
    <n v="107762"/>
    <s v="Rejected"/>
    <s v="Rejected"/>
    <m/>
    <s v=""/>
    <s v="Growth"/>
    <s v="September"/>
    <s v="Q3"/>
  </r>
  <r>
    <s v="EOS0764"/>
    <d v="2025-09-13T00:00:00"/>
    <s v="FB"/>
    <s v="Kiran Modhavadiya"/>
    <s v="porbandra"/>
    <x v="14"/>
    <s v="Rejected"/>
    <n v="308000"/>
    <n v="107763"/>
    <s v="Rejected"/>
    <s v="Rejected"/>
    <m/>
    <s v=""/>
    <s v="Premium"/>
    <s v="September"/>
    <s v="Q3"/>
  </r>
  <r>
    <s v="EOS0765"/>
    <d v="2025-09-13T00:00:00"/>
    <s v="FB"/>
    <s v="Dharesh Gamara"/>
    <m/>
    <x v="13"/>
    <s v="Rejected"/>
    <n v="130000"/>
    <n v="107764"/>
    <s v="Rejected"/>
    <s v="Rejected"/>
    <m/>
    <s v=""/>
    <s v="Starter"/>
    <s v="September"/>
    <s v="Q3"/>
  </r>
  <r>
    <s v="EOS0766"/>
    <d v="2025-09-13T00:00:00"/>
    <s v="FB"/>
    <s v="Hiren Patel"/>
    <s v="Surat "/>
    <x v="0"/>
    <s v="Deal "/>
    <n v="108000"/>
    <n v="107765"/>
    <s v="Deal"/>
    <s v="Converted"/>
    <d v="2025-09-28T00:00:00"/>
    <n v="15"/>
    <s v="Starter"/>
    <s v="September"/>
    <s v="Q3"/>
  </r>
  <r>
    <s v="EOS0767"/>
    <d v="2025-09-13T00:00:00"/>
    <s v="FB"/>
    <s v="Hirani mansukh"/>
    <s v="Bhuj"/>
    <x v="14"/>
    <s v="Rejected"/>
    <n v="108000"/>
    <n v="107766"/>
    <s v="Rejected"/>
    <s v="Rejected"/>
    <m/>
    <s v=""/>
    <s v="Starter"/>
    <s v="September"/>
    <s v="Q3"/>
  </r>
  <r>
    <s v="EOS0768"/>
    <d v="2025-09-13T00:00:00"/>
    <s v="FB"/>
    <s v="Ayzaz"/>
    <s v="Palanpur"/>
    <x v="14"/>
    <s v="Rejected"/>
    <n v="108000"/>
    <n v="107767"/>
    <s v="Rejected"/>
    <s v="Rejected"/>
    <m/>
    <s v=""/>
    <s v="Starter"/>
    <s v="September"/>
    <s v="Q3"/>
  </r>
  <r>
    <s v="EOS0769"/>
    <d v="2025-09-15T00:00:00"/>
    <s v="FB"/>
    <s v="Sunilbhai"/>
    <s v="Vadodara"/>
    <x v="14"/>
    <s v="Rejected"/>
    <n v="108000"/>
    <n v="107768"/>
    <s v="Rejected"/>
    <s v="Rejected"/>
    <m/>
    <s v=""/>
    <s v="Starter"/>
    <s v="September"/>
    <s v="Q3"/>
  </r>
  <r>
    <s v="EOS0770"/>
    <d v="2025-09-15T00:00:00"/>
    <s v="FB"/>
    <s v="Sunil Joshi"/>
    <s v="Vadodara"/>
    <x v="14"/>
    <s v="Rejected"/>
    <n v="130000"/>
    <n v="107769"/>
    <s v="Rejected"/>
    <s v="Rejected"/>
    <m/>
    <s v=""/>
    <s v="Starter"/>
    <s v="September"/>
    <s v="Q3"/>
  </r>
  <r>
    <s v="EOS0771"/>
    <d v="2025-09-15T00:00:00"/>
    <s v="FB"/>
    <s v="Natvarsinh kalyansinh Makavan"/>
    <s v="himmatnagar"/>
    <x v="14"/>
    <s v="Rejected"/>
    <n v="108000"/>
    <n v="107770"/>
    <s v="Rejected"/>
    <s v="Rejected"/>
    <m/>
    <s v=""/>
    <s v="Starter"/>
    <s v="September"/>
    <s v="Q3"/>
  </r>
  <r>
    <s v="EOS0772"/>
    <d v="2025-09-15T00:00:00"/>
    <s v="FB"/>
    <s v="Pulkit Pathak"/>
    <m/>
    <x v="14"/>
    <s v="Rejected"/>
    <n v="108000"/>
    <n v="107771"/>
    <s v="Rejected"/>
    <s v="Rejected"/>
    <m/>
    <s v=""/>
    <s v="Starter"/>
    <s v="September"/>
    <s v="Q3"/>
  </r>
  <r>
    <s v="EOS0773"/>
    <d v="2025-09-15T00:00:00"/>
    <s v="FB"/>
    <s v="Patel rajesh"/>
    <m/>
    <x v="14"/>
    <s v="Rejected"/>
    <n v="177000"/>
    <n v="107772"/>
    <s v="Rejected"/>
    <s v="Rejected"/>
    <m/>
    <s v=""/>
    <s v="Growth"/>
    <s v="September"/>
    <s v="Q3"/>
  </r>
  <r>
    <s v="EOS0774"/>
    <d v="2025-09-15T00:00:00"/>
    <s v="FB"/>
    <s v="Avdhesh Mishra"/>
    <m/>
    <x v="14"/>
    <s v="Rejected"/>
    <n v="130000"/>
    <n v="107773"/>
    <s v="Rejected"/>
    <s v="Rejected"/>
    <m/>
    <s v=""/>
    <s v="Starter"/>
    <s v="September"/>
    <s v="Q3"/>
  </r>
  <r>
    <s v="EOS0775"/>
    <d v="2025-09-15T00:00:00"/>
    <s v="FB"/>
    <s v="savan_thakor_9739"/>
    <s v="Sacan"/>
    <x v="14"/>
    <s v="Rejected"/>
    <n v="130000"/>
    <n v="107774"/>
    <s v="Rejected"/>
    <s v="Rejected"/>
    <m/>
    <s v=""/>
    <s v="Starter"/>
    <s v="September"/>
    <s v="Q3"/>
  </r>
  <r>
    <s v="EOS0776"/>
    <d v="2025-09-15T00:00:00"/>
    <s v="FB"/>
    <s v="Priya"/>
    <m/>
    <x v="14"/>
    <s v="Rejected"/>
    <n v="108000"/>
    <n v="107775"/>
    <s v="Rejected"/>
    <s v="Rejected"/>
    <m/>
    <s v=""/>
    <s v="Starter"/>
    <s v="September"/>
    <s v="Q3"/>
  </r>
  <r>
    <s v="EOS0777"/>
    <d v="2025-09-16T00:00:00"/>
    <s v="FB"/>
    <s v="Shiv"/>
    <s v="Ahmedabad"/>
    <x v="14"/>
    <s v="Rejected"/>
    <n v="108000"/>
    <n v="107776"/>
    <s v="Rejected"/>
    <s v="Rejected"/>
    <m/>
    <s v=""/>
    <s v="Starter"/>
    <s v="September"/>
    <s v="Q3"/>
  </r>
  <r>
    <s v="EOS0778"/>
    <d v="2025-09-16T00:00:00"/>
    <s v="FB"/>
    <s v="Kamil Vahora"/>
    <m/>
    <x v="14"/>
    <s v="Rejected"/>
    <n v="108000"/>
    <n v="107777"/>
    <s v="Rejected"/>
    <s v="Rejected"/>
    <m/>
    <s v=""/>
    <s v="Starter"/>
    <s v="September"/>
    <s v="Q3"/>
  </r>
  <r>
    <s v="EOS0779"/>
    <d v="2025-09-16T00:00:00"/>
    <s v="FB"/>
    <s v="Raja Malik"/>
    <m/>
    <x v="14"/>
    <s v="Rejected"/>
    <n v="177000"/>
    <n v="107778"/>
    <s v="Rejected"/>
    <s v="Rejected"/>
    <m/>
    <s v=""/>
    <s v="Growth"/>
    <s v="September"/>
    <s v="Q3"/>
  </r>
  <r>
    <s v="EOS0780"/>
    <d v="2025-09-18T00:00:00"/>
    <s v="FB"/>
    <s v="Rizwan Khamu"/>
    <s v="Vadodara"/>
    <x v="14"/>
    <s v="Rejected"/>
    <n v="130000"/>
    <n v="107779"/>
    <s v="Rejected"/>
    <s v="Rejected"/>
    <m/>
    <s v=""/>
    <s v="Starter"/>
    <s v="September"/>
    <s v="Q3"/>
  </r>
  <r>
    <s v="EOS0781"/>
    <d v="2025-09-18T00:00:00"/>
    <s v="FB"/>
    <s v="Mayur boliya"/>
    <m/>
    <x v="14"/>
    <s v="Rejected"/>
    <n v="108000"/>
    <n v="107780"/>
    <s v="Rejected"/>
    <s v="Rejected"/>
    <m/>
    <s v=""/>
    <s v="Starter"/>
    <s v="September"/>
    <s v="Q3"/>
  </r>
  <r>
    <s v="EOS0782"/>
    <d v="2025-09-18T00:00:00"/>
    <s v="FB"/>
    <s v="Moghaji"/>
    <m/>
    <x v="14"/>
    <s v="Rejected"/>
    <n v="130000"/>
    <n v="107781"/>
    <s v="Rejected"/>
    <s v="Rejected"/>
    <m/>
    <s v=""/>
    <s v="Starter"/>
    <s v="September"/>
    <s v="Q3"/>
  </r>
  <r>
    <s v="EOS0783"/>
    <d v="2025-09-19T00:00:00"/>
    <s v="FB"/>
    <s v="Meet bhansali"/>
    <s v="Surat "/>
    <x v="14"/>
    <s v="Rejected"/>
    <n v="108000"/>
    <n v="107782"/>
    <s v="Rejected"/>
    <s v="Rejected"/>
    <m/>
    <s v=""/>
    <s v="Starter"/>
    <s v="September"/>
    <s v="Q3"/>
  </r>
  <r>
    <s v="EOS0784"/>
    <d v="2025-09-19T00:00:00"/>
    <s v="FB"/>
    <s v="Rushikesh Solanki"/>
    <s v=" Bhavnagar"/>
    <x v="14"/>
    <s v="Rejected"/>
    <n v="108000"/>
    <n v="107783"/>
    <s v="Rejected"/>
    <s v="Rejected"/>
    <m/>
    <s v=""/>
    <s v="Starter"/>
    <s v="September"/>
    <s v="Q3"/>
  </r>
  <r>
    <s v="EOS0785"/>
    <d v="2025-09-19T00:00:00"/>
    <s v="FB"/>
    <s v="Bhagirath Kucha"/>
    <m/>
    <x v="14"/>
    <s v="Rejected"/>
    <n v="130000"/>
    <n v="107784"/>
    <s v="Rejected"/>
    <s v="Rejected"/>
    <m/>
    <s v=""/>
    <s v="Starter"/>
    <s v="September"/>
    <s v="Q3"/>
  </r>
  <r>
    <s v="EOS0786"/>
    <d v="2025-09-19T00:00:00"/>
    <s v="FB"/>
    <s v="vaibhav Patel"/>
    <m/>
    <x v="14"/>
    <s v="Rejected"/>
    <n v="130000"/>
    <n v="107785"/>
    <s v="Rejected"/>
    <s v="Rejected"/>
    <m/>
    <s v=""/>
    <s v="Starter"/>
    <s v="September"/>
    <s v="Q3"/>
  </r>
  <r>
    <s v="EOS0787"/>
    <d v="2025-09-19T00:00:00"/>
    <s v="FB"/>
    <s v="Sandip Pandya"/>
    <s v="Gandhinagar"/>
    <x v="14"/>
    <s v="Rejected"/>
    <n v="130000"/>
    <n v="107786"/>
    <s v="Rejected"/>
    <s v="Rejected"/>
    <m/>
    <s v=""/>
    <s v="Starter"/>
    <s v="September"/>
    <s v="Q3"/>
  </r>
  <r>
    <s v="EOS0788"/>
    <d v="2025-09-20T00:00:00"/>
    <s v="FB"/>
    <s v="Jugal Rathod"/>
    <s v="Surat"/>
    <x v="14"/>
    <s v="Rejected"/>
    <n v="177000"/>
    <n v="107787"/>
    <s v="Rejected"/>
    <s v="Rejected"/>
    <m/>
    <s v=""/>
    <s v="Growth"/>
    <s v="September"/>
    <s v="Q3"/>
  </r>
  <r>
    <s v="EOS0789"/>
    <d v="2025-09-20T00:00:00"/>
    <s v="FB"/>
    <s v="VIMLESH PATEL"/>
    <s v="Surat "/>
    <x v="14"/>
    <s v="Rejected"/>
    <n v="108000"/>
    <n v="107788"/>
    <s v="Rejected"/>
    <s v="Rejected"/>
    <m/>
    <s v=""/>
    <s v="Starter"/>
    <s v="September"/>
    <s v="Q3"/>
  </r>
  <r>
    <s v="EOS0790"/>
    <d v="2025-09-20T00:00:00"/>
    <s v="FB"/>
    <s v="Mohsin pinjari"/>
    <s v="Surat "/>
    <x v="14"/>
    <s v="Rejected"/>
    <n v="108000"/>
    <n v="107789"/>
    <s v="Rejected"/>
    <s v="Rejected"/>
    <m/>
    <s v=""/>
    <s v="Starter"/>
    <s v="September"/>
    <s v="Q3"/>
  </r>
  <r>
    <s v="EOS0791"/>
    <d v="2025-09-20T00:00:00"/>
    <s v="FB"/>
    <s v="DIXIT PANDYA"/>
    <s v="Surat "/>
    <x v="14"/>
    <s v="Rejected"/>
    <n v="177000"/>
    <n v="107790"/>
    <s v="Rejected"/>
    <s v="Rejected"/>
    <m/>
    <s v=""/>
    <s v="Growth"/>
    <s v="September"/>
    <s v="Q3"/>
  </r>
  <r>
    <s v="EOS0792"/>
    <d v="2025-09-20T00:00:00"/>
    <s v="FB"/>
    <s v="VISHAL MAKWAN"/>
    <s v="Ahmedabad"/>
    <x v="14"/>
    <s v="Rejected"/>
    <n v="177000"/>
    <n v="107791"/>
    <s v="Rejected"/>
    <s v="Rejected"/>
    <m/>
    <s v=""/>
    <s v="Growth"/>
    <s v="September"/>
    <s v="Q3"/>
  </r>
  <r>
    <s v="EOS0793"/>
    <d v="2025-09-20T00:00:00"/>
    <s v="FB"/>
    <s v="Pratik Savliya"/>
    <s v="Amreli"/>
    <x v="14"/>
    <s v="Rejected"/>
    <n v="108000"/>
    <n v="107792"/>
    <s v="Rejected"/>
    <s v="Rejected"/>
    <m/>
    <s v=""/>
    <s v="Starter"/>
    <s v="September"/>
    <s v="Q3"/>
  </r>
  <r>
    <s v="EOS0794"/>
    <d v="2025-09-20T00:00:00"/>
    <s v="FB"/>
    <s v="Satish"/>
    <s v="Surendranagar"/>
    <x v="14"/>
    <s v="Rejected"/>
    <n v="108000"/>
    <n v="107793"/>
    <s v="Rejected"/>
    <s v="Rejected"/>
    <m/>
    <s v=""/>
    <s v="Starter"/>
    <s v="September"/>
    <s v="Q3"/>
  </r>
  <r>
    <s v="EOS0795"/>
    <d v="2025-09-20T00:00:00"/>
    <s v="FB"/>
    <s v="Mukesh Paida"/>
    <s v="Gandhinagar"/>
    <x v="14"/>
    <s v="Rejected"/>
    <n v="130000"/>
    <n v="107794"/>
    <s v="Rejected"/>
    <s v="Rejected"/>
    <m/>
    <s v=""/>
    <s v="Starter"/>
    <s v="September"/>
    <s v="Q3"/>
  </r>
  <r>
    <s v="EOS0796"/>
    <d v="2025-09-20T00:00:00"/>
    <s v="FB"/>
    <s v="Parag Pandya"/>
    <s v="Rajkot"/>
    <x v="14"/>
    <s v="Rejected"/>
    <n v="130000"/>
    <n v="107795"/>
    <s v="Rejected"/>
    <s v="Rejected"/>
    <m/>
    <s v=""/>
    <s v="Starter"/>
    <s v="September"/>
    <s v="Q3"/>
  </r>
  <r>
    <s v="EOS0797"/>
    <d v="2025-09-20T00:00:00"/>
    <s v="FB"/>
    <s v="Gohil "/>
    <m/>
    <x v="14"/>
    <s v="Rejected"/>
    <n v="130000"/>
    <n v="107796"/>
    <s v="Rejected"/>
    <s v="Rejected"/>
    <m/>
    <s v=""/>
    <s v="Starter"/>
    <s v="September"/>
    <s v="Q3"/>
  </r>
  <r>
    <s v="EOS0798"/>
    <d v="2025-09-20T00:00:00"/>
    <s v="FB"/>
    <s v="Parmar Ajay"/>
    <s v="Surat"/>
    <x v="14"/>
    <s v="Rejected"/>
    <n v="177000"/>
    <n v="107797"/>
    <s v="Rejected"/>
    <s v="Rejected"/>
    <m/>
    <s v=""/>
    <s v="Growth"/>
    <s v="September"/>
    <s v="Q3"/>
  </r>
  <r>
    <s v="EOS0799"/>
    <d v="2025-09-22T00:00:00"/>
    <s v="FB"/>
    <s v="Yagnik Malani"/>
    <s v="Kundla "/>
    <x v="14"/>
    <s v="Rejected"/>
    <n v="108000"/>
    <n v="107798"/>
    <s v="Rejected"/>
    <s v="Rejected"/>
    <m/>
    <s v=""/>
    <s v="Starter"/>
    <s v="September"/>
    <s v="Q3"/>
  </r>
  <r>
    <s v="EOS0800"/>
    <d v="2025-09-22T00:00:00"/>
    <s v="FB"/>
    <s v="Iqbal Patel"/>
    <s v="Bharuch"/>
    <x v="14"/>
    <s v="Rejected"/>
    <n v="108000"/>
    <n v="107799"/>
    <s v="Rejected"/>
    <s v="Rejected"/>
    <m/>
    <s v=""/>
    <s v="Starter"/>
    <s v="September"/>
    <s v="Q3"/>
  </r>
  <r>
    <s v="EOS0801"/>
    <d v="2025-09-22T00:00:00"/>
    <s v="FB"/>
    <s v="Paresh Dhobi"/>
    <m/>
    <x v="14"/>
    <s v="Rejected"/>
    <n v="130000"/>
    <n v="107800"/>
    <s v="Rejected"/>
    <s v="Rejected"/>
    <m/>
    <s v=""/>
    <s v="Starter"/>
    <s v="September"/>
    <s v="Q3"/>
  </r>
  <r>
    <s v="EOS0802"/>
    <d v="2025-09-22T00:00:00"/>
    <s v="FB"/>
    <s v="Emran Shekh"/>
    <s v="Jafarabad"/>
    <x v="14"/>
    <s v="Rejected"/>
    <n v="108000"/>
    <n v="107801"/>
    <s v="Rejected"/>
    <s v="Rejected"/>
    <m/>
    <s v=""/>
    <s v="Starter"/>
    <s v="September"/>
    <s v="Q3"/>
  </r>
  <r>
    <s v="EOS0803"/>
    <d v="2025-09-22T00:00:00"/>
    <s v="FB"/>
    <s v="rohit_18"/>
    <s v="Jambusar"/>
    <x v="14"/>
    <s v="Rejected"/>
    <n v="108000"/>
    <n v="107802"/>
    <s v="Rejected"/>
    <s v="Rejected"/>
    <m/>
    <s v=""/>
    <s v="Starter"/>
    <s v="September"/>
    <s v="Q3"/>
  </r>
  <r>
    <s v="EOS0804"/>
    <d v="2025-09-22T00:00:00"/>
    <s v="FB"/>
    <s v="BAVALIYA ASHOKBHAI"/>
    <s v="Botad "/>
    <x v="14"/>
    <s v="Rejected"/>
    <n v="130000"/>
    <n v="107803"/>
    <s v="Rejected"/>
    <s v="Rejected"/>
    <m/>
    <s v=""/>
    <s v="Starter"/>
    <s v="September"/>
    <s v="Q3"/>
  </r>
  <r>
    <s v="EOS0805"/>
    <d v="2025-09-22T00:00:00"/>
    <s v="FB"/>
    <s v="Riyaz Saiyed Qutbi"/>
    <s v="Anand "/>
    <x v="14"/>
    <s v="Rejected"/>
    <n v="130000"/>
    <n v="107804"/>
    <s v="Rejected"/>
    <s v="Rejected"/>
    <m/>
    <s v=""/>
    <s v="Starter"/>
    <s v="September"/>
    <s v="Q3"/>
  </r>
  <r>
    <s v="EOS0806"/>
    <d v="2025-09-22T00:00:00"/>
    <s v="FB"/>
    <s v="Naresh Boliya"/>
    <s v="surat"/>
    <x v="14"/>
    <s v="Rejected"/>
    <n v="130000"/>
    <n v="107805"/>
    <s v="Rejected"/>
    <s v="Rejected"/>
    <m/>
    <s v=""/>
    <s v="Starter"/>
    <s v="September"/>
    <s v="Q3"/>
  </r>
  <r>
    <s v="EOS0807"/>
    <d v="2025-09-22T00:00:00"/>
    <s v="FB"/>
    <s v="Suyansh Rojiya"/>
    <s v="surat"/>
    <x v="14"/>
    <s v="Rejected"/>
    <n v="130000"/>
    <n v="107806"/>
    <s v="Rejected"/>
    <s v="Rejected"/>
    <m/>
    <s v=""/>
    <s v="Starter"/>
    <s v="September"/>
    <s v="Q3"/>
  </r>
  <r>
    <s v="EOS0808"/>
    <d v="2025-09-22T00:00:00"/>
    <s v="FB"/>
    <s v="Dhrutish Prajapati"/>
    <s v="kadi "/>
    <x v="14"/>
    <s v="Rejected"/>
    <n v="130000"/>
    <n v="107807"/>
    <s v="Rejected"/>
    <s v="Rejected"/>
    <m/>
    <s v=""/>
    <s v="Starter"/>
    <s v="September"/>
    <s v="Q3"/>
  </r>
  <r>
    <s v="EOS0809"/>
    <d v="2025-09-22T00:00:00"/>
    <s v="FB"/>
    <s v="Kalariya Vijay"/>
    <s v="Upetla "/>
    <x v="14"/>
    <s v="Rejected"/>
    <n v="108000"/>
    <n v="107808"/>
    <s v="Rejected"/>
    <s v="Rejected"/>
    <m/>
    <s v=""/>
    <s v="Starter"/>
    <s v="September"/>
    <s v="Q3"/>
  </r>
  <r>
    <s v="EOS0810"/>
    <d v="2025-09-22T00:00:00"/>
    <s v="FB"/>
    <s v="Mukesh Chaudhary"/>
    <s v="Tarad "/>
    <x v="14"/>
    <s v="Rejected"/>
    <n v="108000"/>
    <n v="107809"/>
    <s v="Rejected"/>
    <s v="Rejected"/>
    <m/>
    <s v=""/>
    <s v="Starter"/>
    <s v="September"/>
    <s v="Q3"/>
  </r>
  <r>
    <s v="EOS0811"/>
    <d v="2025-09-23T00:00:00"/>
    <s v="FB"/>
    <s v="Kanabhai Chauhan"/>
    <s v="Palanpur"/>
    <x v="14"/>
    <s v="Rejected"/>
    <n v="177000"/>
    <n v="107810"/>
    <s v="Rejected"/>
    <s v="Rejected"/>
    <m/>
    <s v=""/>
    <s v="Growth"/>
    <s v="September"/>
    <s v="Q3"/>
  </r>
  <r>
    <s v="EOS0812"/>
    <d v="2025-09-23T00:00:00"/>
    <s v="FB"/>
    <s v="Barkat Mehar"/>
    <s v="Tharad"/>
    <x v="14"/>
    <s v="Rejected"/>
    <n v="108000"/>
    <n v="107811"/>
    <s v="Rejected"/>
    <s v="Rejected"/>
    <m/>
    <s v=""/>
    <s v="Starter"/>
    <s v="September"/>
    <s v="Q3"/>
  </r>
  <r>
    <s v="EOS0813"/>
    <d v="2025-09-23T00:00:00"/>
    <s v="FB"/>
    <s v="Huzaifa Mulla"/>
    <s v="Chikali"/>
    <x v="14"/>
    <s v="Rejected"/>
    <n v="108000"/>
    <n v="107812"/>
    <s v="Rejected"/>
    <s v="Rejected"/>
    <m/>
    <s v=""/>
    <s v="Starter"/>
    <s v="September"/>
    <s v="Q3"/>
  </r>
  <r>
    <s v="EOS0814"/>
    <d v="2025-09-23T00:00:00"/>
    <s v="FB"/>
    <s v="Mahek Kher"/>
    <s v="Amreli"/>
    <x v="14"/>
    <s v="Rejected"/>
    <n v="108000"/>
    <n v="107813"/>
    <s v="Rejected"/>
    <s v="Rejected"/>
    <m/>
    <s v=""/>
    <s v="Starter"/>
    <s v="September"/>
    <s v="Q3"/>
  </r>
  <r>
    <s v="EOS0815"/>
    <d v="2025-09-23T00:00:00"/>
    <s v="FB"/>
    <s v="Kishan Kanmiya"/>
    <s v=" Bhavnagar"/>
    <x v="14"/>
    <s v="Rejected"/>
    <n v="177000"/>
    <n v="107814"/>
    <s v="Rejected"/>
    <s v="Rejected"/>
    <m/>
    <s v=""/>
    <s v="Growth"/>
    <s v="September"/>
    <s v="Q3"/>
  </r>
  <r>
    <s v="EOS0816"/>
    <d v="2025-09-23T00:00:00"/>
    <s v="FB"/>
    <s v="rathod Pradipsinh"/>
    <s v="Ahmedabad"/>
    <x v="14"/>
    <s v="Rejected"/>
    <n v="130000"/>
    <n v="107815"/>
    <s v="Rejected"/>
    <s v="Rejected"/>
    <m/>
    <s v=""/>
    <s v="Starter"/>
    <s v="September"/>
    <s v="Q3"/>
  </r>
  <r>
    <s v="EOS0817"/>
    <d v="2025-09-23T00:00:00"/>
    <s v="WA"/>
    <s v="Raj"/>
    <s v="Surat "/>
    <x v="14"/>
    <s v="Rejected"/>
    <n v="108000"/>
    <n v="107816"/>
    <s v="Rejected"/>
    <s v="Rejected"/>
    <m/>
    <s v=""/>
    <s v="Starter"/>
    <s v="September"/>
    <s v="Q3"/>
  </r>
  <r>
    <s v="EOS0818"/>
    <d v="2025-09-23T00:00:00"/>
    <s v="WA"/>
    <s v="Firoz"/>
    <s v="kalol"/>
    <x v="14"/>
    <s v="Rejected"/>
    <n v="177000"/>
    <n v="107817"/>
    <s v="Rejected"/>
    <s v="Rejected"/>
    <m/>
    <s v=""/>
    <s v="Growth"/>
    <s v="September"/>
    <s v="Q3"/>
  </r>
  <r>
    <s v="EOS0819"/>
    <d v="2025-09-25T00:00:00"/>
    <s v="FB"/>
    <s v="Mohit "/>
    <s v="Rajkot"/>
    <x v="14"/>
    <s v="Rejected"/>
    <n v="108000"/>
    <n v="107818"/>
    <s v="Rejected"/>
    <s v="Rejected"/>
    <m/>
    <s v=""/>
    <s v="Starter"/>
    <s v="September"/>
    <s v="Q3"/>
  </r>
  <r>
    <s v="EOS0820"/>
    <d v="2025-09-24T00:00:00"/>
    <s v="FB"/>
    <s v="Sheth Ankit"/>
    <m/>
    <x v="14"/>
    <s v="Rejected"/>
    <n v="108000"/>
    <n v="107819"/>
    <s v="Rejected"/>
    <s v="Rejected"/>
    <m/>
    <s v=""/>
    <s v="Starter"/>
    <s v="September"/>
    <s v="Q3"/>
  </r>
  <r>
    <s v="EOS0821"/>
    <d v="2025-09-25T00:00:00"/>
    <s v="FB"/>
    <s v="Mayur Ratiya"/>
    <s v="porbandra "/>
    <x v="14"/>
    <s v="Rejected"/>
    <n v="108000"/>
    <n v="107820"/>
    <s v="Rejected"/>
    <s v="Rejected"/>
    <m/>
    <s v=""/>
    <s v="Starter"/>
    <s v="September"/>
    <s v="Q3"/>
  </r>
  <r>
    <s v="EOS0822"/>
    <d v="2025-09-24T00:00:00"/>
    <s v="FB"/>
    <s v="Mahmad Iqbal Sheikh"/>
    <s v=" Bhavnagar"/>
    <x v="14"/>
    <s v="Rejected"/>
    <n v="108000"/>
    <n v="107821"/>
    <s v="Rejected"/>
    <s v="Rejected"/>
    <m/>
    <s v=""/>
    <s v="Starter"/>
    <s v="September"/>
    <s v="Q3"/>
  </r>
  <r>
    <s v="EOS0823"/>
    <d v="2025-09-25T00:00:00"/>
    <s v="FB"/>
    <s v="Jagdish Chauhan"/>
    <s v="Tarapur"/>
    <x v="14"/>
    <s v="Rejected"/>
    <n v="130000"/>
    <n v="107822"/>
    <s v="Rejected"/>
    <s v="Rejected"/>
    <m/>
    <s v=""/>
    <s v="Starter"/>
    <s v="September"/>
    <s v="Q3"/>
  </r>
  <r>
    <s v="EOS0824"/>
    <d v="2025-09-25T00:00:00"/>
    <s v="WA"/>
    <s v="SHAH KEYUR PARESHBHAI"/>
    <s v="Nadiad"/>
    <x v="14"/>
    <s v="Rejected"/>
    <n v="177000"/>
    <n v="107823"/>
    <s v="Rejected"/>
    <s v="Rejected"/>
    <m/>
    <s v=""/>
    <s v="Growth"/>
    <s v="September"/>
    <s v="Q3"/>
  </r>
  <r>
    <s v="EOS0825"/>
    <d v="2025-09-25T00:00:00"/>
    <s v="FB"/>
    <s v="Baraiya Darshu"/>
    <m/>
    <x v="14"/>
    <s v="Rejected"/>
    <n v="108000"/>
    <n v="107824"/>
    <s v="Rejected"/>
    <s v="Rejected"/>
    <m/>
    <s v=""/>
    <s v="Starter"/>
    <s v="September"/>
    <s v="Q3"/>
  </r>
  <r>
    <s v="EOS0826"/>
    <d v="2025-09-25T00:00:00"/>
    <s v="FB"/>
    <s v="Piyush Rathod"/>
    <s v="Dhawka "/>
    <x v="14"/>
    <s v="Follow up "/>
    <n v="130000"/>
    <n v="107825"/>
    <s v="Follow up"/>
    <s v="Follow Up"/>
    <m/>
    <s v=""/>
    <s v="Starter"/>
    <s v="September"/>
    <s v="Q3"/>
  </r>
  <r>
    <s v="EOS0827"/>
    <d v="2025-09-25T00:00:00"/>
    <s v="FB"/>
    <s v="Ankur Gamit"/>
    <s v="Surat "/>
    <x v="14"/>
    <s v="Follow up "/>
    <n v="108000"/>
    <n v="107826"/>
    <s v="Follow up"/>
    <s v="Follow Up"/>
    <m/>
    <s v=""/>
    <s v="Starter"/>
    <s v="September"/>
    <s v="Q3"/>
  </r>
  <r>
    <s v="EOS0828"/>
    <d v="2025-09-25T00:00:00"/>
    <s v="FB"/>
    <s v="Lokesh"/>
    <s v="Ahmedabad "/>
    <x v="14"/>
    <s v="Follow up "/>
    <n v="108000"/>
    <n v="107827"/>
    <s v="Follow up"/>
    <s v="Follow Up"/>
    <m/>
    <s v=""/>
    <s v="Starter"/>
    <s v="September"/>
    <s v="Q3"/>
  </r>
  <r>
    <s v="EOS0829"/>
    <d v="2025-09-25T00:00:00"/>
    <s v="FB"/>
    <s v="Jaypalsinh Chauhan"/>
    <s v="UMRETH"/>
    <x v="14"/>
    <s v="Follow up "/>
    <n v="108000"/>
    <n v="107828"/>
    <s v="Follow up"/>
    <s v="Follow Up"/>
    <m/>
    <s v=""/>
    <s v="Starter"/>
    <s v="September"/>
    <s v="Q3"/>
  </r>
  <r>
    <s v="EOS0830"/>
    <d v="2025-09-27T00:00:00"/>
    <s v="FB"/>
    <s v="Meena ben parek"/>
    <m/>
    <x v="14"/>
    <s v="Rejected"/>
    <n v="108000"/>
    <n v="107829"/>
    <s v="Rejected"/>
    <s v="Rejected"/>
    <m/>
    <s v=""/>
    <s v="Starter"/>
    <s v="September"/>
    <s v="Q3"/>
  </r>
  <r>
    <s v="EOS0831"/>
    <d v="2025-09-27T00:00:00"/>
    <s v="FB"/>
    <s v="Adil Modasiya"/>
    <s v="Dahod"/>
    <x v="14"/>
    <s v="Rejected"/>
    <n v="130000"/>
    <n v="107830"/>
    <s v="Rejected"/>
    <s v="Rejected"/>
    <m/>
    <s v=""/>
    <s v="Starter"/>
    <s v="September"/>
    <s v="Q3"/>
  </r>
  <r>
    <s v="EOS0832"/>
    <d v="2025-09-27T00:00:00"/>
    <s v="FB"/>
    <s v="Pratap"/>
    <s v="rajkot"/>
    <x v="14"/>
    <s v="Rejected"/>
    <n v="108000"/>
    <n v="107831"/>
    <s v="Rejected"/>
    <s v="Rejected"/>
    <m/>
    <s v=""/>
    <s v="Starter"/>
    <s v="September"/>
    <s v="Q3"/>
  </r>
  <r>
    <s v="EOS0833"/>
    <d v="2025-09-27T00:00:00"/>
    <s v="FB"/>
    <s v="Jay rakholiya"/>
    <s v="Gondal "/>
    <x v="14"/>
    <s v="Rejected"/>
    <n v="177000"/>
    <n v="107832"/>
    <s v="Rejected"/>
    <s v="Rejected"/>
    <m/>
    <s v=""/>
    <s v="Growth"/>
    <s v="September"/>
    <s v="Q3"/>
  </r>
  <r>
    <s v="EOS0834"/>
    <d v="2025-09-27T00:00:00"/>
    <s v="FB"/>
    <s v="Ashish"/>
    <s v="Jamnagar"/>
    <x v="14"/>
    <s v="Rejected"/>
    <n v="108000"/>
    <n v="107833"/>
    <s v="Rejected"/>
    <s v="Rejected"/>
    <m/>
    <s v=""/>
    <s v="Starter"/>
    <s v="September"/>
    <s v="Q3"/>
  </r>
  <r>
    <s v="EOS0835"/>
    <d v="2025-09-27T00:00:00"/>
    <s v="FB"/>
    <s v="Satish Ahir"/>
    <s v="Rajkot"/>
    <x v="14"/>
    <s v="Follow up "/>
    <n v="130000"/>
    <n v="107834"/>
    <s v="Follow up"/>
    <s v="Follow Up"/>
    <m/>
    <s v=""/>
    <s v="Starter"/>
    <s v="September"/>
    <s v="Q3"/>
  </r>
  <r>
    <s v="EOS0836"/>
    <d v="2025-09-28T00:00:00"/>
    <s v="FB"/>
    <s v="Atul Raval"/>
    <s v="Ahmedabad"/>
    <x v="14"/>
    <s v="Follow up "/>
    <n v="130000"/>
    <n v="107835"/>
    <s v="Follow up"/>
    <s v="Follow Up"/>
    <m/>
    <s v=""/>
    <s v="Starter"/>
    <s v="September"/>
    <s v="Q3"/>
  </r>
  <r>
    <s v="EOS0837"/>
    <d v="2025-09-28T00:00:00"/>
    <s v="FB"/>
    <s v="Krunal"/>
    <s v="patan "/>
    <x v="14"/>
    <s v="Follow up "/>
    <n v="130000"/>
    <n v="107836"/>
    <s v="Follow up"/>
    <s v="Follow Up"/>
    <m/>
    <s v=""/>
    <s v="Starter"/>
    <s v="September"/>
    <s v="Q3"/>
  </r>
  <r>
    <s v="EOS0838"/>
    <d v="2025-09-28T00:00:00"/>
    <s v="FB"/>
    <s v="charoliya safvan"/>
    <s v="patan "/>
    <x v="14"/>
    <s v="Rejected"/>
    <n v="108000"/>
    <n v="107837"/>
    <s v="Rejected"/>
    <s v="Rejected"/>
    <m/>
    <s v=""/>
    <s v="Starter"/>
    <s v="September"/>
    <s v="Q3"/>
  </r>
  <r>
    <s v="EOS0839"/>
    <d v="2025-09-28T00:00:00"/>
    <s v="FB"/>
    <s v="Kamlesh Kamlesh"/>
    <s v="Gandhinagar"/>
    <x v="14"/>
    <s v="Follow up "/>
    <n v="108000"/>
    <n v="107838"/>
    <s v="Follow up"/>
    <s v="Follow Up"/>
    <m/>
    <s v=""/>
    <s v="Starter"/>
    <s v="September"/>
    <s v="Q3"/>
  </r>
  <r>
    <s v="EOS0840"/>
    <d v="2025-09-29T00:00:00"/>
    <s v="FB"/>
    <s v="Aasim Sherpurawala"/>
    <s v="Bharuch"/>
    <x v="14"/>
    <s v="Follow up "/>
    <n v="130000"/>
    <n v="107839"/>
    <s v="Follow up"/>
    <s v="Follow Up"/>
    <m/>
    <s v=""/>
    <s v="Starter"/>
    <s v="September"/>
    <s v="Q3"/>
  </r>
  <r>
    <s v="EOS0841"/>
    <d v="2025-09-29T00:00:00"/>
    <s v="FB"/>
    <s v="Md.Safi Shah"/>
    <s v="Botad"/>
    <x v="14"/>
    <s v="Follow up "/>
    <n v="130000"/>
    <n v="107840"/>
    <s v="Follow up"/>
    <s v="Follow Up"/>
    <m/>
    <s v=""/>
    <s v="Starter"/>
    <s v="September"/>
    <s v="Q3"/>
  </r>
  <r>
    <s v="EOS0842"/>
    <d v="2025-09-29T00:00:00"/>
    <s v="FB"/>
    <s v="Akram "/>
    <s v="Ulpeta "/>
    <x v="14"/>
    <s v="Rejected"/>
    <n v="130000"/>
    <n v="107841"/>
    <s v="Rejected"/>
    <s v="Rejected"/>
    <m/>
    <s v=""/>
    <s v="Starter"/>
    <s v="September"/>
    <s v="Q3"/>
  </r>
  <r>
    <s v="EOS0843"/>
    <d v="2025-09-29T00:00:00"/>
    <s v="FB"/>
    <s v="Mori parvin"/>
    <s v="Ahmedabad"/>
    <x v="14"/>
    <s v="Rejected"/>
    <n v="108000"/>
    <n v="107842"/>
    <s v="Rejected"/>
    <s v="Rejected"/>
    <m/>
    <s v=""/>
    <s v="Starter"/>
    <s v="September"/>
    <s v="Q3"/>
  </r>
  <r>
    <s v="EOS0844"/>
    <d v="2025-09-30T00:00:00"/>
    <s v="FB"/>
    <s v="Sheikh Adnan"/>
    <s v="Porbandra "/>
    <x v="14"/>
    <s v="Rejected"/>
    <n v="130000"/>
    <n v="107843"/>
    <s v="Rejected"/>
    <s v="Rejected"/>
    <m/>
    <s v=""/>
    <s v="Starter"/>
    <s v="September"/>
    <s v="Q3"/>
  </r>
  <r>
    <s v="EOS0845"/>
    <d v="2025-09-30T00:00:00"/>
    <s v="FB"/>
    <s v="Shahrukh Kadiwala"/>
    <s v="Dhaboi"/>
    <x v="14"/>
    <s v="Follow up "/>
    <n v="108000"/>
    <n v="107844"/>
    <s v="Follow up"/>
    <s v="Follow Up"/>
    <m/>
    <s v=""/>
    <s v="Starter"/>
    <s v="September"/>
    <s v="Q3"/>
  </r>
  <r>
    <s v="EOS0846"/>
    <d v="2025-09-30T00:00:00"/>
    <s v="FB"/>
    <s v="Shubham "/>
    <m/>
    <x v="14"/>
    <s v="Follow up "/>
    <n v="108000"/>
    <n v="107845"/>
    <s v="Follow up"/>
    <s v="Follow Up"/>
    <m/>
    <s v=""/>
    <s v="Starter"/>
    <s v="September"/>
    <s v="Q3"/>
  </r>
  <r>
    <s v="EOS0847"/>
    <d v="2025-09-30T00:00:00"/>
    <s v="FB"/>
    <s v="Mushtaq kapadia"/>
    <s v="Surat "/>
    <x v="14"/>
    <s v="Follow up "/>
    <n v="108000"/>
    <n v="107846"/>
    <s v="Follow up"/>
    <s v="Follow Up"/>
    <m/>
    <s v=""/>
    <s v="Starter"/>
    <s v="September"/>
    <s v="Q3"/>
  </r>
  <r>
    <s v="EOS0848"/>
    <d v="2025-10-01T00:00:00"/>
    <s v="FB"/>
    <s v="himanshu ( Girish)"/>
    <s v="Mehsana"/>
    <x v="14"/>
    <s v="Follow up "/>
    <n v="108000"/>
    <n v="107847"/>
    <s v="Follow up"/>
    <s v="Follow Up"/>
    <m/>
    <s v=""/>
    <s v="Starter"/>
    <s v="October"/>
    <s v="Q4"/>
  </r>
  <r>
    <s v="EOS0849"/>
    <d v="2025-09-30T00:00:00"/>
    <s v="FB"/>
    <s v="Harish Panchal"/>
    <s v="Limdi"/>
    <x v="14"/>
    <s v="Rejected"/>
    <n v="130000"/>
    <n v="107848"/>
    <s v="Rejected"/>
    <s v="Rejected"/>
    <m/>
    <s v=""/>
    <s v="Starter"/>
    <s v="September"/>
    <s v="Q3"/>
  </r>
  <r>
    <s v="EOS0850"/>
    <d v="2025-09-30T00:00:00"/>
    <s v="FB"/>
    <s v="Mohan desai"/>
    <s v="Ahmedabad"/>
    <x v="14"/>
    <s v="Rejected"/>
    <n v="108000"/>
    <n v="107849"/>
    <s v="Rejected"/>
    <s v="Rejected"/>
    <m/>
    <s v=""/>
    <s v="Starter"/>
    <s v="September"/>
    <s v="Q3"/>
  </r>
  <r>
    <s v="EOS0851"/>
    <d v="2025-09-30T00:00:00"/>
    <s v="FB"/>
    <s v="chigs@Gym Love"/>
    <s v="Ahmedabad"/>
    <x v="14"/>
    <s v="Follow up "/>
    <n v="108000"/>
    <n v="107850"/>
    <s v="Follow up"/>
    <s v="Follow Up"/>
    <m/>
    <s v=""/>
    <s v="Starter"/>
    <s v="September"/>
    <s v="Q3"/>
  </r>
  <r>
    <s v="EOS0852"/>
    <d v="2025-10-03T00:00:00"/>
    <s v="FB"/>
    <s v="Vaghela Rahul Kaushik"/>
    <s v="Vadodara"/>
    <x v="14"/>
    <s v="Follow up "/>
    <n v="130000"/>
    <n v="107851"/>
    <s v="Follow up"/>
    <s v="Follow Up"/>
    <m/>
    <s v=""/>
    <s v="Starter"/>
    <s v="October"/>
    <s v="Q4"/>
  </r>
  <r>
    <s v="EOS0853"/>
    <d v="2025-10-03T00:00:00"/>
    <s v="FB"/>
    <s v="Vinod N Prajapati"/>
    <s v="Ahmedabad"/>
    <x v="14"/>
    <s v="Rejected"/>
    <n v="108000"/>
    <n v="107852"/>
    <s v="Rejected"/>
    <s v="Rejected"/>
    <m/>
    <s v=""/>
    <s v="Starter"/>
    <s v="October"/>
    <s v="Q4"/>
  </r>
  <r>
    <s v="EOS0854"/>
    <d v="2025-10-03T00:00:00"/>
    <s v="FB"/>
    <s v="Pritesh Mehta"/>
    <s v="Ahmedabad"/>
    <x v="14"/>
    <s v="Rejected"/>
    <n v="130000"/>
    <n v="107853"/>
    <s v="Rejected"/>
    <s v="Rejected"/>
    <m/>
    <s v=""/>
    <s v="Starter"/>
    <s v="October"/>
    <s v="Q4"/>
  </r>
  <r>
    <s v="EOS0855"/>
    <d v="2025-10-03T00:00:00"/>
    <s v="FB"/>
    <s v="Mustafa Gondalwala"/>
    <s v="Rajkot"/>
    <x v="14"/>
    <s v="Rejected"/>
    <n v="177000"/>
    <n v="107854"/>
    <s v="Rejected"/>
    <s v="Rejected"/>
    <m/>
    <s v=""/>
    <s v="Growth"/>
    <s v="October"/>
    <s v="Q4"/>
  </r>
  <r>
    <s v="EOS0856"/>
    <d v="2025-10-03T00:00:00"/>
    <s v="FB"/>
    <s v="Pruthvirajsinh Vala"/>
    <s v="Talala"/>
    <x v="14"/>
    <s v="Rejected"/>
    <n v="130000"/>
    <n v="107855"/>
    <s v="Rejected"/>
    <s v="Rejected"/>
    <m/>
    <s v=""/>
    <s v="Starter"/>
    <s v="October"/>
    <s v="Q4"/>
  </r>
  <r>
    <s v="EOS0857"/>
    <d v="2025-10-03T00:00:00"/>
    <s v="FB"/>
    <s v="Milan Thacker"/>
    <s v="Bhuj"/>
    <x v="14"/>
    <s v="Follow up "/>
    <n v="177000"/>
    <n v="107856"/>
    <s v="Follow up"/>
    <s v="Follow Up"/>
    <m/>
    <s v=""/>
    <s v="Growth"/>
    <s v="October"/>
    <s v="Q4"/>
  </r>
  <r>
    <s v="EOS0858"/>
    <d v="2025-10-03T00:00:00"/>
    <s v="FB"/>
    <s v="KAUSHIK Kumar s modi"/>
    <m/>
    <x v="14"/>
    <s v="Follow up "/>
    <n v="130000"/>
    <n v="107857"/>
    <s v="Follow up"/>
    <s v="Follow Up"/>
    <m/>
    <s v=""/>
    <s v="Starter"/>
    <s v="October"/>
    <s v="Q4"/>
  </r>
  <r>
    <s v="EOS0859"/>
    <d v="2025-10-08T00:00:00"/>
    <s v="FB"/>
    <s v="Dhanraj patil"/>
    <s v="Surat"/>
    <x v="14"/>
    <s v="Follow up "/>
    <n v="130000"/>
    <n v="107858"/>
    <s v="Follow up"/>
    <s v="Follow Up"/>
    <m/>
    <s v=""/>
    <s v="Starter"/>
    <s v="October"/>
    <s v="Q4"/>
  </r>
  <r>
    <s v="EOS0860"/>
    <d v="2025-10-08T00:00:00"/>
    <s v="FB"/>
    <s v="Desai"/>
    <m/>
    <x v="14"/>
    <s v="Follow up "/>
    <n v="108000"/>
    <n v="107859"/>
    <s v="Follow up"/>
    <s v="Follow Up"/>
    <m/>
    <s v=""/>
    <s v="Starter"/>
    <s v="October"/>
    <s v="Q4"/>
  </r>
  <r>
    <s v="EOS0861"/>
    <d v="2025-10-08T00:00:00"/>
    <s v="FB"/>
    <s v="Maggy Shah"/>
    <m/>
    <x v="14"/>
    <s v="Follow up "/>
    <n v="130000"/>
    <n v="107860"/>
    <s v="Follow up"/>
    <s v="Follow Up"/>
    <m/>
    <s v=""/>
    <s v="Starter"/>
    <s v="October"/>
    <s v="Q4"/>
  </r>
  <r>
    <s v="EOS0862"/>
    <d v="2025-10-08T00:00:00"/>
    <s v="FB"/>
    <s v="Vipul Desai"/>
    <s v="tharad"/>
    <x v="14"/>
    <s v="Follow up "/>
    <n v="108000"/>
    <n v="107861"/>
    <s v="Follow up"/>
    <s v="Follow Up"/>
    <m/>
    <s v=""/>
    <s v="Starter"/>
    <s v="October"/>
    <s v="Q4"/>
  </r>
  <r>
    <s v="EOS0863"/>
    <d v="2025-10-08T00:00:00"/>
    <s v="FB"/>
    <s v="Het Goswam"/>
    <s v="Mandvi"/>
    <x v="14"/>
    <s v="Follow up "/>
    <n v="108000"/>
    <n v="107862"/>
    <s v="Follow up"/>
    <s v="Follow Up"/>
    <m/>
    <s v=""/>
    <s v="Starter"/>
    <s v="October"/>
    <s v="Q4"/>
  </r>
  <r>
    <s v="EOS0864"/>
    <d v="2025-10-08T00:00:00"/>
    <s v="FB"/>
    <s v="Jignesh Shukla"/>
    <s v=" Bhavnagar"/>
    <x v="14"/>
    <s v="Rejected"/>
    <n v="108000"/>
    <n v="107863"/>
    <s v="Rejected"/>
    <s v="Rejected"/>
    <m/>
    <s v=""/>
    <s v="Starter"/>
    <s v="October"/>
    <s v="Q4"/>
  </r>
  <r>
    <s v="EOS0865"/>
    <d v="2025-10-08T00:00:00"/>
    <s v="FB"/>
    <s v="Gajendrasinh R Vaghela"/>
    <s v="Rajkot"/>
    <x v="14"/>
    <s v="Follow up "/>
    <n v="108000"/>
    <n v="107864"/>
    <s v="Follow up"/>
    <s v="Follow Up"/>
    <m/>
    <s v=""/>
    <s v="Starter"/>
    <s v="October"/>
    <s v="Q4"/>
  </r>
  <r>
    <s v="EOS0866"/>
    <d v="2025-10-08T00:00:00"/>
    <s v="FB"/>
    <s v="Sandhya Prajapati"/>
    <m/>
    <x v="14"/>
    <s v="Follow up "/>
    <n v="108000"/>
    <n v="107865"/>
    <s v="Follow up"/>
    <s v="Follow Up"/>
    <m/>
    <s v=""/>
    <s v="Starter"/>
    <s v="October"/>
    <s v="Q4"/>
  </r>
  <r>
    <s v="EOS0867"/>
    <d v="2025-10-08T00:00:00"/>
    <s v="FB"/>
    <s v="Jayesh"/>
    <m/>
    <x v="14"/>
    <s v="Follow up "/>
    <n v="108000"/>
    <n v="107866"/>
    <s v="Follow up"/>
    <s v="Follow Up"/>
    <m/>
    <s v=""/>
    <s v="Starter"/>
    <s v="October"/>
    <s v="Q4"/>
  </r>
  <r>
    <s v="EOS0868"/>
    <d v="2025-10-08T00:00:00"/>
    <s v="FB"/>
    <m/>
    <m/>
    <x v="14"/>
    <s v="Follow up "/>
    <n v="130000"/>
    <n v="107867"/>
    <s v="Follow up"/>
    <s v="Follow Up"/>
    <m/>
    <s v=""/>
    <s v="Starter"/>
    <s v="October"/>
    <s v="Q4"/>
  </r>
  <r>
    <s v="EOS0869"/>
    <d v="2025-10-08T00:00:00"/>
    <s v="FB"/>
    <s v="Arif Malek"/>
    <m/>
    <x v="14"/>
    <s v="Follow up "/>
    <n v="130000"/>
    <n v="107868"/>
    <s v="Follow up"/>
    <s v="Follow Up"/>
    <m/>
    <s v=""/>
    <s v="Starter"/>
    <s v="October"/>
    <s v="Q4"/>
  </r>
  <r>
    <s v="EOS0870"/>
    <d v="2025-10-08T00:00:00"/>
    <s v="FB"/>
    <s v="Vikrant Pachoriya"/>
    <m/>
    <x v="14"/>
    <s v="Follow up "/>
    <n v="130000"/>
    <n v="107869"/>
    <s v="Follow up"/>
    <s v="Follow Up"/>
    <m/>
    <s v=""/>
    <s v="Starter"/>
    <s v="October"/>
    <s v="Q4"/>
  </r>
  <r>
    <s v="EOS0871"/>
    <d v="2025-10-08T00:00:00"/>
    <s v="FB"/>
    <s v="Rawana Prem Singh Mertiya"/>
    <m/>
    <x v="14"/>
    <s v="Follow up "/>
    <n v="130000"/>
    <n v="107870"/>
    <s v="Follow up"/>
    <s v="Follow Up"/>
    <m/>
    <s v=""/>
    <s v="Starter"/>
    <s v="October"/>
    <s v="Q4"/>
  </r>
  <r>
    <s v="EOS0872"/>
    <d v="2025-10-08T00:00:00"/>
    <s v="FB"/>
    <s v="Gprocks the world"/>
    <m/>
    <x v="14"/>
    <s v="Follow up "/>
    <n v="130000"/>
    <n v="107871"/>
    <s v="Follow up"/>
    <s v="Follow Up"/>
    <m/>
    <s v=""/>
    <s v="Starter"/>
    <s v="October"/>
    <s v="Q4"/>
  </r>
  <r>
    <s v="EOS0873"/>
    <d v="2025-10-08T00:00:00"/>
    <s v="FB"/>
    <s v="Kirti Patel"/>
    <m/>
    <x v="14"/>
    <s v="Follow up "/>
    <n v="177000"/>
    <n v="107872"/>
    <s v="Follow up"/>
    <s v="Follow Up"/>
    <m/>
    <s v=""/>
    <s v="Growth"/>
    <s v="October"/>
    <s v="Q4"/>
  </r>
  <r>
    <s v="EOS0874"/>
    <d v="2025-10-08T00:00:00"/>
    <s v="FB"/>
    <s v="Kiran Kumar Vuppala"/>
    <s v="Gandhidham"/>
    <x v="14"/>
    <s v="Follow up "/>
    <n v="130000"/>
    <n v="107873"/>
    <s v="Follow up"/>
    <s v="Follow Up"/>
    <m/>
    <s v=""/>
    <s v="Starter"/>
    <s v="October"/>
    <s v="Q4"/>
  </r>
  <r>
    <s v="EOS0875"/>
    <d v="2025-10-09T00:00:00"/>
    <s v="FB"/>
    <s v="Virendra Sinh Zala"/>
    <m/>
    <x v="14"/>
    <s v="Follow up "/>
    <n v="130000"/>
    <n v="107874"/>
    <s v="Follow up"/>
    <s v="Follow Up"/>
    <m/>
    <s v=""/>
    <s v="Starter"/>
    <s v="October"/>
    <s v="Q4"/>
  </r>
  <r>
    <s v="EOS0876"/>
    <d v="2025-10-11T00:00:00"/>
    <s v="FB"/>
    <s v="Bhavik Parmar"/>
    <m/>
    <x v="14"/>
    <s v="Follow up "/>
    <n v="108000"/>
    <n v="107875"/>
    <s v="Follow up"/>
    <s v="Follow Up"/>
    <m/>
    <s v=""/>
    <s v="Starter"/>
    <s v="October"/>
    <s v="Q4"/>
  </r>
  <r>
    <s v="EOS0877"/>
    <d v="2025-10-13T00:00:00"/>
    <s v="FB"/>
    <s v="Alkm Dan"/>
    <m/>
    <x v="14"/>
    <s v="Rejected"/>
    <n v="177000"/>
    <n v="107876"/>
    <s v="Rejected"/>
    <s v="Rejected"/>
    <m/>
    <s v=""/>
    <s v="Growth"/>
    <s v="October"/>
    <s v="Q4"/>
  </r>
  <r>
    <s v="EOS0878"/>
    <d v="2025-10-14T00:00:00"/>
    <s v="FB"/>
    <s v="Dev Rana"/>
    <m/>
    <x v="14"/>
    <s v="Follow up "/>
    <n v="108000"/>
    <n v="107877"/>
    <s v="Follow up"/>
    <s v="Follow Up"/>
    <m/>
    <s v=""/>
    <s v="Starter"/>
    <s v="October"/>
    <s v="Q4"/>
  </r>
  <r>
    <s v="EOS0879"/>
    <d v="2025-10-14T00:00:00"/>
    <s v="FB"/>
    <s v="MOHSIN RATHOD"/>
    <m/>
    <x v="14"/>
    <s v="Follow up "/>
    <n v="108000"/>
    <n v="107878"/>
    <s v="Follow up"/>
    <s v="Follow Up"/>
    <m/>
    <s v=""/>
    <s v="Starter"/>
    <s v="October"/>
    <s v="Q4"/>
  </r>
  <r>
    <s v="EOS0880"/>
    <d v="2025-10-14T00:00:00"/>
    <s v="FB"/>
    <s v="Murtuza Panki"/>
    <m/>
    <x v="14"/>
    <s v="Follow up "/>
    <n v="108000"/>
    <n v="107879"/>
    <s v="Follow up"/>
    <s v="Follow Up"/>
    <m/>
    <s v=""/>
    <s v="Starter"/>
    <s v="October"/>
    <s v="Q4"/>
  </r>
  <r>
    <s v="EOS0881"/>
    <d v="2025-10-14T00:00:00"/>
    <s v="FB"/>
    <s v="Rabarimaulik"/>
    <m/>
    <x v="14"/>
    <s v="Follow up "/>
    <n v="108000"/>
    <n v="107880"/>
    <s v="Follow up"/>
    <s v="Follow Up"/>
    <m/>
    <s v=""/>
    <s v="Starter"/>
    <s v="October"/>
    <s v="Q4"/>
  </r>
  <r>
    <s v="EOS0882"/>
    <d v="2025-10-15T00:00:00"/>
    <s v="FB"/>
    <s v="Farhaz Mansur"/>
    <s v="Surat "/>
    <x v="14"/>
    <s v="Follow up "/>
    <n v="177000"/>
    <n v="107881"/>
    <s v="Follow up"/>
    <s v="Follow Up"/>
    <m/>
    <s v=""/>
    <s v="Growth"/>
    <s v="October"/>
    <s v="Q4"/>
  </r>
  <r>
    <s v="EOS0883"/>
    <d v="2025-10-15T00:00:00"/>
    <s v="FB"/>
    <s v="Anand"/>
    <s v="Vadodara"/>
    <x v="14"/>
    <s v="Follow up "/>
    <n v="130000"/>
    <n v="107882"/>
    <s v="Follow up"/>
    <s v="Follow Up"/>
    <m/>
    <s v=""/>
    <s v="Starter"/>
    <s v="October"/>
    <s v="Q4"/>
  </r>
  <r>
    <s v="EOS0884"/>
    <d v="2025-10-15T00:00:00"/>
    <s v="FB"/>
    <s v="himansu RANA"/>
    <s v="Vadodara"/>
    <x v="14"/>
    <s v="Follow up "/>
    <n v="130000"/>
    <n v="107883"/>
    <s v="Follow up"/>
    <s v="Follow Up"/>
    <m/>
    <s v=""/>
    <s v="Starter"/>
    <s v="October"/>
    <s v="Q4"/>
  </r>
  <r>
    <s v="EOS0885"/>
    <d v="2025-10-15T00:00:00"/>
    <s v="FB"/>
    <s v="Milan Vaghani"/>
    <s v="Surat"/>
    <x v="14"/>
    <s v="Follow up "/>
    <n v="108000"/>
    <n v="107884"/>
    <s v="Follow up"/>
    <s v="Follow Up"/>
    <m/>
    <s v=""/>
    <s v="Starter"/>
    <s v="October"/>
    <s v="Q4"/>
  </r>
  <r>
    <s v="EOS0886"/>
    <d v="2025-10-15T00:00:00"/>
    <s v="FB"/>
    <s v="Tushar Brahmbhatt"/>
    <s v="Vadodara"/>
    <x v="14"/>
    <s v="Rejected"/>
    <n v="130000"/>
    <n v="107885"/>
    <s v="Rejected"/>
    <s v="Rejected"/>
    <m/>
    <s v=""/>
    <s v="Starter"/>
    <s v="October"/>
    <s v="Q4"/>
  </r>
  <r>
    <s v="EOS0887"/>
    <d v="2025-10-15T00:00:00"/>
    <s v="FB"/>
    <s v="Mohan rathor"/>
    <s v="Ahmedabad"/>
    <x v="14"/>
    <s v="Rejected"/>
    <n v="108000"/>
    <n v="107886"/>
    <s v="Rejected"/>
    <s v="Rejected"/>
    <m/>
    <s v=""/>
    <s v="Starter"/>
    <s v="October"/>
    <s v="Q4"/>
  </r>
  <r>
    <s v="EOS0888"/>
    <d v="2025-10-15T00:00:00"/>
    <s v="WA"/>
    <s v="Harsh Wardhan"/>
    <m/>
    <x v="18"/>
    <s v="Rejected"/>
    <n v="177000"/>
    <n v="107887"/>
    <s v="Rejected"/>
    <s v="Rejected"/>
    <m/>
    <s v=""/>
    <s v="Growth"/>
    <s v="October"/>
    <s v="Q4"/>
  </r>
  <r>
    <s v="EOS0889"/>
    <d v="2025-10-15T00:00:00"/>
    <s v="FB"/>
    <s v="Ilyas Ghanchi"/>
    <s v="Vadodara"/>
    <x v="14"/>
    <s v="Rejected"/>
    <n v="177000"/>
    <n v="107888"/>
    <s v="Rejected"/>
    <s v="Rejected"/>
    <m/>
    <s v=""/>
    <s v="Growth"/>
    <s v="October"/>
    <s v="Q4"/>
  </r>
  <r>
    <s v="EOS0890"/>
    <d v="2025-10-15T00:00:00"/>
    <s v="FB"/>
    <s v="Rajpurohit Loonsingh"/>
    <m/>
    <x v="14"/>
    <s v="Follow up "/>
    <n v="108000"/>
    <n v="107889"/>
    <s v="Follow up"/>
    <s v="Follow Up"/>
    <m/>
    <s v=""/>
    <s v="Starter"/>
    <s v="October"/>
    <s v="Q4"/>
  </r>
  <r>
    <s v="EOS0891"/>
    <d v="2025-10-15T00:00:00"/>
    <s v="FB"/>
    <s v="Rohit Mirani"/>
    <s v="Gandhidham"/>
    <x v="14"/>
    <s v="Follow up "/>
    <n v="108000"/>
    <n v="107890"/>
    <s v="Follow up"/>
    <s v="Follow Up"/>
    <m/>
    <s v=""/>
    <s v="Starter"/>
    <s v="October"/>
    <s v="Q4"/>
  </r>
  <r>
    <s v="EOS0892"/>
    <d v="2025-10-16T00:00:00"/>
    <s v="FB"/>
    <s v="Parthdevaliya"/>
    <s v="Surendranagar"/>
    <x v="14"/>
    <s v="Follow up "/>
    <n v="108000"/>
    <n v="107891"/>
    <s v="Follow up"/>
    <s v="Follow Up"/>
    <m/>
    <s v=""/>
    <s v="Starter"/>
    <s v="October"/>
    <s v="Q4"/>
  </r>
  <r>
    <s v="EOS0893"/>
    <d v="2025-10-16T00:00:00"/>
    <s v="FB"/>
    <s v="Atulsinh Zala"/>
    <s v="Ahmedabad"/>
    <x v="14"/>
    <s v="Follow up "/>
    <n v="108000"/>
    <n v="107892"/>
    <s v="Follow up"/>
    <s v="Follow Up"/>
    <m/>
    <s v=""/>
    <s v="Starter"/>
    <s v="October"/>
    <s v="Q4"/>
  </r>
  <r>
    <s v="EOS0894"/>
    <d v="2025-10-16T00:00:00"/>
    <s v="FB"/>
    <s v="Mahesh Thakkar"/>
    <m/>
    <x v="14"/>
    <s v="Rejected"/>
    <n v="108000"/>
    <n v="107893"/>
    <s v="Rejected"/>
    <s v="Rejected"/>
    <m/>
    <s v=""/>
    <s v="Starter"/>
    <s v="October"/>
    <s v="Q4"/>
  </r>
  <r>
    <s v="EOS0895"/>
    <d v="2025-10-16T00:00:00"/>
    <s v="FB"/>
    <s v="Nilesh"/>
    <s v="Vadodara"/>
    <x v="14"/>
    <s v="Follow up "/>
    <n v="108000"/>
    <n v="107894"/>
    <s v="Follow up"/>
    <s v="Follow Up"/>
    <m/>
    <s v=""/>
    <s v="Starter"/>
    <s v="October"/>
    <s v="Q4"/>
  </r>
  <r>
    <s v="EOS0896"/>
    <d v="2025-10-16T00:00:00"/>
    <s v="FB"/>
    <s v="Praful"/>
    <s v="Vadodara"/>
    <x v="14"/>
    <s v="Follow up "/>
    <n v="177000"/>
    <n v="107895"/>
    <s v="Follow up"/>
    <s v="Follow Up"/>
    <m/>
    <s v=""/>
    <s v="Growth"/>
    <s v="October"/>
    <s v="Q4"/>
  </r>
  <r>
    <s v="EOS0897"/>
    <d v="2025-10-16T00:00:00"/>
    <s v="FB"/>
    <s v="mitesh"/>
    <s v="Vadodara"/>
    <x v="14"/>
    <s v="Follow up "/>
    <n v="130000"/>
    <n v="107896"/>
    <s v="Follow up"/>
    <s v="Follow Up"/>
    <m/>
    <s v=""/>
    <s v="Starter"/>
    <s v="October"/>
    <s v="Q4"/>
  </r>
  <r>
    <s v="EOS0898"/>
    <d v="2025-10-16T00:00:00"/>
    <s v="FB"/>
    <s v="Rajeev Giri"/>
    <s v="Ahmedabad"/>
    <x v="14"/>
    <s v="Rejected"/>
    <n v="108000"/>
    <n v="107897"/>
    <s v="Rejected"/>
    <s v="Rejected"/>
    <m/>
    <s v=""/>
    <s v="Starter"/>
    <s v="October"/>
    <s v="Q4"/>
  </r>
  <r>
    <s v="EOS0899"/>
    <d v="2025-10-16T00:00:00"/>
    <s v="FB"/>
    <s v="Kunal Varpe"/>
    <s v="Vadodara"/>
    <x v="14"/>
    <s v="Rejected"/>
    <n v="130000"/>
    <n v="107898"/>
    <s v="Rejected"/>
    <s v="Rejected"/>
    <m/>
    <s v=""/>
    <s v="Starter"/>
    <s v="October"/>
    <s v="Q4"/>
  </r>
  <r>
    <s v="EOS0900"/>
    <d v="2025-10-16T00:00:00"/>
    <s v="FB"/>
    <s v="Patel Ravi"/>
    <s v="Surat"/>
    <x v="14"/>
    <s v="Follow up "/>
    <n v="108000"/>
    <n v="107899"/>
    <s v="Follow up"/>
    <s v="Follow Up"/>
    <m/>
    <s v=""/>
    <s v="Starter"/>
    <s v="October"/>
    <s v="Q4"/>
  </r>
  <r>
    <s v="EOS0901"/>
    <d v="2025-10-16T00:00:00"/>
    <s v="FB"/>
    <s v="Patel Meet"/>
    <m/>
    <x v="14"/>
    <s v="Follow up "/>
    <n v="130000"/>
    <n v="107900"/>
    <s v="Follow up"/>
    <s v="Follow Up"/>
    <m/>
    <s v=""/>
    <s v="Starter"/>
    <s v="October"/>
    <s v="Q4"/>
  </r>
  <r>
    <s v="EOS0902"/>
    <d v="2025-10-16T00:00:00"/>
    <s v="FB"/>
    <s v="Jaimin Patel"/>
    <s v="Ahmedabad"/>
    <x v="14"/>
    <s v="Follow up "/>
    <n v="130000"/>
    <n v="107901"/>
    <s v="Follow up"/>
    <s v="Follow Up"/>
    <m/>
    <s v=""/>
    <s v="Starter"/>
    <s v="October"/>
    <s v="Q4"/>
  </r>
  <r>
    <s v="EOS0903"/>
    <d v="2025-10-16T00:00:00"/>
    <s v="FB"/>
    <s v="Suhas Vaghela"/>
    <m/>
    <x v="14"/>
    <s v="Follow up "/>
    <n v="130000"/>
    <n v="107902"/>
    <s v="Follow up"/>
    <s v="Follow Up"/>
    <m/>
    <s v=""/>
    <s v="Starter"/>
    <s v="October"/>
    <s v="Q4"/>
  </r>
  <r>
    <s v="EOS0904"/>
    <d v="2025-10-16T00:00:00"/>
    <s v="FB"/>
    <s v="Jay Gangani"/>
    <m/>
    <x v="14"/>
    <s v="Rejected"/>
    <n v="108000"/>
    <n v="107903"/>
    <s v="Rejected"/>
    <s v="Rejected"/>
    <m/>
    <s v=""/>
    <s v="Starter"/>
    <s v="October"/>
    <s v="Q4"/>
  </r>
  <r>
    <s v="EOS0905"/>
    <d v="2025-10-16T00:00:00"/>
    <s v="FB"/>
    <s v="SAHIL SAIYAD"/>
    <m/>
    <x v="14"/>
    <s v="Follow up "/>
    <n v="108000"/>
    <n v="107904"/>
    <s v="Follow up"/>
    <s v="Follow Up"/>
    <m/>
    <s v=""/>
    <s v="Starter"/>
    <s v="October"/>
    <s v="Q4"/>
  </r>
  <r>
    <s v="EOS0906"/>
    <d v="2025-10-16T00:00:00"/>
    <s v="FB"/>
    <s v="Kuldeep Sinh Bihola"/>
    <m/>
    <x v="14"/>
    <s v="Follow up "/>
    <n v="130000"/>
    <n v="107905"/>
    <s v="Follow up"/>
    <s v="Follow Up"/>
    <m/>
    <s v=""/>
    <s v="Starter"/>
    <s v="October"/>
    <s v="Q4"/>
  </r>
  <r>
    <s v="EOS0907"/>
    <d v="2025-10-16T00:00:00"/>
    <s v="FB"/>
    <s v="Chaudhari shayan Kumar jitendra bhai"/>
    <m/>
    <x v="14"/>
    <s v="Follow up "/>
    <n v="108000"/>
    <n v="107906"/>
    <s v="Follow up"/>
    <s v="Follow Up"/>
    <m/>
    <s v=""/>
    <s v="Starter"/>
    <s v="October"/>
    <s v="Q4"/>
  </r>
  <r>
    <s v="EOS0908"/>
    <d v="2025-10-17T00:00:00"/>
    <s v="FB"/>
    <s v="Nilesh Yadav"/>
    <m/>
    <x v="14"/>
    <s v="Follow up "/>
    <n v="108000"/>
    <n v="107907"/>
    <s v="Follow up"/>
    <s v="Follow Up"/>
    <m/>
    <s v=""/>
    <s v="Starter"/>
    <s v="October"/>
    <s v="Q4"/>
  </r>
  <r>
    <s v="EOS0909"/>
    <d v="2025-10-17T00:00:00"/>
    <s v="FB"/>
    <s v="SOYAB HINGORA"/>
    <m/>
    <x v="14"/>
    <s v="Follow up "/>
    <n v="130000"/>
    <n v="107908"/>
    <s v="Follow up"/>
    <s v="Follow Up"/>
    <m/>
    <s v=""/>
    <s v="Starter"/>
    <s v="October"/>
    <s v="Q4"/>
  </r>
  <r>
    <s v="EOS0910"/>
    <d v="2025-10-17T00:00:00"/>
    <s v="FB"/>
    <s v="Royal Sajid"/>
    <s v="Rajkot"/>
    <x v="14"/>
    <s v="Rejected"/>
    <n v="108000"/>
    <n v="107909"/>
    <s v="Rejected"/>
    <s v="Rejected"/>
    <m/>
    <s v=""/>
    <s v="Starter"/>
    <s v="October"/>
    <s v="Q4"/>
  </r>
  <r>
    <s v="EOS0911"/>
    <d v="2025-10-20T00:00:00"/>
    <s v="FB"/>
    <s v="Vikram Rajput"/>
    <s v="Vadodara"/>
    <x v="14"/>
    <s v="Follow up "/>
    <n v="130000"/>
    <n v="107910"/>
    <s v="Follow up"/>
    <s v="Follow Up"/>
    <m/>
    <s v=""/>
    <s v="Starter"/>
    <s v="October"/>
    <s v="Q4"/>
  </r>
  <r>
    <s v="EOS0912"/>
    <d v="2025-10-20T00:00:00"/>
    <s v="FB"/>
    <s v="ABHAY BORICHA"/>
    <s v="Rajkot"/>
    <x v="14"/>
    <s v="Rejected"/>
    <n v="108000"/>
    <n v="107911"/>
    <s v="Rejected"/>
    <s v="Rejected"/>
    <m/>
    <s v=""/>
    <s v="Starter"/>
    <s v="October"/>
    <s v="Q4"/>
  </r>
  <r>
    <s v="EOS0913"/>
    <d v="2025-10-20T00:00:00"/>
    <s v="FB"/>
    <s v="Koshi Saxena"/>
    <m/>
    <x v="14"/>
    <s v="Follow up "/>
    <n v="130000"/>
    <n v="107912"/>
    <s v="Follow up"/>
    <s v="Follow Up"/>
    <m/>
    <s v=""/>
    <s v="Starter"/>
    <s v="October"/>
    <s v="Q4"/>
  </r>
  <r>
    <s v="EOS0914"/>
    <d v="2025-10-20T00:00:00"/>
    <s v="FB"/>
    <s v="Banti Kumar"/>
    <m/>
    <x v="14"/>
    <s v="Follow up "/>
    <n v="108000"/>
    <n v="107913"/>
    <s v="Follow up"/>
    <s v="Follow Up"/>
    <m/>
    <s v=""/>
    <s v="Starter"/>
    <s v="October"/>
    <s v="Q4"/>
  </r>
  <r>
    <s v="EOS0915"/>
    <d v="2025-10-20T00:00:00"/>
    <s v="FB"/>
    <s v="Akash harijam"/>
    <m/>
    <x v="14"/>
    <s v="Follow up "/>
    <n v="177000"/>
    <n v="107914"/>
    <s v="Follow up"/>
    <s v="Follow Up"/>
    <m/>
    <s v=""/>
    <s v="Growth"/>
    <s v="October"/>
    <s v="Q4"/>
  </r>
  <r>
    <s v="EOS0916"/>
    <d v="2025-10-20T00:00:00"/>
    <s v="FB"/>
    <s v="Binesh Kumar"/>
    <m/>
    <x v="14"/>
    <s v="Follow up "/>
    <n v="108000"/>
    <n v="107915"/>
    <s v="Follow up"/>
    <s v="Follow Up"/>
    <m/>
    <s v=""/>
    <s v="Starter"/>
    <s v="October"/>
    <s v="Q4"/>
  </r>
  <r>
    <s v="EOS0917"/>
    <d v="2025-10-20T00:00:00"/>
    <s v="FB"/>
    <s v="Shafikul Khan"/>
    <m/>
    <x v="14"/>
    <s v="Follow up "/>
    <n v="108000"/>
    <n v="107916"/>
    <s v="Follow up"/>
    <s v="Follow Up"/>
    <m/>
    <s v=""/>
    <s v="Starter"/>
    <s v="October"/>
    <s v="Q4"/>
  </r>
  <r>
    <s v="EOS0918"/>
    <d v="2025-10-20T00:00:00"/>
    <s v="WA"/>
    <s v="Ravindra Kumar"/>
    <m/>
    <x v="16"/>
    <s v="Rejected"/>
    <n v="108000"/>
    <n v="107917"/>
    <s v="Rejected"/>
    <s v="Rejected"/>
    <m/>
    <s v=""/>
    <s v="Starter"/>
    <s v="October"/>
    <s v="Q4"/>
  </r>
  <r>
    <s v="EOS0919"/>
    <d v="2025-10-20T00:00:00"/>
    <s v="FB"/>
    <s v="Mak enterprises"/>
    <m/>
    <x v="14"/>
    <s v="Follow up "/>
    <n v="177000"/>
    <n v="107918"/>
    <s v="Follow up"/>
    <s v="Follow Up"/>
    <m/>
    <s v=""/>
    <s v="Growth"/>
    <s v="October"/>
    <s v="Q4"/>
  </r>
  <r>
    <s v="EOS0920"/>
    <d v="2025-10-20T00:00:00"/>
    <s v="FB"/>
    <s v="Surendra Kumar"/>
    <m/>
    <x v="14"/>
    <s v="Follow up "/>
    <n v="108000"/>
    <n v="107919"/>
    <s v="Follow up"/>
    <s v="Follow Up"/>
    <m/>
    <s v=""/>
    <s v="Starter"/>
    <s v="October"/>
    <s v="Q4"/>
  </r>
  <r>
    <s v="EOS0921"/>
    <d v="2025-10-22T00:00:00"/>
    <s v="FB"/>
    <s v="Seema kumari"/>
    <s v="Mohitari"/>
    <x v="7"/>
    <s v="Follow up "/>
    <n v="108000"/>
    <n v="107920"/>
    <s v="Follow up"/>
    <s v="Follow Up"/>
    <m/>
    <s v=""/>
    <s v="Starter"/>
    <s v="October"/>
    <s v="Q4"/>
  </r>
  <r>
    <s v="EOS0922"/>
    <d v="2025-10-22T00:00:00"/>
    <s v="FB"/>
    <s v="Nirav ratnottar"/>
    <s v=" Bhavnagar"/>
    <x v="14"/>
    <s v="Follow up "/>
    <n v="177000"/>
    <n v="107921"/>
    <s v="Follow up"/>
    <s v="Follow Up"/>
    <m/>
    <s v=""/>
    <s v="Growth"/>
    <s v="October"/>
    <s v="Q4"/>
  </r>
  <r>
    <s v="EOS0923"/>
    <d v="2025-10-22T00:00:00"/>
    <s v="FB"/>
    <s v="Maulikkumar Jani"/>
    <s v="Gandhinagar"/>
    <x v="14"/>
    <s v="Follow up "/>
    <n v="108000"/>
    <n v="107922"/>
    <s v="Follow up"/>
    <s v="Follow Up"/>
    <m/>
    <s v=""/>
    <s v="Starter"/>
    <s v="October"/>
    <s v="Q4"/>
  </r>
  <r>
    <s v="EOS0924"/>
    <d v="2025-10-22T00:00:00"/>
    <s v="FB"/>
    <s v="VMK"/>
    <s v="Vadodara"/>
    <x v="0"/>
    <s v="Rejected"/>
    <n v="108000"/>
    <n v="107923"/>
    <s v="Rejected"/>
    <s v="Rejected"/>
    <m/>
    <s v=""/>
    <s v="Starter"/>
    <s v="October"/>
    <s v="Q4"/>
  </r>
  <r>
    <s v="EOS0925"/>
    <d v="2025-10-22T00:00:00"/>
    <s v="FB"/>
    <s v="Dipak Ganglani"/>
    <s v="Rajkot"/>
    <x v="14"/>
    <s v="Follow up "/>
    <n v="108000"/>
    <n v="107924"/>
    <s v="Follow up"/>
    <s v="Follow Up"/>
    <m/>
    <s v=""/>
    <s v="Starter"/>
    <s v="October"/>
    <s v="Q4"/>
  </r>
  <r>
    <s v="EOS0926"/>
    <d v="2025-10-22T00:00:00"/>
    <s v="FB"/>
    <s v="Arun Sinh Chauhan"/>
    <s v="Ahmedabad"/>
    <x v="14"/>
    <s v="Follow up "/>
    <n v="130000"/>
    <n v="107925"/>
    <s v="Follow up"/>
    <s v="Follow Up"/>
    <m/>
    <s v=""/>
    <s v="Starter"/>
    <s v="October"/>
    <s v="Q4"/>
  </r>
  <r>
    <s v="EOS0927"/>
    <d v="2025-10-22T00:00:00"/>
    <s v="FB"/>
    <s v="y D Vaghela"/>
    <s v="khed bhrama"/>
    <x v="14"/>
    <s v="Follow up "/>
    <n v="108000"/>
    <n v="107926"/>
    <s v="Follow up"/>
    <s v="Follow Up"/>
    <m/>
    <s v=""/>
    <s v="Starter"/>
    <s v="October"/>
    <s v="Q4"/>
  </r>
  <r>
    <s v="EOS0928"/>
    <d v="2025-10-22T00:00:00"/>
    <s v="FB"/>
    <s v="Arbaz Shaikh"/>
    <s v="Kadi "/>
    <x v="14"/>
    <s v="Follow up "/>
    <n v="108000"/>
    <n v="107927"/>
    <s v="Follow up"/>
    <s v="Follow Up"/>
    <m/>
    <s v=""/>
    <s v="Starter"/>
    <s v="October"/>
    <s v="Q4"/>
  </r>
  <r>
    <s v="EOS0929"/>
    <d v="2025-10-22T00:00:00"/>
    <s v="FB"/>
    <s v="Gautam bharwad"/>
    <m/>
    <x v="14"/>
    <s v="Follow up "/>
    <n v="108000"/>
    <n v="107928"/>
    <s v="Follow up"/>
    <s v="Follow Up"/>
    <m/>
    <s v=""/>
    <s v="Starter"/>
    <s v="October"/>
    <s v="Q4"/>
  </r>
  <r>
    <s v="EOS0930"/>
    <d v="2025-10-22T00:00:00"/>
    <s v="FB"/>
    <s v="haresh patel"/>
    <m/>
    <x v="14"/>
    <s v="Follow up "/>
    <n v="108000"/>
    <n v="107929"/>
    <s v="Follow up"/>
    <s v="Follow Up"/>
    <m/>
    <s v=""/>
    <s v="Starter"/>
    <s v="October"/>
    <s v="Q4"/>
  </r>
  <r>
    <s v="EOS0931"/>
    <d v="2025-10-22T00:00:00"/>
    <s v="FB"/>
    <s v="Mohit Gadhvi"/>
    <m/>
    <x v="14"/>
    <s v="Follow up "/>
    <n v="177000"/>
    <n v="107930"/>
    <s v="Follow up"/>
    <s v="Follow Up"/>
    <m/>
    <s v=""/>
    <s v="Growth"/>
    <s v="October"/>
    <s v="Q4"/>
  </r>
  <r>
    <s v="EOS0932"/>
    <d v="2025-10-22T00:00:00"/>
    <s v="FB"/>
    <s v="Ayaz Ali Saiyed"/>
    <s v="Thasara"/>
    <x v="14"/>
    <s v="Follow up "/>
    <n v="130000"/>
    <n v="107931"/>
    <s v="Follow up"/>
    <s v="Follow Up"/>
    <m/>
    <s v=""/>
    <s v="Starter"/>
    <s v="October"/>
    <s v="Q4"/>
  </r>
  <r>
    <s v="EOS0933"/>
    <d v="2025-10-22T00:00:00"/>
    <s v="FB"/>
    <s v="Pradeep Verma"/>
    <s v="Indore"/>
    <x v="4"/>
    <s v="Rejected"/>
    <n v="130000"/>
    <n v="107932"/>
    <s v="Rejected"/>
    <s v="Rejected"/>
    <m/>
    <s v=""/>
    <s v="Starter"/>
    <s v="October"/>
    <s v="Q4"/>
  </r>
  <r>
    <s v="EOS0934"/>
    <d v="2025-10-22T00:00:00"/>
    <s v="FB"/>
    <s v="Banshi Agarwal"/>
    <s v="Aligarh "/>
    <x v="16"/>
    <s v="Follow up "/>
    <n v="108000"/>
    <n v="107933"/>
    <s v="Follow up"/>
    <s v="Follow Up"/>
    <m/>
    <s v=""/>
    <s v="Starter"/>
    <s v="October"/>
    <s v="Q4"/>
  </r>
  <r>
    <s v="EOS0935"/>
    <d v="2025-10-22T00:00:00"/>
    <s v="FB"/>
    <s v="Prasenjit Maity"/>
    <s v="Namkhana"/>
    <x v="9"/>
    <s v="Follow up "/>
    <n v="108000"/>
    <n v="107934"/>
    <s v="Follow up"/>
    <s v="Follow Up"/>
    <m/>
    <s v=""/>
    <s v="Starter"/>
    <s v="October"/>
    <s v="Q4"/>
  </r>
  <r>
    <s v="EOS0936"/>
    <d v="2025-10-24T00:00:00"/>
    <s v="FB"/>
    <s v="Rilesh Ahir"/>
    <s v="bestan "/>
    <x v="14"/>
    <s v="Follow up "/>
    <n v="130000"/>
    <n v="107935"/>
    <s v="Follow up"/>
    <s v="Follow Up"/>
    <m/>
    <s v=""/>
    <s v="Starter"/>
    <s v="October"/>
    <s v="Q4"/>
  </r>
  <r>
    <s v="EOS0937"/>
    <d v="2025-10-24T00:00:00"/>
    <s v="FB"/>
    <s v="Rafakat Husen Harsoliya"/>
    <s v="himmatnagar"/>
    <x v="14"/>
    <s v="Follow up "/>
    <n v="108000"/>
    <n v="107936"/>
    <s v="Follow up"/>
    <s v="Follow Up"/>
    <m/>
    <s v=""/>
    <s v="Starter"/>
    <s v="October"/>
    <s v="Q4"/>
  </r>
  <r>
    <s v="EOS0938"/>
    <d v="2025-10-24T00:00:00"/>
    <s v="FB"/>
    <s v="Sohan ajmeri"/>
    <s v="Vadodara"/>
    <x v="14"/>
    <s v="Follow up "/>
    <n v="130000"/>
    <n v="107937"/>
    <s v="Follow up"/>
    <s v="Follow Up"/>
    <m/>
    <s v=""/>
    <s v="Starter"/>
    <s v="October"/>
    <s v="Q4"/>
  </r>
  <r>
    <s v="EOS0939"/>
    <d v="2025-10-24T00:00:00"/>
    <s v="FB"/>
    <s v="Mitesh Khilwan"/>
    <s v="Rajkot"/>
    <x v="14"/>
    <s v="Follow up "/>
    <n v="130000"/>
    <n v="107938"/>
    <s v="Follow up"/>
    <s v="Follow Up"/>
    <m/>
    <s v=""/>
    <s v="Starter"/>
    <s v="October"/>
    <s v="Q4"/>
  </r>
  <r>
    <s v="EOS0940"/>
    <d v="2025-10-24T00:00:00"/>
    <s v="FB"/>
    <s v="Bharat Ghela"/>
    <m/>
    <x v="14"/>
    <s v="Follow up "/>
    <n v="108000"/>
    <n v="107939"/>
    <s v="Follow up"/>
    <s v="Follow Up"/>
    <m/>
    <s v=""/>
    <s v="Starter"/>
    <s v="October"/>
    <s v="Q4"/>
  </r>
  <r>
    <s v="EOS0941"/>
    <d v="2025-10-24T00:00:00"/>
    <s v="FB"/>
    <s v="Manoj Raval"/>
    <m/>
    <x v="0"/>
    <s v="Rejected"/>
    <n v="177000"/>
    <n v="107940"/>
    <s v="Rejected"/>
    <s v="Rejected"/>
    <m/>
    <s v=""/>
    <s v="Growth"/>
    <s v="October"/>
    <s v="Q4"/>
  </r>
  <r>
    <s v="EOS0942"/>
    <d v="2025-10-24T00:00:00"/>
    <s v="FB"/>
    <s v="Shubham Ahire"/>
    <s v="Surat "/>
    <x v="14"/>
    <s v="Follow up "/>
    <n v="177000"/>
    <n v="107941"/>
    <s v="Follow up"/>
    <s v="Follow Up"/>
    <m/>
    <s v=""/>
    <s v="Growth"/>
    <s v="October"/>
    <s v="Q4"/>
  </r>
  <r>
    <s v="EOS0943"/>
    <d v="2025-10-24T00:00:00"/>
    <s v="FB"/>
    <s v="Sanjay Kumar"/>
    <s v="Ranchi "/>
    <x v="18"/>
    <s v="Follow up "/>
    <n v="130000"/>
    <n v="107942"/>
    <s v="Follow up"/>
    <s v="Follow Up"/>
    <m/>
    <s v=""/>
    <s v="Starter"/>
    <s v="October"/>
    <s v="Q4"/>
  </r>
  <r>
    <s v="EOS0944"/>
    <d v="2025-10-25T00:00:00"/>
    <s v="FB"/>
    <s v="kirtesh panchal"/>
    <m/>
    <x v="2"/>
    <s v="Follow up "/>
    <n v="130000"/>
    <n v="107943"/>
    <s v="Follow up"/>
    <s v="Follow Up"/>
    <m/>
    <s v=""/>
    <s v="Starter"/>
    <s v="October"/>
    <s v="Q4"/>
  </r>
  <r>
    <s v="EOS0945"/>
    <d v="2025-10-25T00:00:00"/>
    <s v="FB"/>
    <s v="Sanjay Thakor"/>
    <s v="Mehsana"/>
    <x v="14"/>
    <s v="Follow up "/>
    <n v="130000"/>
    <n v="107944"/>
    <s v="Follow up"/>
    <s v="Follow Up"/>
    <m/>
    <s v=""/>
    <s v="Starter"/>
    <s v="October"/>
    <s v="Q4"/>
  </r>
  <r>
    <s v="EOS0946"/>
    <d v="2025-10-25T00:00:00"/>
    <s v="FB"/>
    <s v="Tejas Patel"/>
    <s v="Mehsana"/>
    <x v="14"/>
    <s v="Follow up "/>
    <n v="177000"/>
    <n v="107945"/>
    <s v="Follow up"/>
    <s v="Follow Up"/>
    <m/>
    <s v=""/>
    <s v="Growth"/>
    <s v="October"/>
    <s v="Q4"/>
  </r>
  <r>
    <s v="EOS0947"/>
    <d v="2025-10-25T00:00:00"/>
    <s v="FB"/>
    <s v="iamkartikkashyap"/>
    <s v="Chandigard"/>
    <x v="19"/>
    <s v="Follow up "/>
    <n v="130000"/>
    <n v="107946"/>
    <s v="Follow up"/>
    <s v="Follow Up"/>
    <m/>
    <s v=""/>
    <s v="Starter"/>
    <s v="October"/>
    <s v="Q4"/>
  </r>
  <r>
    <s v="EOS0948"/>
    <d v="2025-10-27T00:00:00"/>
    <s v="FB"/>
    <s v="Yuvraj Sisodiya"/>
    <s v="Rajkot"/>
    <x v="14"/>
    <s v="Follow up "/>
    <n v="108000"/>
    <n v="107947"/>
    <s v="Follow up"/>
    <s v="Follow Up"/>
    <m/>
    <s v=""/>
    <s v="Starter"/>
    <s v="October"/>
    <s v="Q4"/>
  </r>
  <r>
    <s v="EOS0949"/>
    <d v="2025-10-27T00:00:00"/>
    <s v="FB"/>
    <s v="mr.chetan"/>
    <s v="Halvad "/>
    <x v="14"/>
    <s v="Follow up "/>
    <n v="108000"/>
    <n v="107948"/>
    <s v="Follow up"/>
    <s v="Follow Up"/>
    <m/>
    <s v=""/>
    <s v="Starter"/>
    <s v="October"/>
    <s v="Q4"/>
  </r>
  <r>
    <s v="EOS0950"/>
    <d v="2025-10-27T00:00:00"/>
    <s v="FB"/>
    <s v="Surendrasinh"/>
    <s v="Deodar"/>
    <x v="2"/>
    <s v="Follow up "/>
    <n v="108000"/>
    <n v="107949"/>
    <s v="Follow up"/>
    <s v="Follow Up"/>
    <m/>
    <s v=""/>
    <s v="Starter"/>
    <s v="October"/>
    <s v="Q4"/>
  </r>
  <r>
    <s v="EOS0951"/>
    <d v="2025-10-27T00:00:00"/>
    <s v="FB"/>
    <s v="SANDIP THAKOR"/>
    <s v="Bharuch"/>
    <x v="14"/>
    <s v="Follow up "/>
    <n v="108000"/>
    <n v="107950"/>
    <s v="Follow up"/>
    <s v="Follow Up"/>
    <m/>
    <s v=""/>
    <s v="Starter"/>
    <s v="October"/>
    <s v="Q4"/>
  </r>
  <r>
    <s v="EOS0952"/>
    <d v="2025-10-27T00:00:00"/>
    <s v="FB"/>
    <s v="Ashvin Chauhan"/>
    <s v="Surat "/>
    <x v="14"/>
    <s v="Follow up "/>
    <n v="177000"/>
    <n v="107951"/>
    <s v="Follow up"/>
    <s v="Follow Up"/>
    <m/>
    <s v=""/>
    <s v="Growth"/>
    <s v="October"/>
    <s v="Q4"/>
  </r>
  <r>
    <s v="EOS0953"/>
    <d v="2025-10-27T00:00:00"/>
    <s v="FB"/>
    <s v="Jignesh Jinjala"/>
    <s v=" Bhavnagar"/>
    <x v="14"/>
    <s v="Follow up "/>
    <n v="130000"/>
    <n v="107952"/>
    <s v="Follow up"/>
    <s v="Follow Up"/>
    <m/>
    <s v=""/>
    <s v="Starter"/>
    <s v="October"/>
    <s v="Q4"/>
  </r>
  <r>
    <s v="EOS0954"/>
    <d v="2025-10-27T00:00:00"/>
    <s v="FB"/>
    <s v="Mehul Thakor"/>
    <s v="Palanpur"/>
    <x v="0"/>
    <s v="Rejected"/>
    <n v="108000"/>
    <n v="107953"/>
    <s v="Rejected"/>
    <s v="Rejected"/>
    <m/>
    <s v=""/>
    <s v="Starter"/>
    <s v="October"/>
    <s v="Q4"/>
  </r>
  <r>
    <s v="EOS0955"/>
    <d v="2025-10-27T00:00:00"/>
    <s v="WA"/>
    <s v="Uddit"/>
    <s v="gandhidham "/>
    <x v="0"/>
    <s v="Rejected"/>
    <n v="108000"/>
    <n v="107954"/>
    <s v="Rejected"/>
    <s v="Rejected"/>
    <m/>
    <s v=""/>
    <s v="Starter"/>
    <s v="October"/>
    <s v="Q4"/>
  </r>
  <r>
    <s v="EOS0956"/>
    <d v="2025-10-27T00:00:00"/>
    <s v="FB"/>
    <s v="Arvind Malkiya"/>
    <s v="Chotila "/>
    <x v="14"/>
    <s v="Follow up "/>
    <n v="130000"/>
    <n v="107955"/>
    <s v="Follow up"/>
    <s v="Follow Up"/>
    <m/>
    <s v=""/>
    <s v="Starter"/>
    <s v="October"/>
    <s v="Q4"/>
  </r>
  <r>
    <s v="EOS0957"/>
    <d v="2025-10-28T00:00:00"/>
    <s v="FB"/>
    <s v="Kaushikkumar dipubhai nakum"/>
    <s v="Gir Somnath"/>
    <x v="0"/>
    <s v="Rejected"/>
    <n v="108000"/>
    <n v="107956"/>
    <s v="Rejected"/>
    <s v="Rejected"/>
    <m/>
    <s v=""/>
    <s v="Starter"/>
    <s v="October"/>
    <s v="Q4"/>
  </r>
  <r>
    <s v="EOS0958"/>
    <d v="2025-10-28T00:00:00"/>
    <s v="FB"/>
    <s v="Prashant Jadhav"/>
    <s v="Surat"/>
    <x v="14"/>
    <s v="Follow up "/>
    <n v="130000"/>
    <n v="107957"/>
    <s v="Follow up"/>
    <s v="Follow Up"/>
    <m/>
    <s v=""/>
    <s v="Starter"/>
    <s v="October"/>
    <s v="Q4"/>
  </r>
  <r>
    <s v="EOS0959"/>
    <d v="2025-10-28T00:00:00"/>
    <s v="FB"/>
    <s v="Chandraprakash Yadav"/>
    <s v="Azamgarh"/>
    <x v="16"/>
    <s v="Follow up "/>
    <n v="108000"/>
    <n v="107958"/>
    <s v="Follow up"/>
    <s v="Follow Up"/>
    <m/>
    <s v=""/>
    <s v="Starter"/>
    <s v="October"/>
    <s v="Q4"/>
  </r>
  <r>
    <s v="EOS0960"/>
    <d v="2025-10-28T00:00:00"/>
    <s v="FB"/>
    <s v="Kochiyaniya Kuldip"/>
    <m/>
    <x v="14"/>
    <s v="Follow up "/>
    <n v="130000"/>
    <n v="107959"/>
    <s v="Follow up"/>
    <s v="Follow Up"/>
    <m/>
    <s v=""/>
    <s v="Starter"/>
    <s v="October"/>
    <s v="Q4"/>
  </r>
  <r>
    <s v="EOS0961"/>
    <d v="2025-10-29T00:00:00"/>
    <s v="FB"/>
    <s v="Rohit patel"/>
    <s v="Ahmedabad"/>
    <x v="14"/>
    <s v="Follow up "/>
    <n v="108000"/>
    <n v="107960"/>
    <s v="Follow up"/>
    <s v="Follow Up"/>
    <m/>
    <s v=""/>
    <s v="Starter"/>
    <s v="October"/>
    <s v="Q4"/>
  </r>
  <r>
    <s v="EOS0962"/>
    <d v="2025-10-29T00:00:00"/>
    <s v="FB"/>
    <s v="Kirti chaudhary"/>
    <s v="Ahmedabad"/>
    <x v="14"/>
    <s v="Follow up "/>
    <n v="130000"/>
    <n v="107961"/>
    <s v="Follow up"/>
    <s v="Follow Up"/>
    <m/>
    <s v=""/>
    <s v="Starter"/>
    <s v="October"/>
    <s v="Q4"/>
  </r>
  <r>
    <s v="EOS0963"/>
    <d v="2025-10-31T00:00:00"/>
    <s v="FB"/>
    <s v="Rahul Chandel"/>
    <m/>
    <x v="14"/>
    <s v="Follow up "/>
    <n v="130000"/>
    <n v="107962"/>
    <s v="Follow up"/>
    <s v="Follow Up"/>
    <m/>
    <s v=""/>
    <s v="Starter"/>
    <s v="October"/>
    <s v="Q4"/>
  </r>
  <r>
    <s v="EOS0964"/>
    <d v="2025-10-31T00:00:00"/>
    <s v="FB"/>
    <s v="Ajay Yadav"/>
    <s v="gurgaon"/>
    <x v="16"/>
    <s v="Follow up "/>
    <n v="108000"/>
    <n v="107963"/>
    <s v="Follow up"/>
    <s v="Follow Up"/>
    <m/>
    <s v=""/>
    <s v="Starter"/>
    <s v="October"/>
    <s v="Q4"/>
  </r>
  <r>
    <s v="EOS0965"/>
    <d v="2025-10-31T00:00:00"/>
    <s v="FB"/>
    <s v="Jaimin Alpeshbhai Machhi"/>
    <s v="Rajkot"/>
    <x v="14"/>
    <s v="Follow up "/>
    <n v="108000"/>
    <n v="107964"/>
    <s v="Follow up"/>
    <s v="Follow Up"/>
    <m/>
    <s v=""/>
    <s v="Starter"/>
    <s v="October"/>
    <s v="Q4"/>
  </r>
  <r>
    <s v="EOS0966"/>
    <d v="2025-11-01T00:00:00"/>
    <s v="FB"/>
    <s v="Kanishk Thakkar"/>
    <s v="Vadodara"/>
    <x v="14"/>
    <s v="Follow up "/>
    <n v="108000"/>
    <n v="107965"/>
    <s v="Follow up"/>
    <s v="Follow Up"/>
    <m/>
    <s v=""/>
    <s v="Starter"/>
    <s v="November"/>
    <s v="Q4"/>
  </r>
  <r>
    <s v="EOS0967"/>
    <d v="2025-11-01T00:00:00"/>
    <s v="FB"/>
    <s v="Gilli Krishnani"/>
    <m/>
    <x v="14"/>
    <s v="Follow up "/>
    <n v="108000"/>
    <n v="107966"/>
    <s v="Follow up"/>
    <s v="Follow Up"/>
    <m/>
    <s v=""/>
    <s v="Starter"/>
    <s v="November"/>
    <s v="Q4"/>
  </r>
  <r>
    <s v="EOS0968"/>
    <d v="2025-11-03T00:00:00"/>
    <s v="FB"/>
    <s v="Parth gohel"/>
    <s v="Anand"/>
    <x v="14"/>
    <s v="Follow up "/>
    <n v="108000"/>
    <n v="107967"/>
    <s v="Follow up"/>
    <s v="Follow Up"/>
    <m/>
    <s v=""/>
    <s v="Starter"/>
    <s v="November"/>
    <s v="Q4"/>
  </r>
  <r>
    <s v="EOS0969"/>
    <d v="2025-11-03T00:00:00"/>
    <s v="WA"/>
    <s v="Samir"/>
    <m/>
    <x v="14"/>
    <s v="Rejected"/>
    <n v="130000"/>
    <n v="107968"/>
    <s v="Rejected"/>
    <s v="Rejected"/>
    <m/>
    <s v=""/>
    <s v="Starter"/>
    <s v="November"/>
    <s v="Q4"/>
  </r>
  <r>
    <s v="EOS0970"/>
    <d v="2025-11-03T00:00:00"/>
    <s v="FB"/>
    <s v="piyu."/>
    <m/>
    <x v="14"/>
    <s v="Follow up "/>
    <n v="108000"/>
    <n v="107969"/>
    <s v="Follow up"/>
    <s v="Follow Up"/>
    <m/>
    <s v=""/>
    <s v="Starter"/>
    <s v="November"/>
    <s v="Q4"/>
  </r>
  <r>
    <s v="EOS0971"/>
    <d v="2025-11-03T00:00:00"/>
    <s v="FB"/>
    <s v="A.B. Soni"/>
    <m/>
    <x v="14"/>
    <s v="Follow up "/>
    <n v="108000"/>
    <n v="107970"/>
    <s v="Follow up"/>
    <s v="Follow Up"/>
    <m/>
    <s v=""/>
    <s v="Starter"/>
    <s v="November"/>
    <s v="Q4"/>
  </r>
  <r>
    <s v="EOS0972"/>
    <d v="2025-11-03T00:00:00"/>
    <s v="FB"/>
    <s v="Arif Malek"/>
    <m/>
    <x v="14"/>
    <s v="Follow up "/>
    <n v="130000"/>
    <n v="107971"/>
    <s v="Follow up"/>
    <s v="Follow Up"/>
    <m/>
    <s v=""/>
    <s v="Starter"/>
    <s v="November"/>
    <s v="Q4"/>
  </r>
  <r>
    <s v="EOS0973"/>
    <d v="2025-11-04T00:00:00"/>
    <s v="FB"/>
    <s v="vishal. M. Kanabar"/>
    <s v="Rajkot"/>
    <x v="14"/>
    <s v="Follow up "/>
    <n v="130000"/>
    <n v="107972"/>
    <s v="Follow up"/>
    <s v="Follow Up"/>
    <m/>
    <s v=""/>
    <s v="Starter"/>
    <s v="November"/>
    <s v="Q4"/>
  </r>
  <r>
    <s v="EOS0974"/>
    <d v="2025-11-04T00:00:00"/>
    <s v="FB"/>
    <s v="Chintan Andhariya"/>
    <s v=" Bhavnagar"/>
    <x v="14"/>
    <s v="Follow up "/>
    <n v="130000"/>
    <n v="107973"/>
    <s v="Follow up"/>
    <s v="Follow Up"/>
    <m/>
    <s v=""/>
    <s v="Starter"/>
    <s v="November"/>
    <s v="Q4"/>
  </r>
  <r>
    <s v="EOS0975"/>
    <d v="2025-11-04T00:00:00"/>
    <s v="FB"/>
    <s v="Karan varma"/>
    <m/>
    <x v="0"/>
    <s v="Rejected"/>
    <n v="130000"/>
    <n v="107974"/>
    <s v="Rejected"/>
    <s v="Rejected"/>
    <m/>
    <s v=""/>
    <s v="Starter"/>
    <s v="November"/>
    <s v="Q4"/>
  </r>
  <r>
    <s v="EOS0976"/>
    <d v="2025-11-05T00:00:00"/>
    <s v="FB"/>
    <s v="Ramesh P Bhardva"/>
    <m/>
    <x v="14"/>
    <s v="Follow up "/>
    <n v="177000"/>
    <n v="107975"/>
    <s v="Follow up"/>
    <s v="Follow Up"/>
    <m/>
    <s v=""/>
    <s v="Growth"/>
    <s v="November"/>
    <s v="Q4"/>
  </r>
  <r>
    <s v="EOS0977"/>
    <d v="2025-11-05T00:00:00"/>
    <s v="FB"/>
    <s v="Pradeep "/>
    <m/>
    <x v="0"/>
    <s v="Follow up "/>
    <n v="130000"/>
    <n v="107976"/>
    <s v="Follow up"/>
    <s v="Follow Up"/>
    <m/>
    <s v=""/>
    <s v="Starter"/>
    <s v="November"/>
    <s v="Q4"/>
  </r>
  <r>
    <s v="EOS0978"/>
    <d v="2025-11-05T00:00:00"/>
    <s v="FB"/>
    <s v="Vipul Pankhaniya"/>
    <s v="Surat "/>
    <x v="14"/>
    <s v="Follow up "/>
    <n v="177000"/>
    <n v="107977"/>
    <s v="Follow up"/>
    <s v="Follow Up"/>
    <m/>
    <s v=""/>
    <s v="Growth"/>
    <s v="November"/>
    <s v="Q4"/>
  </r>
  <r>
    <s v="EOS0979"/>
    <d v="2025-11-05T00:00:00"/>
    <s v="FB"/>
    <s v="Naresh Chauhan"/>
    <m/>
    <x v="0"/>
    <s v="Follow up "/>
    <n v="130000"/>
    <n v="107978"/>
    <s v="Follow up"/>
    <s v="Follow Up"/>
    <m/>
    <s v=""/>
    <s v="Starter"/>
    <s v="November"/>
    <s v="Q4"/>
  </r>
  <r>
    <s v="EOS0980"/>
    <d v="2025-11-05T00:00:00"/>
    <s v="FB"/>
    <s v="Pradipsinh Vaghela"/>
    <m/>
    <x v="0"/>
    <s v="Follow up "/>
    <n v="108000"/>
    <n v="107979"/>
    <s v="Follow up"/>
    <s v="Follow Up"/>
    <m/>
    <s v=""/>
    <s v="Starter"/>
    <s v="November"/>
    <s v="Q4"/>
  </r>
  <r>
    <s v="EOS0981"/>
    <d v="2025-11-05T00:00:00"/>
    <s v="FB"/>
    <s v="Rahul"/>
    <m/>
    <x v="0"/>
    <s v="Follow up "/>
    <n v="108000"/>
    <n v="107980"/>
    <s v="Follow up"/>
    <s v="Follow Up"/>
    <m/>
    <s v=""/>
    <s v="Starter"/>
    <s v="November"/>
    <s v="Q4"/>
  </r>
  <r>
    <s v="EOS0982"/>
    <d v="2025-11-05T00:00:00"/>
    <s v="FB"/>
    <s v="Arif Malek"/>
    <m/>
    <x v="0"/>
    <s v="Follow up "/>
    <n v="130000"/>
    <n v="107981"/>
    <s v="Follow up"/>
    <s v="Follow Up"/>
    <m/>
    <s v=""/>
    <s v="Starter"/>
    <s v="November"/>
    <s v="Q4"/>
  </r>
  <r>
    <s v="EOS0983"/>
    <d v="2025-11-06T00:00:00"/>
    <s v="FB"/>
    <s v="Prajapati Dipak"/>
    <s v="Ahmedabad"/>
    <x v="14"/>
    <s v="Follow up "/>
    <n v="177000"/>
    <n v="107982"/>
    <s v="Follow up"/>
    <s v="Follow Up"/>
    <m/>
    <s v=""/>
    <s v="Growth"/>
    <s v="November"/>
    <s v="Q4"/>
  </r>
  <r>
    <s v="EOS0984"/>
    <d v="2025-11-06T00:00:00"/>
    <s v="FB"/>
    <s v="Dhapa Sagar"/>
    <s v="Mahuva"/>
    <x v="0"/>
    <s v="Rejected"/>
    <n v="130000"/>
    <n v="107983"/>
    <s v="Rejected"/>
    <s v="Rejected"/>
    <m/>
    <s v=""/>
    <s v="Starter"/>
    <s v="November"/>
    <s v="Q4"/>
  </r>
  <r>
    <s v="EOS0985"/>
    <d v="2025-11-06T00:00:00"/>
    <s v="FB"/>
    <s v="Naresh Kathad"/>
    <s v="Dhelana"/>
    <x v="14"/>
    <s v="Follow up "/>
    <n v="130000"/>
    <n v="107984"/>
    <s v="Follow up"/>
    <s v="Follow Up"/>
    <m/>
    <s v=""/>
    <s v="Starter"/>
    <s v="November"/>
    <s v="Q4"/>
  </r>
  <r>
    <s v="EOS0986"/>
    <d v="2025-11-06T00:00:00"/>
    <s v="FB"/>
    <s v="Amit Pawar"/>
    <s v="Vadodara"/>
    <x v="14"/>
    <s v="Follow up "/>
    <n v="130000"/>
    <n v="107985"/>
    <s v="Follow up"/>
    <s v="Follow Up"/>
    <m/>
    <s v=""/>
    <s v="Starter"/>
    <s v="November"/>
    <s v="Q4"/>
  </r>
  <r>
    <s v="EOS0987"/>
    <d v="2025-11-06T00:00:00"/>
    <s v="FB"/>
    <s v="Yogeshkumar"/>
    <s v="Palitana "/>
    <x v="14"/>
    <s v="Follow up "/>
    <n v="130000"/>
    <n v="107986"/>
    <s v="Follow up"/>
    <s v="Follow Up"/>
    <m/>
    <s v=""/>
    <s v="Starter"/>
    <s v="November"/>
    <s v="Q4"/>
  </r>
  <r>
    <s v="EOS0988"/>
    <d v="2025-11-07T00:00:00"/>
    <s v="FB"/>
    <s v="Rishi Donda"/>
    <s v="Surat "/>
    <x v="14"/>
    <s v="Follow up "/>
    <n v="108000"/>
    <n v="107987"/>
    <s v="Follow up"/>
    <s v="Follow Up"/>
    <m/>
    <s v=""/>
    <s v="Starter"/>
    <s v="November"/>
    <s v="Q4"/>
  </r>
  <r>
    <s v="EOS0989"/>
    <d v="2025-11-07T00:00:00"/>
    <s v="FB"/>
    <s v="Nitul sonara"/>
    <s v="Gandhinagar"/>
    <x v="0"/>
    <s v="Follow up "/>
    <n v="108000"/>
    <n v="107988"/>
    <s v="Follow up"/>
    <s v="Follow Up"/>
    <m/>
    <s v=""/>
    <s v="Starter"/>
    <s v="November"/>
    <s v="Q4"/>
  </r>
  <r>
    <s v="EOS0990"/>
    <d v="2025-11-08T00:00:00"/>
    <s v="FB"/>
    <s v="Rathod Mahesh"/>
    <s v=" Bhavnagar"/>
    <x v="14"/>
    <s v="Follow up "/>
    <n v="177000"/>
    <n v="107989"/>
    <s v="Follow up"/>
    <s v="Follow Up"/>
    <m/>
    <s v=""/>
    <s v="Growth"/>
    <s v="November"/>
    <s v="Q4"/>
  </r>
  <r>
    <s v="EOS0991"/>
    <d v="2025-11-08T00:00:00"/>
    <s v="FB"/>
    <s v="Jignesh kumar Manilal patel"/>
    <s v="Virpur"/>
    <x v="14"/>
    <s v="Follow up "/>
    <n v="177000"/>
    <n v="107990"/>
    <s v="Follow up"/>
    <s v="Follow Up"/>
    <m/>
    <s v=""/>
    <s v="Growth"/>
    <s v="November"/>
    <s v="Q4"/>
  </r>
  <r>
    <s v="EOS0992"/>
    <d v="2025-11-08T00:00:00"/>
    <s v="FB"/>
    <s v="Jignesh Vsv"/>
    <s v="Vododra "/>
    <x v="14"/>
    <s v="Follow up "/>
    <n v="130000"/>
    <n v="107991"/>
    <s v="Follow up"/>
    <s v="Follow Up"/>
    <m/>
    <s v=""/>
    <s v="Starter"/>
    <s v="November"/>
    <s v="Q4"/>
  </r>
  <r>
    <s v="EOS0993"/>
    <d v="2025-11-08T00:00:00"/>
    <s v="FB"/>
    <s v="_Hujeifa_"/>
    <s v="Ahmedabad"/>
    <x v="0"/>
    <s v="Rejected"/>
    <n v="108000"/>
    <n v="107992"/>
    <s v="Rejected"/>
    <s v="Rejected"/>
    <m/>
    <s v=""/>
    <s v="Starter"/>
    <s v="November"/>
    <s v="Q4"/>
  </r>
  <r>
    <s v="EOS0994"/>
    <d v="2025-11-10T00:00:00"/>
    <s v="FB"/>
    <s v="Atik Khan"/>
    <s v="Dabhoi"/>
    <x v="0"/>
    <s v="Rejected"/>
    <n v="108000"/>
    <n v="107993"/>
    <s v="Rejected"/>
    <s v="Rejected"/>
    <m/>
    <s v=""/>
    <s v="Starter"/>
    <s v="November"/>
    <s v="Q4"/>
  </r>
  <r>
    <s v="EOS0995"/>
    <d v="2025-11-10T00:00:00"/>
    <s v="FB"/>
    <s v="Mayank Chaudhari"/>
    <s v="waghai"/>
    <x v="14"/>
    <s v="Follow up "/>
    <n v="108000"/>
    <n v="107994"/>
    <s v="Follow up"/>
    <s v="Follow Up"/>
    <m/>
    <s v=""/>
    <s v="Starter"/>
    <s v="November"/>
    <s v="Q4"/>
  </r>
  <r>
    <s v="EOS0996"/>
    <d v="2025-11-10T00:00:00"/>
    <s v="FB"/>
    <s v="Nahak Surya"/>
    <s v="Ahmedabad"/>
    <x v="14"/>
    <s v="Follow up "/>
    <n v="108000"/>
    <n v="107995"/>
    <s v="Follow up"/>
    <s v="Follow Up"/>
    <m/>
    <s v=""/>
    <s v="Starter"/>
    <s v="November"/>
    <s v="Q4"/>
  </r>
  <r>
    <s v="EOS0997"/>
    <d v="2025-11-10T00:00:00"/>
    <s v="FB"/>
    <s v="KENIL PARMAR"/>
    <s v="Amreli"/>
    <x v="14"/>
    <s v="Follow up "/>
    <n v="108000"/>
    <n v="107996"/>
    <s v="Follow up"/>
    <s v="Follow Up"/>
    <m/>
    <s v=""/>
    <s v="Starter"/>
    <s v="November"/>
    <s v="Q4"/>
  </r>
  <r>
    <s v="EOS0998"/>
    <d v="2025-11-10T00:00:00"/>
    <s v="FB"/>
    <s v="bamaniya pravin"/>
    <s v="Rajkot"/>
    <x v="14"/>
    <s v="Follow up "/>
    <n v="108000"/>
    <n v="107997"/>
    <s v="Follow up"/>
    <s v="Follow Up"/>
    <m/>
    <s v=""/>
    <s v="Starter"/>
    <s v="November"/>
    <s v="Q4"/>
  </r>
  <r>
    <s v="EOS0999"/>
    <d v="2025-11-10T00:00:00"/>
    <s v="FB"/>
    <s v="Mayankbhai Chaudhar"/>
    <s v="Bhagai "/>
    <x v="14"/>
    <s v="Follow up "/>
    <n v="108000"/>
    <n v="107998"/>
    <s v="Follow up"/>
    <s v="Follow Up"/>
    <m/>
    <s v=""/>
    <s v="Starter"/>
    <s v="November"/>
    <s v="Q4"/>
  </r>
  <r>
    <s v="EOS1000"/>
    <d v="2025-11-11T00:00:00"/>
    <s v="FB"/>
    <s v="Ashok Juthani"/>
    <s v="Junagadh"/>
    <x v="14"/>
    <s v="Follow up "/>
    <n v="108000"/>
    <n v="107999"/>
    <s v="Follow up"/>
    <s v="Follow Up"/>
    <m/>
    <s v=""/>
    <s v="Starter"/>
    <s v="November"/>
    <s v="Q4"/>
  </r>
  <r>
    <s v="EOS1001"/>
    <d v="2025-07-25T00:00:00"/>
    <s v="FB"/>
    <s v="Jignesh"/>
    <s v="Ahmedabad"/>
    <x v="14"/>
    <s v="Follow up "/>
    <n v="108000"/>
    <n v="1071000"/>
    <s v="Follow up"/>
    <s v="Follow Up"/>
    <d v="2025-08-02T00:00:00"/>
    <n v="8"/>
    <s v="Starter"/>
    <s v="July"/>
    <s v="Q3"/>
  </r>
  <r>
    <s v="EOS1002"/>
    <d v="2025-11-11T00:00:00"/>
    <s v="FB"/>
    <s v="Pawan Vishwakarma Vishwakarma"/>
    <s v="Surat"/>
    <x v="14"/>
    <s v="Follow up "/>
    <n v="177000"/>
    <n v="1071001"/>
    <s v="Follow up"/>
    <s v="Follow Up"/>
    <m/>
    <s v=""/>
    <s v="Growth"/>
    <s v="November"/>
    <s v="Q4"/>
  </r>
  <r>
    <s v="EOS1003"/>
    <d v="2025-11-11T00:00:00"/>
    <s v="FB"/>
    <s v="Ketan Shah"/>
    <s v="Bayad"/>
    <x v="14"/>
    <s v="Follow up "/>
    <n v="177000"/>
    <n v="1071002"/>
    <s v="Follow up"/>
    <s v="Follow Up"/>
    <m/>
    <s v=""/>
    <s v="Growth"/>
    <s v="November"/>
    <s v="Q4"/>
  </r>
  <r>
    <s v="EOS1004"/>
    <d v="2025-11-11T00:00:00"/>
    <s v="FB"/>
    <s v="Sagar Dave"/>
    <s v="Rajkot"/>
    <x v="14"/>
    <s v="Follow up "/>
    <n v="108000"/>
    <n v="1071003"/>
    <s v="Follow up"/>
    <s v="Follow Up"/>
    <m/>
    <s v=""/>
    <s v="Starter"/>
    <s v="November"/>
    <s v="Q4"/>
  </r>
  <r>
    <s v="EOS1005"/>
    <d v="2025-11-11T00:00:00"/>
    <s v="FB"/>
    <s v="Mori Nilesh"/>
    <s v="Surat "/>
    <x v="14"/>
    <s v="Follow up "/>
    <n v="108000"/>
    <n v="1071004"/>
    <s v="Follow up"/>
    <s v="Follow Up"/>
    <m/>
    <s v=""/>
    <s v="Starter"/>
    <s v="November"/>
    <s v="Q4"/>
  </r>
  <r>
    <s v="EOS1006"/>
    <d v="2025-11-11T00:00:00"/>
    <s v="FB"/>
    <s v="Dinesh RajeMahadik"/>
    <m/>
    <x v="14"/>
    <s v="Follow up "/>
    <n v="130000"/>
    <n v="1071005"/>
    <s v="Follow up"/>
    <s v="Follow Up"/>
    <m/>
    <s v=""/>
    <s v="Starter"/>
    <s v="November"/>
    <s v="Q4"/>
  </r>
  <r>
    <s v="EOS1007"/>
    <d v="2025-06-09T00:00:00"/>
    <s v="FB"/>
    <s v="Malvat Vasim"/>
    <s v="Surat"/>
    <x v="14"/>
    <s v="Follow up "/>
    <n v="130000"/>
    <n v="1071006"/>
    <s v="Follow up"/>
    <s v="Follow Up"/>
    <m/>
    <s v=""/>
    <s v="Starter"/>
    <s v="June"/>
    <s v="Q2"/>
  </r>
  <r>
    <s v="EOS1008"/>
    <d v="2025-11-12T00:00:00"/>
    <s v="FB"/>
    <s v="Bhavik Patel"/>
    <s v="Ahmedabad"/>
    <x v="0"/>
    <s v="Rejected"/>
    <n v="108000"/>
    <n v="1071007"/>
    <s v="Rejected"/>
    <s v="Rejected"/>
    <m/>
    <s v=""/>
    <s v="Starter"/>
    <s v="November"/>
    <s v="Q4"/>
  </r>
  <r>
    <s v="EOS1009"/>
    <d v="2025-11-12T00:00:00"/>
    <s v="FB"/>
    <s v="Bharat Andodariya"/>
    <s v="Rajkot "/>
    <x v="0"/>
    <s v="Rejected"/>
    <n v="108000"/>
    <n v="1071008"/>
    <s v="Rejected"/>
    <s v="Rejected"/>
    <m/>
    <s v=""/>
    <s v="Starter"/>
    <s v="November"/>
    <s v="Q4"/>
  </r>
  <r>
    <s v="EOS1010"/>
    <d v="2025-11-12T00:00:00"/>
    <s v="FB"/>
    <s v="Lubna Kureshi"/>
    <s v="Surat"/>
    <x v="14"/>
    <s v="Follow up "/>
    <n v="130000"/>
    <n v="1071009"/>
    <s v="Follow up"/>
    <s v="Follow Up"/>
    <m/>
    <s v=""/>
    <s v="Starter"/>
    <s v="November"/>
    <s v="Q4"/>
  </r>
  <r>
    <s v="EOS1011"/>
    <d v="2025-11-12T00:00:00"/>
    <s v="FB"/>
    <s v="Prince Mali"/>
    <s v="Ahmedabad"/>
    <x v="14"/>
    <s v="Follow up "/>
    <n v="130000"/>
    <n v="1071010"/>
    <s v="Follow up"/>
    <s v="Follow Up"/>
    <m/>
    <s v=""/>
    <s v="Starter"/>
    <s v="November"/>
    <s v="Q4"/>
  </r>
  <r>
    <s v="EOS1012"/>
    <d v="2025-11-13T00:00:00"/>
    <s v="FB"/>
    <s v="Sp P"/>
    <m/>
    <x v="14"/>
    <s v="Follow up "/>
    <n v="108000"/>
    <n v="1071011"/>
    <s v="Follow up"/>
    <s v="Follow Up"/>
    <m/>
    <s v=""/>
    <s v="Starter"/>
    <s v="November"/>
    <s v="Q4"/>
  </r>
  <r>
    <s v="EOS1013"/>
    <d v="2025-11-13T00:00:00"/>
    <s v="FB"/>
    <s v="Raj Patel "/>
    <s v="Mehsana"/>
    <x v="14"/>
    <s v="Follow up "/>
    <n v="130000"/>
    <n v="1071012"/>
    <s v="Follow up"/>
    <s v="Follow Up"/>
    <m/>
    <s v=""/>
    <s v="Starter"/>
    <s v="November"/>
    <s v="Q4"/>
  </r>
  <r>
    <s v="EOS1014"/>
    <d v="2025-11-13T00:00:00"/>
    <s v="FB"/>
    <s v="Rajashi Bariya"/>
    <m/>
    <x v="14"/>
    <s v="Follow up "/>
    <n v="108000"/>
    <n v="1071013"/>
    <s v="Follow up"/>
    <s v="Follow Up"/>
    <m/>
    <s v=""/>
    <s v="Starter"/>
    <s v="November"/>
    <s v="Q4"/>
  </r>
  <r>
    <s v="EOS1015"/>
    <d v="2025-11-13T00:00:00"/>
    <s v="FB"/>
    <s v="BHAVESH KATHIYAWADI"/>
    <m/>
    <x v="14"/>
    <s v="Follow up "/>
    <n v="130000"/>
    <n v="1071014"/>
    <s v="Follow up"/>
    <s v="Follow Up"/>
    <m/>
    <s v=""/>
    <s v="Starter"/>
    <s v="November"/>
    <s v="Q4"/>
  </r>
  <r>
    <s v="EOS1016"/>
    <d v="2025-11-13T00:00:00"/>
    <s v="FB"/>
    <m/>
    <m/>
    <x v="14"/>
    <s v="Follow up "/>
    <n v="130000"/>
    <n v="1071015"/>
    <s v="Follow up"/>
    <s v="Follow Up"/>
    <m/>
    <s v=""/>
    <s v="Starter"/>
    <s v="November"/>
    <s v="Q4"/>
  </r>
  <r>
    <s v="EOS1017"/>
    <d v="2025-11-14T00:00:00"/>
    <s v="FB"/>
    <s v="Nilay Thaker"/>
    <s v="Jamnagar"/>
    <x v="0"/>
    <s v="Rejected"/>
    <n v="108000"/>
    <n v="1071016"/>
    <s v="Rejected"/>
    <s v="Rejected"/>
    <m/>
    <s v=""/>
    <s v="Starter"/>
    <s v="November"/>
    <s v="Q4"/>
  </r>
  <r>
    <s v="EOS1018"/>
    <d v="2025-11-14T00:00:00"/>
    <s v="FB"/>
    <s v="Fenilv"/>
    <m/>
    <x v="0"/>
    <s v="Rejected"/>
    <n v="108000"/>
    <n v="1071017"/>
    <s v="Rejected"/>
    <s v="Rejected"/>
    <m/>
    <s v=""/>
    <s v="Starter"/>
    <s v="November"/>
    <s v="Q4"/>
  </r>
  <r>
    <s v="EOS1019"/>
    <d v="2025-11-14T00:00:00"/>
    <s v="FB"/>
    <s v="Arjan Apa"/>
    <m/>
    <x v="14"/>
    <s v="Follow up "/>
    <n v="108000"/>
    <n v="1071018"/>
    <s v="Follow up"/>
    <s v="Follow Up"/>
    <m/>
    <s v=""/>
    <s v="Starter"/>
    <s v="November"/>
    <s v="Q4"/>
  </r>
  <r>
    <s v="EOS1020"/>
    <d v="2025-11-14T00:00:00"/>
    <s v="FB"/>
    <s v="Kalpesh Chaudhar"/>
    <m/>
    <x v="14"/>
    <s v="Follow up "/>
    <n v="130000"/>
    <n v="1071019"/>
    <s v="Follow up"/>
    <s v="Follow Up"/>
    <m/>
    <s v=""/>
    <s v="Starter"/>
    <s v="November"/>
    <s v="Q4"/>
  </r>
  <r>
    <s v="EOS1021"/>
    <d v="2025-11-14T00:00:00"/>
    <s v="FB"/>
    <s v="Sutariya Mithil"/>
    <m/>
    <x v="14"/>
    <s v="Follow up "/>
    <n v="108000"/>
    <n v="1071020"/>
    <s v="Follow up"/>
    <s v="Follow Up"/>
    <m/>
    <s v=""/>
    <s v="Starter"/>
    <s v="November"/>
    <s v="Q4"/>
  </r>
  <r>
    <s v="EOS1022"/>
    <d v="2025-11-14T00:00:00"/>
    <s v="FB"/>
    <s v="Sagar Ghetiya"/>
    <m/>
    <x v="14"/>
    <s v="Follow up "/>
    <n v="108000"/>
    <n v="1071021"/>
    <s v="Follow up"/>
    <s v="Follow Up"/>
    <m/>
    <s v=""/>
    <s v="Starter"/>
    <s v="November"/>
    <s v="Q4"/>
  </r>
  <r>
    <s v="EOS1023"/>
    <d v="2025-11-14T00:00:00"/>
    <s v="FB"/>
    <s v="Meet Suthar"/>
    <m/>
    <x v="14"/>
    <s v="Follow up "/>
    <n v="130000"/>
    <n v="1071022"/>
    <s v="Follow up"/>
    <s v="Follow Up"/>
    <m/>
    <s v=""/>
    <s v="Starter"/>
    <s v="November"/>
    <s v="Q4"/>
  </r>
  <r>
    <s v="EOS1024"/>
    <d v="2025-11-14T00:00:00"/>
    <s v="FB"/>
    <s v="Solanki aniruddhsinh "/>
    <m/>
    <x v="14"/>
    <s v="Follow up "/>
    <n v="130000"/>
    <n v="1071023"/>
    <s v="Follow up"/>
    <s v="Follow Up"/>
    <m/>
    <s v=""/>
    <s v="Starter"/>
    <s v="November"/>
    <s v="Q4"/>
  </r>
  <r>
    <s v="EOS1025"/>
    <d v="2025-11-15T00:00:00"/>
    <s v="Samad"/>
    <s v="Autosh Rai "/>
    <s v="lucknow "/>
    <x v="14"/>
    <s v="Deal"/>
    <n v="177000"/>
    <n v="1071024"/>
    <s v="Deal"/>
    <s v="Converted"/>
    <d v="2025-11-30T00:00:00"/>
    <n v="15"/>
    <s v="Growth"/>
    <s v="November"/>
    <s v="Q4"/>
  </r>
  <r>
    <s v="EOS1026"/>
    <d v="2025-11-14T00:00:00"/>
    <s v="FB"/>
    <s v="Hiren Miyatra"/>
    <m/>
    <x v="14"/>
    <s v="Follow up "/>
    <n v="108000"/>
    <n v="1071025"/>
    <s v="Follow up"/>
    <s v="Follow Up"/>
    <m/>
    <s v=""/>
    <s v="Starter"/>
    <s v="November"/>
    <s v="Q4"/>
  </r>
  <r>
    <s v="EOS1027"/>
    <d v="2025-11-15T00:00:00"/>
    <s v="FB"/>
    <s v="Zaid Panwala"/>
    <m/>
    <x v="0"/>
    <s v="Rejected"/>
    <n v="108000"/>
    <n v="1071026"/>
    <s v="Rejected"/>
    <s v="Rejected"/>
    <m/>
    <s v=""/>
    <s v="Starter"/>
    <s v="November"/>
    <s v="Q4"/>
  </r>
  <r>
    <s v="EOS1028"/>
    <d v="2025-11-15T00:00:00"/>
    <s v="FB"/>
    <s v="Parth Koshti"/>
    <m/>
    <x v="14"/>
    <s v="Follow up "/>
    <n v="130000"/>
    <n v="1071027"/>
    <s v="Follow up"/>
    <s v="Follow Up"/>
    <m/>
    <s v=""/>
    <s v="Starter"/>
    <s v="November"/>
    <s v="Q4"/>
  </r>
  <r>
    <s v="EOS1029"/>
    <d v="2025-11-15T00:00:00"/>
    <s v="FB"/>
    <s v="NAUSHAD"/>
    <m/>
    <x v="14"/>
    <s v="Follow up "/>
    <n v="108000"/>
    <n v="1071028"/>
    <s v="Follow up"/>
    <s v="Follow Up"/>
    <m/>
    <s v=""/>
    <s v="Starter"/>
    <s v="November"/>
    <s v="Q4"/>
  </r>
  <r>
    <s v="EOS1030"/>
    <d v="2025-11-15T00:00:00"/>
    <s v="FB"/>
    <s v="Sandeep Jayswal"/>
    <m/>
    <x v="14"/>
    <s v="Follow up "/>
    <n v="130000"/>
    <n v="1071029"/>
    <s v="Follow up"/>
    <s v="Follow Up"/>
    <m/>
    <s v=""/>
    <s v="Starter"/>
    <s v="November"/>
    <s v="Q4"/>
  </r>
  <r>
    <s v="EOS1031"/>
    <d v="2025-11-15T00:00:00"/>
    <s v="FB"/>
    <s v="Sachin Labana"/>
    <m/>
    <x v="14"/>
    <s v="Follow up "/>
    <n v="108000"/>
    <n v="1071030"/>
    <s v="Follow up"/>
    <s v="Follow Up"/>
    <m/>
    <s v=""/>
    <s v="Starter"/>
    <s v="November"/>
    <s v="Q4"/>
  </r>
  <r>
    <s v="EOS1032"/>
    <d v="2025-11-15T00:00:00"/>
    <s v="FB"/>
    <s v="jignesh"/>
    <m/>
    <x v="14"/>
    <s v="Follow up "/>
    <n v="108000"/>
    <n v="1071031"/>
    <s v="Follow up"/>
    <s v="Follow Up"/>
    <m/>
    <s v=""/>
    <s v="Starter"/>
    <s v="November"/>
    <s v="Q4"/>
  </r>
  <r>
    <s v="EOS1033"/>
    <d v="2025-11-15T00:00:00"/>
    <s v="FB"/>
    <s v="Vipul Dudhaiya"/>
    <m/>
    <x v="14"/>
    <s v="Follow up "/>
    <n v="108000"/>
    <n v="1071032"/>
    <s v="Follow up"/>
    <s v="Follow Up"/>
    <m/>
    <s v=""/>
    <s v="Starter"/>
    <s v="November"/>
    <s v="Q4"/>
  </r>
  <r>
    <s v="EOS1034"/>
    <d v="2025-11-15T00:00:00"/>
    <s v="FB"/>
    <m/>
    <m/>
    <x v="14"/>
    <s v="Follow up "/>
    <n v="130000"/>
    <n v="1071033"/>
    <s v="Follow up"/>
    <s v="Follow Up"/>
    <m/>
    <s v=""/>
    <s v="Starter"/>
    <s v="November"/>
    <s v="Q4"/>
  </r>
  <r>
    <s v="EOS1035"/>
    <d v="2025-11-15T00:00:00"/>
    <s v="FB"/>
    <s v="Mohit Brahmbhatt"/>
    <m/>
    <x v="14"/>
    <s v="Follow up "/>
    <n v="130000"/>
    <n v="1071034"/>
    <s v="Follow up"/>
    <s v="Follow Up"/>
    <m/>
    <s v=""/>
    <s v="Starter"/>
    <s v="November"/>
    <s v="Q4"/>
  </r>
  <r>
    <s v="EOS1036"/>
    <d v="2025-11-15T00:00:00"/>
    <s v="FB"/>
    <s v="Yatin Vora"/>
    <m/>
    <x v="14"/>
    <s v="Follow up "/>
    <n v="108000"/>
    <n v="1071035"/>
    <s v="Follow up"/>
    <s v="Follow Up"/>
    <m/>
    <s v=""/>
    <s v="Starter"/>
    <s v="November"/>
    <s v="Q4"/>
  </r>
  <r>
    <s v="EOS1037"/>
    <d v="2025-11-15T00:00:00"/>
    <s v="FB"/>
    <s v="Alpesh Barot"/>
    <m/>
    <x v="14"/>
    <s v="Follow up "/>
    <n v="130000"/>
    <n v="1071036"/>
    <s v="Follow up"/>
    <s v="Follow Up"/>
    <m/>
    <s v=""/>
    <s v="Starter"/>
    <s v="November"/>
    <s v="Q4"/>
  </r>
  <r>
    <s v="EOS1038"/>
    <d v="2025-11-15T00:00:00"/>
    <s v="FB"/>
    <s v="Rakesh Balya"/>
    <m/>
    <x v="14"/>
    <s v="Follow up "/>
    <n v="108000"/>
    <n v="1071037"/>
    <s v="Follow up"/>
    <s v="Follow Up"/>
    <m/>
    <s v=""/>
    <s v="Starter"/>
    <s v="November"/>
    <s v="Q4"/>
  </r>
  <r>
    <s v="EOS1039"/>
    <d v="2025-11-15T00:00:00"/>
    <s v="FB"/>
    <s v="yashraj Sinh"/>
    <s v="Ahmedabad"/>
    <x v="14"/>
    <s v="Follow up "/>
    <n v="130000"/>
    <n v="1071038"/>
    <s v="Follow up"/>
    <s v="Follow Up"/>
    <m/>
    <s v=""/>
    <s v="Starter"/>
    <s v="November"/>
    <s v="Q4"/>
  </r>
  <r>
    <s v="EOS1040"/>
    <d v="2025-12-01T00:00:00"/>
    <s v="FB"/>
    <s v="Dharmendra Soni"/>
    <s v="Surat"/>
    <x v="14"/>
    <s v="Follow up "/>
    <n v="108000"/>
    <n v="1071039"/>
    <s v="Follow up"/>
    <s v="Follow Up"/>
    <m/>
    <s v=""/>
    <s v="Starter"/>
    <s v="December"/>
    <s v="Q4"/>
  </r>
  <r>
    <s v="EOS1041"/>
    <d v="2025-12-01T00:00:00"/>
    <s v="FB"/>
    <s v="Divyang"/>
    <s v=" Bhavnagar"/>
    <x v="14"/>
    <s v="Follow up "/>
    <n v="130000"/>
    <n v="1071040"/>
    <s v="Follow up"/>
    <s v="Follow Up"/>
    <m/>
    <s v=""/>
    <s v="Starter"/>
    <s v="December"/>
    <s v="Q4"/>
  </r>
  <r>
    <s v="EOS1042"/>
    <d v="2025-12-01T00:00:00"/>
    <s v="FB"/>
    <s v="Ashish Solanki"/>
    <s v="Patan "/>
    <x v="14"/>
    <s v="Follow up "/>
    <n v="177000"/>
    <n v="1071041"/>
    <s v="Follow up"/>
    <s v="Follow Up"/>
    <m/>
    <s v=""/>
    <s v="Growth"/>
    <s v="December"/>
    <s v="Q4"/>
  </r>
  <r>
    <s v="EOS1043"/>
    <d v="2025-12-01T00:00:00"/>
    <s v="FB"/>
    <s v="Kaushik Soni"/>
    <s v="Dungri"/>
    <x v="14"/>
    <s v="Follow up "/>
    <n v="108000"/>
    <n v="1071042"/>
    <s v="Follow up"/>
    <s v="Follow Up"/>
    <m/>
    <s v=""/>
    <s v="Starter"/>
    <s v="December"/>
    <s v="Q4"/>
  </r>
  <r>
    <s v="EOS1044"/>
    <d v="2025-12-01T00:00:00"/>
    <s v="FB"/>
    <s v="Dhiren Patel"/>
    <s v="Sanjan "/>
    <x v="14"/>
    <s v="Follow up "/>
    <n v="108000"/>
    <n v="1071043"/>
    <s v="Follow up"/>
    <s v="Follow Up"/>
    <m/>
    <s v=""/>
    <s v="Starter"/>
    <s v="December"/>
    <s v="Q4"/>
  </r>
  <r>
    <s v="EOS1045"/>
    <d v="2025-12-01T00:00:00"/>
    <s v="FB"/>
    <s v="Ravi Dhodi"/>
    <s v="netrang "/>
    <x v="14"/>
    <s v="Follow up "/>
    <n v="177000"/>
    <n v="1071044"/>
    <s v="Follow up"/>
    <s v="Follow Up"/>
    <m/>
    <s v=""/>
    <s v="Growth"/>
    <s v="December"/>
    <s v="Q4"/>
  </r>
  <r>
    <s v="EOS1046"/>
    <d v="2025-12-01T00:00:00"/>
    <s v="FB"/>
    <s v="Er Jignesh Patel Thesiya"/>
    <s v="Navsari"/>
    <x v="14"/>
    <s v="Follow up "/>
    <n v="108000"/>
    <n v="1071045"/>
    <s v="Follow up"/>
    <s v="Follow Up"/>
    <m/>
    <s v=""/>
    <s v="Starter"/>
    <s v="December"/>
    <s v="Q4"/>
  </r>
  <r>
    <s v="EOS1047"/>
    <d v="2025-12-01T00:00:00"/>
    <s v="FB"/>
    <s v="Mihir Goswami"/>
    <m/>
    <x v="14"/>
    <s v="Rejected"/>
    <n v="108000"/>
    <n v="1071046"/>
    <s v="Rejected"/>
    <s v="Rejected"/>
    <m/>
    <s v=""/>
    <s v="Starter"/>
    <s v="December"/>
    <s v="Q4"/>
  </r>
  <r>
    <s v="EOS1048"/>
    <d v="2025-12-02T00:00:00"/>
    <s v="FB"/>
    <s v="Faruk Shaikh"/>
    <s v="Ahmedabad"/>
    <x v="14"/>
    <s v="Follow up "/>
    <n v="130000"/>
    <n v="1071047"/>
    <s v="Follow up"/>
    <s v="Follow Up"/>
    <m/>
    <s v=""/>
    <s v="Starter"/>
    <s v="December"/>
    <s v="Q4"/>
  </r>
  <r>
    <s v="EOS1049"/>
    <d v="2025-12-02T00:00:00"/>
    <s v="FB"/>
    <s v="Shree Sharma"/>
    <s v="Mehsana"/>
    <x v="14"/>
    <s v="Follow up "/>
    <n v="130000"/>
    <n v="1071048"/>
    <s v="Follow up"/>
    <s v="Follow Up"/>
    <m/>
    <s v=""/>
    <s v="Starter"/>
    <s v="December"/>
    <s v="Q4"/>
  </r>
  <r>
    <s v="EOS1050"/>
    <d v="2025-12-02T00:00:00"/>
    <s v="FB"/>
    <s v="Patel Romil"/>
    <s v="Ahmedabad"/>
    <x v="14"/>
    <s v="Follow up "/>
    <n v="108000"/>
    <n v="1071049"/>
    <s v="Follow up"/>
    <s v="Follow Up"/>
    <m/>
    <s v=""/>
    <s v="Starter"/>
    <s v="December"/>
    <s v="Q4"/>
  </r>
  <r>
    <s v="EOS1051"/>
    <d v="2025-12-02T00:00:00"/>
    <s v="FB"/>
    <s v="riJesh PaTel"/>
    <s v="Surat"/>
    <x v="14"/>
    <s v="Follow up "/>
    <n v="108000"/>
    <n v="1071050"/>
    <s v="Follow up"/>
    <s v="Follow Up"/>
    <m/>
    <s v=""/>
    <s v="Starter"/>
    <s v="December"/>
    <s v="Q4"/>
  </r>
  <r>
    <s v="EOS1052"/>
    <d v="2025-12-02T00:00:00"/>
    <s v="FB"/>
    <s v="KD"/>
    <s v="Surendranagar"/>
    <x v="14"/>
    <s v="Follow up "/>
    <n v="130000"/>
    <n v="1071051"/>
    <s v="Follow up"/>
    <s v="Follow Up"/>
    <m/>
    <s v=""/>
    <s v="Starter"/>
    <s v="December"/>
    <s v="Q4"/>
  </r>
  <r>
    <s v="EOS1053"/>
    <d v="2025-12-02T00:00:00"/>
    <s v="FB"/>
    <s v="Jasmin Kalotra"/>
    <s v="Valsad"/>
    <x v="14"/>
    <s v="Follow up "/>
    <n v="130000"/>
    <n v="1071052"/>
    <s v="Follow up"/>
    <s v="Follow Up"/>
    <m/>
    <s v=""/>
    <s v="Starter"/>
    <s v="December"/>
    <s v="Q4"/>
  </r>
  <r>
    <s v="EOS1054"/>
    <d v="2025-12-02T00:00:00"/>
    <s v="FB"/>
    <s v="Suchit Patel"/>
    <s v=" Bhavnagar"/>
    <x v="14"/>
    <s v="Follow up "/>
    <n v="108000"/>
    <n v="1071053"/>
    <s v="Follow up"/>
    <s v="Follow Up"/>
    <m/>
    <s v=""/>
    <s v="Starter"/>
    <s v="December"/>
    <s v="Q4"/>
  </r>
  <r>
    <s v="EOS1055"/>
    <d v="2025-12-02T00:00:00"/>
    <s v="FB"/>
    <s v="Virajsinh Chudasama"/>
    <s v="Ahmedabad"/>
    <x v="14"/>
    <s v="Follow up "/>
    <n v="108000"/>
    <n v="1071054"/>
    <s v="Follow up"/>
    <s v="Follow Up"/>
    <m/>
    <s v=""/>
    <s v="Starter"/>
    <s v="December"/>
    <s v="Q4"/>
  </r>
  <r>
    <s v="EOS1056"/>
    <d v="2025-12-02T00:00:00"/>
    <s v="FB"/>
    <s v="MEET TORIYA"/>
    <s v="Dobahi"/>
    <x v="14"/>
    <s v="Follow up "/>
    <n v="108000"/>
    <n v="1071055"/>
    <s v="Follow up"/>
    <s v="Follow Up"/>
    <m/>
    <s v=""/>
    <s v="Starter"/>
    <s v="December"/>
    <s v="Q4"/>
  </r>
  <r>
    <s v="EOS1057"/>
    <d v="2025-12-02T00:00:00"/>
    <s v="FB"/>
    <s v="Arvind"/>
    <s v="Vadodara"/>
    <x v="14"/>
    <s v="Rejected"/>
    <n v="130000"/>
    <n v="1071056"/>
    <s v="Rejected"/>
    <s v="Rejected"/>
    <m/>
    <s v=""/>
    <s v="Starter"/>
    <s v="December"/>
    <s v="Q4"/>
  </r>
  <r>
    <s v="EOS1058"/>
    <d v="2025-11-19T00:00:00"/>
    <s v="FB"/>
    <s v="Virendrasinh Solanki"/>
    <s v=""/>
    <x v="14"/>
    <s v="Follow up "/>
    <n v="130000"/>
    <n v="1071057"/>
    <s v="Follow up"/>
    <s v="Follow Up"/>
    <m/>
    <s v=""/>
    <s v="Starter"/>
    <s v="November"/>
    <s v="Q4"/>
  </r>
  <r>
    <s v="EOS1059"/>
    <d v="2025-12-03T00:00:00"/>
    <s v="FB"/>
    <s v="ankur"/>
    <s v="Bharuch"/>
    <x v="14"/>
    <s v="Follow up "/>
    <n v="108000"/>
    <n v="1071058"/>
    <s v="Follow up"/>
    <s v="Follow Up"/>
    <m/>
    <s v=""/>
    <s v="Starter"/>
    <s v="December"/>
    <s v="Q4"/>
  </r>
  <r>
    <s v="EOS1060"/>
    <d v="2025-12-03T00:00:00"/>
    <s v="FB"/>
    <s v="Yuvrajsinh Chudasama"/>
    <s v="Rajkot"/>
    <x v="14"/>
    <s v="Follow up "/>
    <n v="108000"/>
    <n v="1071059"/>
    <s v="Follow up"/>
    <s v="Follow Up"/>
    <m/>
    <s v=""/>
    <s v="Starter"/>
    <s v="December"/>
    <s v="Q4"/>
  </r>
  <r>
    <s v="EOS1061"/>
    <d v="2025-12-03T00:00:00"/>
    <s v="FB"/>
    <m/>
    <s v="Ahmedabad"/>
    <x v="14"/>
    <s v="Follow up "/>
    <n v="130000"/>
    <n v="1071060"/>
    <s v="Follow up"/>
    <s v="Follow Up"/>
    <m/>
    <s v=""/>
    <s v="Starter"/>
    <s v="December"/>
    <s v="Q4"/>
  </r>
  <r>
    <s v="EOS1062"/>
    <d v="2025-12-03T00:00:00"/>
    <s v="FB"/>
    <s v="Bharat Mehta"/>
    <s v="Upetla "/>
    <x v="14"/>
    <s v="Follow up "/>
    <n v="108000"/>
    <n v="1071061"/>
    <s v="Follow up"/>
    <s v="Follow Up"/>
    <m/>
    <s v=""/>
    <s v="Starter"/>
    <s v="December"/>
    <s v="Q4"/>
  </r>
  <r>
    <s v="EOS1063"/>
    <d v="2025-12-03T00:00:00"/>
    <s v="FB"/>
    <s v="Ashif Shekhan"/>
    <s v="Rajkot"/>
    <x v="14"/>
    <s v="Rejected"/>
    <n v="130000"/>
    <n v="1071062"/>
    <s v="Rejected"/>
    <s v="Rejected"/>
    <m/>
    <s v=""/>
    <s v="Starter"/>
    <s v="December"/>
    <s v="Q4"/>
  </r>
  <r>
    <s v="EOS1064"/>
    <d v="2025-12-03T00:00:00"/>
    <s v="FB"/>
    <s v="Avinash Borichangar"/>
    <s v="Wankaner"/>
    <x v="14"/>
    <s v="Follow up "/>
    <n v="130000"/>
    <n v="1071063"/>
    <s v="Follow up"/>
    <s v="Follow Up"/>
    <m/>
    <s v=""/>
    <s v="Starter"/>
    <s v="December"/>
    <s v="Q4"/>
  </r>
  <r>
    <s v="EOS1065"/>
    <d v="2025-12-03T00:00:00"/>
    <s v="FB"/>
    <s v="Alfeshani Gadhvara"/>
    <s v="Vadodara"/>
    <x v="14"/>
    <s v="Follow up "/>
    <n v="108000"/>
    <n v="1071064"/>
    <s v="Follow up"/>
    <s v="Follow Up"/>
    <m/>
    <s v=""/>
    <s v="Starter"/>
    <s v="December"/>
    <s v="Q4"/>
  </r>
  <r>
    <s v="EOS1066"/>
    <d v="2025-12-04T00:00:00"/>
    <s v="FB"/>
    <s v="Dharmendra Vaghela"/>
    <s v="gandhidham "/>
    <x v="14"/>
    <s v="Follow up "/>
    <n v="130000"/>
    <n v="1071065"/>
    <s v="Follow up"/>
    <s v="Follow Up"/>
    <m/>
    <s v=""/>
    <s v="Starter"/>
    <s v="December"/>
    <s v="Q4"/>
  </r>
  <r>
    <s v="EOS1067"/>
    <d v="2025-12-04T00:00:00"/>
    <s v="FB"/>
    <m/>
    <s v="patan "/>
    <x v="14"/>
    <s v="Follow up "/>
    <n v="177000"/>
    <n v="1071066"/>
    <s v="Follow up"/>
    <s v="Follow Up"/>
    <m/>
    <s v=""/>
    <s v="Growth"/>
    <s v="December"/>
    <s v="Q4"/>
  </r>
  <r>
    <s v="EOS1068"/>
    <d v="2025-12-04T00:00:00"/>
    <s v="FB"/>
    <s v="Tarun Gurjar"/>
    <s v="Rajkot"/>
    <x v="14"/>
    <s v="Follow up "/>
    <n v="108000"/>
    <n v="1071067"/>
    <s v="Follow up"/>
    <s v="Follow Up"/>
    <m/>
    <s v=""/>
    <s v="Starter"/>
    <s v="December"/>
    <s v="Q4"/>
  </r>
  <r>
    <s v="EOS1069"/>
    <d v="2025-12-04T00:00:00"/>
    <s v="FB"/>
    <s v="Pooja Sarvaiya"/>
    <s v="Rajkot"/>
    <x v="14"/>
    <s v="Follow up "/>
    <n v="130000"/>
    <n v="1071068"/>
    <s v="Follow up"/>
    <s v="Follow Up"/>
    <m/>
    <s v=""/>
    <s v="Starter"/>
    <s v="December"/>
    <s v="Q4"/>
  </r>
  <r>
    <s v="EOS1070"/>
    <d v="2025-12-04T00:00:00"/>
    <s v="FB"/>
    <s v="Murtuja Fakrudin Laxmidhar"/>
    <s v="Mehsana"/>
    <x v="14"/>
    <s v="Follow up "/>
    <n v="130000"/>
    <n v="1071069"/>
    <s v="Follow up"/>
    <s v="Follow Up"/>
    <m/>
    <s v=""/>
    <s v="Starter"/>
    <s v="December"/>
    <s v="Q4"/>
  </r>
  <r>
    <s v="EOS1071"/>
    <d v="2025-12-05T00:00:00"/>
    <s v="FB"/>
    <s v="MEGH PATEL"/>
    <s v="Talaja "/>
    <x v="14"/>
    <s v="Rejected"/>
    <n v="108000"/>
    <n v="1071070"/>
    <s v="Rejected"/>
    <s v="Rejected"/>
    <m/>
    <s v=""/>
    <s v="Starter"/>
    <s v="December"/>
    <s v="Q4"/>
  </r>
  <r>
    <s v="EOS1072"/>
    <d v="2025-12-05T00:00:00"/>
    <s v="FB"/>
    <s v="Dharmendra Giri Goswami"/>
    <s v="Chuda"/>
    <x v="14"/>
    <s v="Follow up "/>
    <n v="108000"/>
    <n v="1071071"/>
    <s v="Follow up"/>
    <s v="Follow Up"/>
    <m/>
    <s v=""/>
    <s v="Starter"/>
    <s v="December"/>
    <s v="Q4"/>
  </r>
  <r>
    <s v="EOS1073"/>
    <d v="2025-12-05T00:00:00"/>
    <s v="FB"/>
    <s v="Pradipsingh "/>
    <s v="Rajkot"/>
    <x v="14"/>
    <s v="Follow up "/>
    <n v="308000"/>
    <n v="1071072"/>
    <s v="Follow up"/>
    <s v="Follow Up"/>
    <m/>
    <s v=""/>
    <s v="Premium"/>
    <s v="December"/>
    <s v="Q4"/>
  </r>
  <r>
    <s v="EOS1074"/>
    <d v="2025-12-05T00:00:00"/>
    <s v="FB"/>
    <s v="Badal "/>
    <s v="Harji "/>
    <x v="14"/>
    <s v="Follow up "/>
    <n v="108000"/>
    <n v="1071073"/>
    <s v="Follow up"/>
    <s v="Follow Up"/>
    <m/>
    <s v=""/>
    <s v="Starter"/>
    <s v="December"/>
    <s v="Q4"/>
  </r>
  <r>
    <s v="EOS1075"/>
    <d v="2025-12-05T00:00:00"/>
    <s v="FB"/>
    <s v="Kanji Thakor"/>
    <s v="Amreli"/>
    <x v="14"/>
    <s v="Follow up "/>
    <n v="130000"/>
    <n v="1071074"/>
    <s v="Follow up"/>
    <s v="Follow Up"/>
    <m/>
    <s v=""/>
    <s v="Starter"/>
    <s v="December"/>
    <s v="Q4"/>
  </r>
  <r>
    <s v="EOS1076"/>
    <d v="2025-12-06T00:00:00"/>
    <s v="FB"/>
    <s v="jaydip"/>
    <s v="Dahod "/>
    <x v="14"/>
    <s v="Follow up "/>
    <n v="108000"/>
    <n v="1071075"/>
    <s v="Follow up"/>
    <s v="Follow Up"/>
    <m/>
    <s v=""/>
    <s v="Starter"/>
    <s v="December"/>
    <s v="Q4"/>
  </r>
  <r>
    <s v="EOS1077"/>
    <d v="2025-12-06T00:00:00"/>
    <s v="FB"/>
    <s v="SHARMA BHARATKUMAR"/>
    <s v="Ahmedabad"/>
    <x v="14"/>
    <s v="Follow up "/>
    <n v="108000"/>
    <n v="1071076"/>
    <s v="Follow up"/>
    <s v="Follow Up"/>
    <m/>
    <s v=""/>
    <s v="Starter"/>
    <s v="December"/>
    <s v="Q4"/>
  </r>
  <r>
    <s v="EOS1078"/>
    <d v="2025-12-06T00:00:00"/>
    <s v="FB"/>
    <s v="Akash Dahake"/>
    <s v="Vadodara"/>
    <x v="14"/>
    <s v="Follow up "/>
    <n v="130000"/>
    <n v="1071077"/>
    <s v="Follow up"/>
    <s v="Follow Up"/>
    <m/>
    <s v=""/>
    <s v="Starter"/>
    <s v="December"/>
    <s v="Q4"/>
  </r>
  <r>
    <s v="EOS1079"/>
    <d v="2025-12-06T00:00:00"/>
    <s v="FB"/>
    <s v="navin parmar "/>
    <s v="Sokdha"/>
    <x v="14"/>
    <s v="Follow up "/>
    <n v="130000"/>
    <n v="1071078"/>
    <s v="Follow up"/>
    <s v="Follow Up"/>
    <m/>
    <s v=""/>
    <s v="Starter"/>
    <s v="December"/>
    <s v="Q4"/>
  </r>
  <r>
    <s v="EOS1080"/>
    <d v="2025-12-06T00:00:00"/>
    <s v="FB"/>
    <s v="Pathan Mohfiz"/>
    <s v="Bharuch"/>
    <x v="14"/>
    <s v="Follow up "/>
    <n v="177000"/>
    <n v="1071079"/>
    <s v="Follow up"/>
    <s v="Follow Up"/>
    <m/>
    <s v=""/>
    <s v="Growth"/>
    <s v="December"/>
    <s v="Q4"/>
  </r>
  <r>
    <s v="EOS1081"/>
    <d v="2025-12-06T00:00:00"/>
    <s v="FB"/>
    <s v="Shobi Pirzada"/>
    <s v="Gir Somnath"/>
    <x v="14"/>
    <s v="Follow up "/>
    <n v="130000"/>
    <n v="1071080"/>
    <s v="Follow up"/>
    <s v="Follow Up"/>
    <m/>
    <s v=""/>
    <s v="Starter"/>
    <s v="December"/>
    <s v="Q4"/>
  </r>
  <r>
    <s v="EOS1082"/>
    <d v="2025-12-06T00:00:00"/>
    <s v="FB"/>
    <s v="karansinh rajput"/>
    <s v="Unja "/>
    <x v="14"/>
    <s v="Rejected"/>
    <n v="108000"/>
    <n v="1071081"/>
    <s v="Rejected"/>
    <s v="Rejected"/>
    <m/>
    <s v=""/>
    <s v="Starter"/>
    <s v="December"/>
    <s v="Q4"/>
  </r>
  <r>
    <s v="EOS1083"/>
    <d v="2025-12-06T00:00:00"/>
    <s v="FB"/>
    <s v="Vishal Patel"/>
    <s v="Chuda"/>
    <x v="14"/>
    <s v="Follow up "/>
    <n v="130000"/>
    <n v="1071082"/>
    <s v="Follow up"/>
    <s v="Follow Up"/>
    <m/>
    <s v=""/>
    <s v="Starter"/>
    <s v="December"/>
    <s v="Q4"/>
  </r>
  <r>
    <s v="EOS1084"/>
    <d v="2025-12-06T00:00:00"/>
    <s v="FB"/>
    <s v="Zalavadiya kuldip"/>
    <s v="Gondal"/>
    <x v="14"/>
    <s v="Follow up "/>
    <n v="108000"/>
    <n v="1071083"/>
    <s v="Follow up"/>
    <s v="Follow Up"/>
    <m/>
    <s v=""/>
    <s v="Starter"/>
    <s v="December"/>
    <s v="Q4"/>
  </r>
  <r>
    <s v="EOS1085"/>
    <d v="2025-12-08T00:00:00"/>
    <s v="FB"/>
    <s v="Mustfa Kazi"/>
    <m/>
    <x v="14"/>
    <s v="Rejected"/>
    <n v="108000"/>
    <n v="1071084"/>
    <s v="Rejected"/>
    <s v="Rejected"/>
    <m/>
    <s v=""/>
    <s v="Starter"/>
    <s v="December"/>
    <s v="Q4"/>
  </r>
  <r>
    <s v="EOS1086"/>
    <d v="2025-12-08T00:00:00"/>
    <s v="FB"/>
    <s v="Roshal Patel"/>
    <s v="Ahmedabad"/>
    <x v="14"/>
    <s v="Follow up "/>
    <n v="108000"/>
    <n v="1071085"/>
    <s v="Follow up"/>
    <s v="Follow Up"/>
    <m/>
    <s v=""/>
    <s v="Starter"/>
    <s v="December"/>
    <s v="Q4"/>
  </r>
  <r>
    <s v="EOS1087"/>
    <d v="2025-12-08T00:00:00"/>
    <s v="FB"/>
    <s v="Chetan B. Patel"/>
    <s v="Rajkot"/>
    <x v="14"/>
    <s v="Follow up "/>
    <n v="108000"/>
    <n v="1071086"/>
    <s v="Follow up"/>
    <s v="Follow Up"/>
    <m/>
    <s v=""/>
    <s v="Starter"/>
    <s v="December"/>
    <s v="Q4"/>
  </r>
  <r>
    <s v="EOS1088"/>
    <d v="2025-12-08T00:00:00"/>
    <s v="FB"/>
    <s v="Samir"/>
    <s v="Jamjodhpur"/>
    <x v="14"/>
    <s v="Rejected"/>
    <n v="130000"/>
    <n v="1071087"/>
    <s v="Rejected"/>
    <s v="Rejected"/>
    <m/>
    <s v=""/>
    <s v="Starter"/>
    <s v="December"/>
    <s v="Q4"/>
  </r>
  <r>
    <s v="EOS1089"/>
    <d v="2025-12-08T00:00:00"/>
    <s v="FB"/>
    <s v="BRAVE HEART"/>
    <s v="Anand"/>
    <x v="14"/>
    <s v="Follow up "/>
    <n v="130000"/>
    <n v="1071088"/>
    <s v="Follow up"/>
    <s v="Follow Up"/>
    <m/>
    <s v=""/>
    <s v="Starter"/>
    <s v="December"/>
    <s v="Q4"/>
  </r>
  <r>
    <s v="EOS1090"/>
    <d v="2025-12-08T00:00:00"/>
    <s v="FB"/>
    <s v="shaan one solutions pvt Ltd"/>
    <s v="Ahmedabad"/>
    <x v="14"/>
    <s v="Follow up "/>
    <n v="130000"/>
    <n v="1071089"/>
    <s v="Follow up"/>
    <s v="Follow Up"/>
    <m/>
    <s v=""/>
    <s v="Starter"/>
    <s v="December"/>
    <s v="Q4"/>
  </r>
  <r>
    <s v="EOS1091"/>
    <d v="2025-12-08T00:00:00"/>
    <s v="FB"/>
    <s v="Jugal jani"/>
    <s v="Vadodara"/>
    <x v="14"/>
    <s v="Follow up "/>
    <n v="108000"/>
    <n v="1071090"/>
    <s v="Follow up"/>
    <s v="Follow Up"/>
    <m/>
    <s v=""/>
    <s v="Starter"/>
    <s v="December"/>
    <s v="Q4"/>
  </r>
  <r>
    <s v="EOS1092"/>
    <d v="2025-12-08T00:00:00"/>
    <s v="FB"/>
    <s v="Girjesh Ladhhar"/>
    <s v="Ahmedabad"/>
    <x v="14"/>
    <s v="Rejected"/>
    <n v="130000"/>
    <n v="1071091"/>
    <s v="Rejected"/>
    <s v="Rejected"/>
    <m/>
    <s v=""/>
    <s v="Starter"/>
    <s v="December"/>
    <s v="Q4"/>
  </r>
  <r>
    <s v="EOS1093"/>
    <d v="2025-12-08T00:00:00"/>
    <s v="FB"/>
    <s v="Nimit Patel"/>
    <s v="killa pardi  (valsad)"/>
    <x v="14"/>
    <s v="Follow up "/>
    <n v="108000"/>
    <n v="1071092"/>
    <s v="Follow up"/>
    <s v="Follow Up"/>
    <m/>
    <s v=""/>
    <s v="Starter"/>
    <s v="December"/>
    <s v="Q4"/>
  </r>
  <r>
    <s v="EOS1094"/>
    <d v="2025-12-08T00:00:00"/>
    <s v="FB"/>
    <s v="Niraj Shah"/>
    <s v="Jasdan "/>
    <x v="14"/>
    <s v="Rejected"/>
    <n v="130000"/>
    <n v="1071093"/>
    <s v="Rejected"/>
    <s v="Rejected"/>
    <m/>
    <s v=""/>
    <s v="Starter"/>
    <s v="December"/>
    <s v="Q4"/>
  </r>
  <r>
    <s v="EOS1095"/>
    <d v="2025-12-08T00:00:00"/>
    <s v="FB"/>
    <s v="Bhudev Jasdan"/>
    <s v="Jamnagar"/>
    <x v="14"/>
    <s v="Rejected"/>
    <n v="108000"/>
    <n v="1071094"/>
    <s v="Rejected"/>
    <s v="Rejected"/>
    <m/>
    <s v=""/>
    <s v="Starter"/>
    <s v="December"/>
    <s v="Q4"/>
  </r>
  <r>
    <s v="EOS1096"/>
    <d v="2025-12-08T00:00:00"/>
    <s v="FB"/>
    <s v="Mohit ahi"/>
    <s v="lakhi "/>
    <x v="14"/>
    <s v="Follow up "/>
    <n v="130000"/>
    <n v="1071095"/>
    <s v="Follow up"/>
    <s v="Follow Up"/>
    <m/>
    <s v=""/>
    <s v="Starter"/>
    <s v="December"/>
    <s v="Q4"/>
  </r>
  <r>
    <s v="EOS1097"/>
    <d v="2025-12-08T00:00:00"/>
    <s v="FB"/>
    <s v="D K Rajput"/>
    <s v="patan "/>
    <x v="14"/>
    <s v="Follow up "/>
    <n v="108000"/>
    <n v="1071096"/>
    <s v="Follow up"/>
    <s v="Follow Up"/>
    <m/>
    <s v=""/>
    <s v="Starter"/>
    <s v="December"/>
    <s v="Q4"/>
  </r>
  <r>
    <s v="EOS1098"/>
    <d v="2025-12-08T00:00:00"/>
    <s v="FB"/>
    <s v="Milan Sathvara"/>
    <m/>
    <x v="14"/>
    <s v="Follow up "/>
    <n v="108000"/>
    <n v="1071097"/>
    <s v="Follow up"/>
    <s v="Follow Up"/>
    <m/>
    <s v=""/>
    <s v="Starter"/>
    <s v="December"/>
    <s v="Q4"/>
  </r>
  <r>
    <s v="EOS1099"/>
    <d v="2025-12-08T00:00:00"/>
    <s v="FB"/>
    <s v="Zeel thakor"/>
    <s v="Vadodara"/>
    <x v="14"/>
    <s v="Follow up "/>
    <n v="108000"/>
    <n v="1071098"/>
    <s v="Follow up"/>
    <s v="Follow Up"/>
    <m/>
    <s v=""/>
    <s v="Starter"/>
    <s v="December"/>
    <s v="Q4"/>
  </r>
  <r>
    <s v="EOS1100"/>
    <d v="2025-12-09T00:00:00"/>
    <s v="FB"/>
    <s v="Rathod Yogendrasinh"/>
    <s v="Tharad"/>
    <x v="14"/>
    <s v="Rejected"/>
    <n v="108000"/>
    <n v="1071099"/>
    <s v="Rejected"/>
    <s v="Rejected"/>
    <m/>
    <s v=""/>
    <s v="Starter"/>
    <s v="December"/>
    <s v="Q4"/>
  </r>
  <r>
    <s v="EOS1101"/>
    <d v="1900-01-01T00:00:00"/>
    <s v="FB"/>
    <s v="Shaileshsinh Vaghela"/>
    <s v="himmatnagar"/>
    <x v="14"/>
    <s v="Follow up "/>
    <n v="108000"/>
    <n v="1071100"/>
    <s v="Follow up"/>
    <s v="Follow Up"/>
    <m/>
    <s v=""/>
    <s v="Starter"/>
    <s v="January"/>
    <s v="Q1"/>
  </r>
  <r>
    <s v="EOS1102"/>
    <d v="2025-12-09T00:00:00"/>
    <s v="FB"/>
    <s v="IrfanKhan Makrani"/>
    <s v="manavadar"/>
    <x v="14"/>
    <s v="Rejected"/>
    <n v="108000"/>
    <n v="1071101"/>
    <s v="Rejected"/>
    <s v="Rejected"/>
    <m/>
    <s v=""/>
    <s v="Starter"/>
    <s v="December"/>
    <s v="Q4"/>
  </r>
  <r>
    <s v="EOS1103"/>
    <d v="2025-12-09T00:00:00"/>
    <s v="FB"/>
    <s v="Shiv Refrigeration"/>
    <s v="Vadodara"/>
    <x v="14"/>
    <s v="Follow up "/>
    <n v="108000"/>
    <n v="1071102"/>
    <s v="Follow up"/>
    <s v="Follow Up"/>
    <m/>
    <s v=""/>
    <s v="Starter"/>
    <s v="December"/>
    <s v="Q4"/>
  </r>
  <r>
    <s v="EOS1104"/>
    <d v="2025-12-09T00:00:00"/>
    <s v="FB"/>
    <s v="Khushali"/>
    <s v="Ahmedabad"/>
    <x v="14"/>
    <s v="Follow up "/>
    <n v="108000"/>
    <n v="1071103"/>
    <s v="Follow up"/>
    <s v="Follow Up"/>
    <m/>
    <s v=""/>
    <s v="Starter"/>
    <s v="December"/>
    <s v="Q4"/>
  </r>
  <r>
    <s v="EOS1105"/>
    <d v="2025-12-09T00:00:00"/>
    <s v="FB"/>
    <s v="Madhav Chauhan"/>
    <s v="Ahmedabad"/>
    <x v="14"/>
    <s v="Follow up "/>
    <n v="108000"/>
    <n v="1071104"/>
    <s v="Follow up"/>
    <s v="Follow Up"/>
    <m/>
    <s v=""/>
    <s v="Starter"/>
    <s v="December"/>
    <s v="Q4"/>
  </r>
  <r>
    <s v="EOS1106"/>
    <d v="2025-12-09T00:00:00"/>
    <s v="FB"/>
    <s v="Ketan sha"/>
    <s v="Dholka"/>
    <x v="14"/>
    <s v="Rejected"/>
    <n v="177000"/>
    <n v="1071105"/>
    <s v="Rejected"/>
    <s v="Rejected"/>
    <m/>
    <s v=""/>
    <s v="Growth"/>
    <s v="December"/>
    <s v="Q4"/>
  </r>
  <r>
    <s v="EOS1107"/>
    <d v="2025-12-09T00:00:00"/>
    <s v="FB"/>
    <s v="Samir Diwa"/>
    <s v="Adipur "/>
    <x v="14"/>
    <s v="Rejected"/>
    <n v="130000"/>
    <n v="1071106"/>
    <s v="Rejected"/>
    <s v="Rejected"/>
    <m/>
    <s v=""/>
    <s v="Starter"/>
    <s v="December"/>
    <s v="Q4"/>
  </r>
  <r>
    <s v="EOS1108"/>
    <d v="2025-12-09T00:00:00"/>
    <s v="FB"/>
    <s v="Vijay Gusha"/>
    <s v="Wankaner"/>
    <x v="14"/>
    <s v="Rejected"/>
    <n v="130000"/>
    <n v="1071107"/>
    <s v="Rejected"/>
    <s v="Rejected"/>
    <m/>
    <s v=""/>
    <s v="Starter"/>
    <s v="December"/>
    <s v="Q4"/>
  </r>
  <r>
    <s v="EOS1109"/>
    <d v="2025-12-09T00:00:00"/>
    <s v="FB"/>
    <s v="jay"/>
    <s v="Ahmedabad"/>
    <x v="14"/>
    <s v="Follow up "/>
    <n v="130000"/>
    <n v="1071108"/>
    <s v="Follow up"/>
    <s v="Follow Up"/>
    <m/>
    <s v=""/>
    <s v="Starter"/>
    <s v="December"/>
    <s v="Q4"/>
  </r>
  <r>
    <s v="EOS1110"/>
    <d v="2025-12-09T00:00:00"/>
    <s v="FB"/>
    <s v="Rahul Panchal "/>
    <s v="Rajkot"/>
    <x v="14"/>
    <s v="Follow up "/>
    <n v="130000"/>
    <n v="1071109"/>
    <s v="Follow up"/>
    <s v="Follow Up"/>
    <m/>
    <s v=""/>
    <s v="Starter"/>
    <s v="December"/>
    <s v="Q4"/>
  </r>
  <r>
    <s v="EOS1111"/>
    <d v="2025-12-10T00:00:00"/>
    <s v="FB"/>
    <s v="Sarvaiya Mayur"/>
    <s v="gandhidham "/>
    <x v="14"/>
    <s v="Follow up "/>
    <n v="130000"/>
    <n v="1071110"/>
    <s v="Follow up"/>
    <s v="Follow Up"/>
    <m/>
    <s v=""/>
    <s v="Starter"/>
    <s v="December"/>
    <s v="Q4"/>
  </r>
  <r>
    <s v="EOS1112"/>
    <d v="2025-12-10T00:00:00"/>
    <s v="FB"/>
    <s v="Aryan Maharaj"/>
    <s v="Gandhinagar"/>
    <x v="14"/>
    <s v="Follow up "/>
    <n v="108000"/>
    <n v="1071111"/>
    <s v="Follow up"/>
    <s v="Follow Up"/>
    <m/>
    <s v=""/>
    <s v="Starter"/>
    <s v="December"/>
    <s v="Q4"/>
  </r>
  <r>
    <s v="EOS1113"/>
    <d v="2025-12-10T00:00:00"/>
    <s v="FB"/>
    <s v="Dilip Patel Dilip"/>
    <s v="Anand"/>
    <x v="14"/>
    <s v="Follow up "/>
    <n v="130000"/>
    <n v="1071112"/>
    <s v="Follow up"/>
    <s v="Follow Up"/>
    <m/>
    <s v=""/>
    <s v="Starter"/>
    <s v="December"/>
    <s v="Q4"/>
  </r>
  <r>
    <s v="EOS1114"/>
    <d v="2025-12-10T00:00:00"/>
    <s v="FB"/>
    <s v="Chirag Parekh"/>
    <s v="Bharuch"/>
    <x v="14"/>
    <s v="Follow up "/>
    <n v="108000"/>
    <n v="1071113"/>
    <s v="Follow up"/>
    <s v="Follow Up"/>
    <m/>
    <s v=""/>
    <s v="Starter"/>
    <s v="December"/>
    <s v="Q4"/>
  </r>
  <r>
    <s v="EOS1115"/>
    <d v="2025-12-10T00:00:00"/>
    <s v="FB"/>
    <s v="Salim Patel"/>
    <s v="Surat"/>
    <x v="14"/>
    <s v="Follow up "/>
    <n v="130000"/>
    <n v="1071114"/>
    <s v="Follow up"/>
    <s v="Follow Up"/>
    <m/>
    <s v=""/>
    <s v="Starter"/>
    <s v="December"/>
    <s v="Q4"/>
  </r>
  <r>
    <s v="EOS1116"/>
    <d v="2025-12-10T00:00:00"/>
    <s v="FB"/>
    <s v="Madaliya sumita"/>
    <s v="Mehsana"/>
    <x v="14"/>
    <s v="Follow up "/>
    <n v="108000"/>
    <n v="1071115"/>
    <s v="Follow up"/>
    <s v="Follow Up"/>
    <m/>
    <s v=""/>
    <s v="Starter"/>
    <s v="December"/>
    <s v="Q4"/>
  </r>
  <r>
    <s v="EOS1117"/>
    <d v="2025-12-10T00:00:00"/>
    <s v="FB"/>
    <s v="Yuvraj"/>
    <s v="Upetla "/>
    <x v="0"/>
    <s v="Rejected"/>
    <n v="108000"/>
    <n v="1071116"/>
    <s v="Rejected"/>
    <s v="Rejected"/>
    <m/>
    <s v=""/>
    <s v="Starter"/>
    <s v="December"/>
    <s v="Q4"/>
  </r>
  <r>
    <s v="EOS1118"/>
    <d v="2025-12-10T00:00:00"/>
    <s v="FB"/>
    <s v="Jayesh Suva"/>
    <s v="Vadodara"/>
    <x v="14"/>
    <s v="Follow up "/>
    <n v="130000"/>
    <n v="1071117"/>
    <s v="Follow up"/>
    <s v="Follow Up"/>
    <m/>
    <s v=""/>
    <s v="Starter"/>
    <s v="December"/>
    <s v="Q4"/>
  </r>
  <r>
    <s v="EOS1119"/>
    <d v="2025-12-10T00:00:00"/>
    <s v="FB"/>
    <m/>
    <s v="Ankleshwar"/>
    <x v="0"/>
    <s v="Rejected"/>
    <n v="130000"/>
    <n v="1071118"/>
    <s v="Rejected"/>
    <s v="Rejected"/>
    <m/>
    <s v=""/>
    <s v="Starter"/>
    <s v="December"/>
    <s v="Q4"/>
  </r>
  <r>
    <s v="EOS1120"/>
    <d v="2025-12-10T00:00:00"/>
    <s v="FB"/>
    <s v="Navaz Ganiyani"/>
    <s v="Jambusar "/>
    <x v="14"/>
    <s v="Follow up "/>
    <n v="108000"/>
    <n v="1071119"/>
    <s v="Follow up"/>
    <s v="Follow Up"/>
    <m/>
    <s v=""/>
    <s v="Starter"/>
    <s v="December"/>
    <s v="Q4"/>
  </r>
  <r>
    <s v="EOS1121"/>
    <d v="2025-12-10T00:00:00"/>
    <s v="FB"/>
    <s v="Tofee khan "/>
    <s v="gadu "/>
    <x v="0"/>
    <s v="Rejected"/>
    <n v="108000"/>
    <n v="1071120"/>
    <s v="Rejected"/>
    <s v="Rejected"/>
    <m/>
    <s v=""/>
    <s v="Starter"/>
    <s v="December"/>
    <s v="Q4"/>
  </r>
  <r>
    <s v="EOS1122"/>
    <d v="2025-12-10T00:00:00"/>
    <s v="FB"/>
    <s v="Viru galchar"/>
    <s v="Ahmedabad"/>
    <x v="14"/>
    <s v="Follow up "/>
    <n v="177000"/>
    <n v="1071121"/>
    <s v="Follow up"/>
    <s v="Follow Up"/>
    <m/>
    <s v=""/>
    <s v="Growth"/>
    <s v="December"/>
    <s v="Q4"/>
  </r>
  <r>
    <s v="EOS1123"/>
    <d v="2025-12-11T00:00:00"/>
    <s v="FB"/>
    <s v="bapu"/>
    <s v="Morbi "/>
    <x v="0"/>
    <s v="Rejected"/>
    <n v="177000"/>
    <n v="1071122"/>
    <s v="Rejected"/>
    <s v="Rejected"/>
    <m/>
    <s v=""/>
    <s v="Growth"/>
    <s v="December"/>
    <s v="Q4"/>
  </r>
  <r>
    <s v="EOS1124"/>
    <d v="2025-12-11T00:00:00"/>
    <s v="FB"/>
    <s v="Manoj Kumar"/>
    <s v="Surat "/>
    <x v="0"/>
    <s v="Rejected"/>
    <n v="177000"/>
    <n v="1071123"/>
    <s v="Rejected"/>
    <s v="Rejected"/>
    <m/>
    <s v=""/>
    <s v="Growth"/>
    <s v="December"/>
    <s v="Q4"/>
  </r>
  <r>
    <s v="EOS1125"/>
    <d v="2025-12-11T00:00:00"/>
    <s v="FB"/>
    <s v="Vishu Shinde"/>
    <s v="Rajkot"/>
    <x v="14"/>
    <s v="Follow up "/>
    <n v="130000"/>
    <n v="1071124"/>
    <s v="Follow up"/>
    <s v="Follow Up"/>
    <m/>
    <s v=""/>
    <s v="Starter"/>
    <s v="December"/>
    <s v="Q4"/>
  </r>
  <r>
    <s v="EOS1126"/>
    <d v="2025-12-11T00:00:00"/>
    <s v="FB"/>
    <s v="Savan Ajani"/>
    <s v="Nadiad"/>
    <x v="14"/>
    <s v="Follow up "/>
    <n v="130000"/>
    <n v="1071125"/>
    <s v="Follow up"/>
    <s v="Follow Up"/>
    <m/>
    <s v=""/>
    <s v="Starter"/>
    <s v="December"/>
    <s v="Q4"/>
  </r>
  <r>
    <s v="EOS1127"/>
    <d v="2025-12-11T00:00:00"/>
    <s v="FB"/>
    <s v="Rahul Sharm"/>
    <s v="Ahmedabad"/>
    <x v="14"/>
    <s v="Follow up "/>
    <n v="130000"/>
    <n v="1071126"/>
    <s v="Follow up"/>
    <s v="Follow Up"/>
    <m/>
    <s v=""/>
    <s v="Starter"/>
    <s v="December"/>
    <s v="Q4"/>
  </r>
  <r>
    <s v="EOS1128"/>
    <d v="2025-12-11T00:00:00"/>
    <s v="FB"/>
    <s v="Jagruti Kaushik Patel"/>
    <s v="Bharuch"/>
    <x v="0"/>
    <s v="Rejected"/>
    <n v="108000"/>
    <n v="1071127"/>
    <s v="Rejected"/>
    <s v="Rejected"/>
    <m/>
    <s v=""/>
    <s v="Starter"/>
    <s v="December"/>
    <s v="Q4"/>
  </r>
  <r>
    <s v="EOS1129"/>
    <d v="2025-12-11T00:00:00"/>
    <s v="FB"/>
    <s v="Manish Kantibhai Pate"/>
    <s v="Junagadh"/>
    <x v="14"/>
    <s v="Follow up "/>
    <n v="108000"/>
    <n v="1071128"/>
    <s v="Follow up"/>
    <s v="Follow Up"/>
    <m/>
    <s v=""/>
    <s v="Starter"/>
    <s v="December"/>
    <s v="Q4"/>
  </r>
  <r>
    <s v="EOS1130"/>
    <d v="2025-12-11T00:00:00"/>
    <s v="FB"/>
    <s v="Fahad Bakhol"/>
    <s v="Vapi"/>
    <x v="14"/>
    <s v="Follow up "/>
    <n v="108000"/>
    <n v="1071129"/>
    <s v="Follow up"/>
    <s v="Follow Up"/>
    <m/>
    <s v=""/>
    <s v="Starter"/>
    <s v="December"/>
    <s v="Q4"/>
  </r>
  <r>
    <s v="EOS1131"/>
    <d v="2025-12-11T00:00:00"/>
    <s v="FB"/>
    <s v="Nakum Kachara Nanji"/>
    <m/>
    <x v="0"/>
    <s v="Follow up "/>
    <n v="130000"/>
    <n v="1071130"/>
    <s v="Follow up"/>
    <s v="Follow Up"/>
    <m/>
    <s v=""/>
    <s v="Starter"/>
    <s v="December"/>
    <s v="Q4"/>
  </r>
  <r>
    <s v="EOS1132"/>
    <d v="2025-12-11T00:00:00"/>
    <s v="FB"/>
    <s v="Sarthak Patel"/>
    <m/>
    <x v="0"/>
    <s v="Follow up "/>
    <n v="108000"/>
    <n v="1071131"/>
    <s v="Follow up"/>
    <s v="Follow Up"/>
    <m/>
    <s v=""/>
    <s v="Starter"/>
    <s v="December"/>
    <s v="Q4"/>
  </r>
  <r>
    <s v="EOS1133"/>
    <d v="2025-12-11T00:00:00"/>
    <s v="FB"/>
    <s v="Aniket Korat"/>
    <m/>
    <x v="0"/>
    <s v="Follow up "/>
    <n v="177000"/>
    <n v="1071132"/>
    <s v="Follow up"/>
    <s v="Follow Up"/>
    <m/>
    <s v=""/>
    <s v="Growth"/>
    <s v="December"/>
    <s v="Q4"/>
  </r>
  <r>
    <s v="EOS1134"/>
    <d v="2025-12-11T00:00:00"/>
    <s v="FB"/>
    <s v="Paras Patel"/>
    <s v="Palanpur"/>
    <x v="14"/>
    <s v="Follow up "/>
    <n v="130000"/>
    <n v="1071133"/>
    <s v="Follow up"/>
    <s v="Follow Up"/>
    <m/>
    <s v=""/>
    <s v="Starter"/>
    <s v="December"/>
    <s v="Q4"/>
  </r>
  <r>
    <s v="EOS1135"/>
    <d v="2025-08-06T00:00:00"/>
    <s v="FB"/>
    <s v="Bhatiya Rameshbhai nathabhai"/>
    <s v="Jangvad"/>
    <x v="14"/>
    <s v="Rejected"/>
    <n v="130000"/>
    <n v="1071134"/>
    <s v="Rejected"/>
    <s v="Rejected"/>
    <m/>
    <s v=""/>
    <s v="Starter"/>
    <s v="August"/>
    <s v="Q3"/>
  </r>
  <r>
    <s v="EOS1136"/>
    <d v="2025-12-13T00:00:00"/>
    <s v="FB"/>
    <m/>
    <s v=" Bhavnagar"/>
    <x v="14"/>
    <s v="Follow up "/>
    <n v="108000"/>
    <n v="1071135"/>
    <s v="Follow up"/>
    <s v="Follow Up"/>
    <m/>
    <s v=""/>
    <s v="Starter"/>
    <s v="December"/>
    <s v="Q4"/>
  </r>
  <r>
    <s v="EOS1137"/>
    <d v="2025-12-15T00:00:00"/>
    <s v="FB"/>
    <s v="Jaydipsinh Gohil"/>
    <m/>
    <x v="14"/>
    <s v="Follow up "/>
    <n v="130000"/>
    <n v="1071136"/>
    <s v="Follow up"/>
    <s v="Follow Up"/>
    <m/>
    <s v=""/>
    <s v="Starter"/>
    <s v="December"/>
    <s v="Q4"/>
  </r>
  <r>
    <s v="EOS1138"/>
    <d v="2025-12-15T00:00:00"/>
    <s v="FB"/>
    <s v="R A M"/>
    <m/>
    <x v="14"/>
    <s v="Follow up "/>
    <n v="130000"/>
    <n v="1071137"/>
    <s v="Follow up"/>
    <s v="Follow Up"/>
    <m/>
    <s v=""/>
    <s v="Starter"/>
    <s v="December"/>
    <s v="Q4"/>
  </r>
  <r>
    <s v="EOS1139"/>
    <d v="2025-12-15T00:00:00"/>
    <s v="FB"/>
    <s v="Gunavant Tapodhan"/>
    <s v=" Bhavnagar"/>
    <x v="14"/>
    <s v="Follow up "/>
    <n v="130000"/>
    <n v="1071138"/>
    <s v="Follow up"/>
    <s v="Follow Up"/>
    <m/>
    <s v=""/>
    <s v="Starter"/>
    <s v="December"/>
    <s v="Q4"/>
  </r>
  <r>
    <s v="EOS1140"/>
    <d v="2025-12-15T00:00:00"/>
    <s v="FB"/>
    <s v="Chauhan Hemendrasinh"/>
    <s v="Ahmedabad"/>
    <x v="14"/>
    <s v="Follow up "/>
    <n v="130000"/>
    <n v="1071139"/>
    <s v="Follow up"/>
    <s v="Follow Up"/>
    <m/>
    <s v=""/>
    <s v="Starter"/>
    <s v="December"/>
    <s v="Q4"/>
  </r>
  <r>
    <s v="EOS1141"/>
    <d v="2025-12-15T00:00:00"/>
    <s v="FB"/>
    <s v="Krunal Pate"/>
    <s v="Rajkot"/>
    <x v="14"/>
    <s v="Rejected"/>
    <n v="177000"/>
    <n v="1071140"/>
    <s v="Rejected"/>
    <s v="Rejected"/>
    <m/>
    <s v=""/>
    <s v="Growth"/>
    <s v="December"/>
    <s v="Q4"/>
  </r>
  <r>
    <s v="EOS1142"/>
    <d v="2025-12-15T00:00:00"/>
    <s v="FB"/>
    <s v="Manish patel"/>
    <s v="Idar "/>
    <x v="14"/>
    <s v="Rejected"/>
    <n v="108000"/>
    <n v="1071141"/>
    <s v="Rejected"/>
    <s v="Rejected"/>
    <m/>
    <s v=""/>
    <s v="Starter"/>
    <s v="December"/>
    <s v="Q4"/>
  </r>
  <r>
    <s v="EOS1143"/>
    <d v="2025-12-15T00:00:00"/>
    <s v="FB"/>
    <s v="Paresh Parmar"/>
    <s v="Rajkot"/>
    <x v="14"/>
    <s v="Follow up "/>
    <n v="130000"/>
    <n v="1071142"/>
    <s v="Follow up"/>
    <s v="Follow Up"/>
    <m/>
    <s v=""/>
    <s v="Starter"/>
    <s v="December"/>
    <s v="Q4"/>
  </r>
  <r>
    <s v="EOS1144"/>
    <d v="2025-12-15T00:00:00"/>
    <s v="FB"/>
    <s v="Vishal maganbhai Galoriya"/>
    <s v="Ahmedabad"/>
    <x v="14"/>
    <s v="Follow up "/>
    <n v="108000"/>
    <n v="1071143"/>
    <s v="Follow up"/>
    <s v="Follow Up"/>
    <m/>
    <s v=""/>
    <s v="Starter"/>
    <s v="December"/>
    <s v="Q4"/>
  </r>
  <r>
    <s v="EOS1145"/>
    <d v="2025-12-15T00:00:00"/>
    <s v="FB"/>
    <s v="Ricky "/>
    <s v="Surat "/>
    <x v="14"/>
    <s v="Follow up "/>
    <n v="108000"/>
    <n v="1071144"/>
    <s v="Follow up"/>
    <s v="Follow Up"/>
    <m/>
    <s v=""/>
    <s v="Starter"/>
    <s v="December"/>
    <s v="Q4"/>
  </r>
  <r>
    <s v="EOS1146"/>
    <d v="2025-12-15T00:00:00"/>
    <s v="FB"/>
    <s v="..Kirtan Metaliya"/>
    <s v="Jafarabad"/>
    <x v="14"/>
    <s v="Rejected"/>
    <n v="108000"/>
    <n v="1071145"/>
    <s v="Rejected"/>
    <s v="Rejected"/>
    <m/>
    <s v=""/>
    <s v="Starter"/>
    <s v="December"/>
    <s v="Q4"/>
  </r>
  <r>
    <s v="EOS1147"/>
    <d v="2025-12-15T00:00:00"/>
    <s v="FB"/>
    <s v="Thaiyam__mustfa"/>
    <s v="Ahmedabad"/>
    <x v="14"/>
    <s v="Follow up "/>
    <n v="108000"/>
    <n v="1071146"/>
    <s v="Follow up"/>
    <s v="Follow Up"/>
    <m/>
    <s v=""/>
    <s v="Starter"/>
    <s v="December"/>
    <s v="Q4"/>
  </r>
  <r>
    <s v="EOS1148"/>
    <d v="2025-12-15T00:00:00"/>
    <s v="FB"/>
    <s v="Modan BasaratRaza"/>
    <s v="Rajkot"/>
    <x v="14"/>
    <s v="Follow up "/>
    <n v="130000"/>
    <n v="1071147"/>
    <s v="Follow up"/>
    <s v="Follow Up"/>
    <m/>
    <s v=""/>
    <s v="Starter"/>
    <s v="December"/>
    <s v="Q4"/>
  </r>
  <r>
    <s v="EOS1149"/>
    <d v="2025-12-15T00:00:00"/>
    <s v="FB"/>
    <s v="admani Mustufa"/>
    <m/>
    <x v="14"/>
    <s v="Follow up "/>
    <n v="130000"/>
    <n v="1071148"/>
    <s v="Follow up"/>
    <s v="Follow Up"/>
    <m/>
    <s v=""/>
    <s v="Starter"/>
    <s v="December"/>
    <s v="Q4"/>
  </r>
  <r>
    <s v="EOS1150"/>
    <d v="2025-12-15T00:00:00"/>
    <s v="FB"/>
    <s v="Nilu Ravar Dev"/>
    <s v="Vadodara"/>
    <x v="14"/>
    <s v="Rejected"/>
    <n v="177000"/>
    <n v="1071149"/>
    <s v="Rejected"/>
    <s v="Rejected"/>
    <m/>
    <s v=""/>
    <s v="Growth"/>
    <s v="December"/>
    <s v="Q4"/>
  </r>
  <r>
    <s v="EOS1151"/>
    <d v="2025-12-15T00:00:00"/>
    <s v="FB"/>
    <s v="Harshita Nehal shah"/>
    <s v="Dwarka"/>
    <x v="14"/>
    <s v="Follow up "/>
    <n v="130000"/>
    <n v="1071150"/>
    <s v="Follow up"/>
    <s v="Follow Up"/>
    <m/>
    <s v=""/>
    <s v="Starter"/>
    <s v="December"/>
    <s v="Q4"/>
  </r>
  <r>
    <s v="EOS1152"/>
    <d v="2025-12-15T00:00:00"/>
    <s v="FB"/>
    <s v="Prem Dave"/>
    <s v="Jafarabad"/>
    <x v="14"/>
    <s v="Rejected"/>
    <n v="108000"/>
    <n v="1071151"/>
    <s v="Rejected"/>
    <s v="Rejected"/>
    <m/>
    <s v=""/>
    <s v="Starter"/>
    <s v="December"/>
    <s v="Q4"/>
  </r>
  <r>
    <s v="EOS1153"/>
    <d v="2025-12-15T00:00:00"/>
    <s v="FB"/>
    <s v="Emran Shek"/>
    <s v="Rajkot"/>
    <x v="14"/>
    <s v="Follow up "/>
    <n v="130000"/>
    <n v="1071152"/>
    <s v="Follow up"/>
    <s v="Follow Up"/>
    <m/>
    <s v=""/>
    <s v="Starter"/>
    <s v="December"/>
    <s v="Q4"/>
  </r>
  <r>
    <s v="EOS1154"/>
    <d v="2025-12-15T00:00:00"/>
    <s v="FB"/>
    <s v="sandip Dobariy"/>
    <s v="Balasinor"/>
    <x v="14"/>
    <s v="Rejected"/>
    <n v="177000"/>
    <n v="1071153"/>
    <s v="Rejected"/>
    <s v="Rejected"/>
    <m/>
    <s v=""/>
    <s v="Growth"/>
    <s v="December"/>
    <s v="Q4"/>
  </r>
  <r>
    <s v="EOS1155"/>
    <d v="2025-12-15T00:00:00"/>
    <s v="FB"/>
    <s v="Mitesh Patel"/>
    <s v=" Bhavnagar"/>
    <x v="14"/>
    <s v="Follow up "/>
    <n v="108000"/>
    <n v="1071154"/>
    <s v="Follow up"/>
    <s v="Follow Up"/>
    <m/>
    <s v=""/>
    <s v="Starter"/>
    <s v="December"/>
    <s v="Q4"/>
  </r>
  <r>
    <s v="EOS1156"/>
    <d v="2025-12-15T00:00:00"/>
    <s v="FB"/>
    <s v="Gohil Udayrajsinh"/>
    <s v="Dhanera"/>
    <x v="14"/>
    <s v="Follow up "/>
    <n v="308000"/>
    <n v="1071155"/>
    <s v="Follow up"/>
    <s v="Follow Up"/>
    <m/>
    <s v=""/>
    <s v="Premium"/>
    <s v="December"/>
    <s v="Q4"/>
  </r>
  <r>
    <s v="EOS1157"/>
    <d v="2025-12-15T00:00:00"/>
    <s v="FB"/>
    <s v="Bharat Soni Dhanera"/>
    <s v="Rajkot"/>
    <x v="14"/>
    <s v="Rejected"/>
    <n v="177000"/>
    <n v="1071156"/>
    <s v="Rejected"/>
    <s v="Rejected"/>
    <m/>
    <s v=""/>
    <s v="Growth"/>
    <s v="December"/>
    <s v="Q4"/>
  </r>
  <r>
    <s v="EOS1158"/>
    <d v="2025-12-15T00:00:00"/>
    <s v="FB"/>
    <s v="Nilu Ravar Dev"/>
    <s v="Surat "/>
    <x v="14"/>
    <s v="Follow up "/>
    <n v="108000"/>
    <n v="1071157"/>
    <s v="Follow up"/>
    <s v="Follow Up"/>
    <m/>
    <s v=""/>
    <s v="Starter"/>
    <s v="December"/>
    <s v="Q4"/>
  </r>
  <r>
    <s v="EOS1159"/>
    <d v="2025-12-18T00:00:00"/>
    <s v="FB"/>
    <s v="Arvind Patel"/>
    <s v="Patan"/>
    <x v="14"/>
    <s v="Rejected"/>
    <n v="130000"/>
    <n v="1071158"/>
    <s v="Rejected"/>
    <s v="Rejected"/>
    <m/>
    <s v=""/>
    <s v="Starter"/>
    <s v="December"/>
    <s v="Q4"/>
  </r>
  <r>
    <s v="EOS1160"/>
    <d v="2025-12-18T00:00:00"/>
    <s v="FB"/>
    <s v="Omkar Gauswami"/>
    <s v="keshod "/>
    <x v="14"/>
    <s v="Follow up "/>
    <n v="108000"/>
    <n v="1071159"/>
    <s v="Follow up"/>
    <s v="Follow Up"/>
    <m/>
    <s v=""/>
    <s v="Starter"/>
    <s v="December"/>
    <s v="Q4"/>
  </r>
  <r>
    <s v="EOS1161"/>
    <d v="2025-12-18T00:00:00"/>
    <s v="FB"/>
    <s v="kripalsinh"/>
    <s v="Ahmedabad"/>
    <x v="14"/>
    <s v="Follow up "/>
    <n v="130000"/>
    <n v="1071160"/>
    <s v="Follow up"/>
    <s v="Follow Up"/>
    <m/>
    <s v=""/>
    <s v="Starter"/>
    <s v="December"/>
    <s v="Q4"/>
  </r>
  <r>
    <s v="EOS1162"/>
    <d v="2025-12-19T00:00:00"/>
    <s v="FB"/>
    <s v="Patoliya Arpit"/>
    <s v="Madvi "/>
    <x v="14"/>
    <s v="Follow up "/>
    <n v="108000"/>
    <n v="1071161"/>
    <s v="Follow up"/>
    <s v="Follow Up"/>
    <m/>
    <s v=""/>
    <s v="Starter"/>
    <s v="December"/>
    <s v="Q4"/>
  </r>
  <r>
    <s v="EOS1163"/>
    <d v="2025-12-19T00:00:00"/>
    <s v="FB"/>
    <s v="Arbaaz"/>
    <s v="Surendranagar"/>
    <x v="14"/>
    <s v="Follow up "/>
    <n v="108000"/>
    <n v="1071162"/>
    <s v="Follow up"/>
    <s v="Follow Up"/>
    <m/>
    <s v=""/>
    <s v="Starter"/>
    <s v="December"/>
    <s v="Q4"/>
  </r>
  <r>
    <s v="EOS1164"/>
    <d v="2025-12-19T00:00:00"/>
    <s v="FB"/>
    <s v="Dharmesh Detroja"/>
    <s v="Ahmedabad"/>
    <x v="14"/>
    <s v="Follow up "/>
    <n v="130000"/>
    <n v="1071163"/>
    <s v="Follow up"/>
    <s v="Follow Up"/>
    <m/>
    <s v=""/>
    <s v="Starter"/>
    <s v="December"/>
    <s v="Q4"/>
  </r>
  <r>
    <s v="EOS1165"/>
    <d v="2025-12-20T00:00:00"/>
    <s v="FB"/>
    <s v="Sahil Adani"/>
    <s v="Ahmedabad"/>
    <x v="14"/>
    <s v="Follow up "/>
    <n v="108000"/>
    <n v="1071164"/>
    <s v="Follow up"/>
    <s v="Follow Up"/>
    <m/>
    <s v=""/>
    <s v="Starter"/>
    <s v="December"/>
    <s v="Q4"/>
  </r>
  <r>
    <s v="EOS1166"/>
    <d v="2025-12-23T00:00:00"/>
    <s v="FB"/>
    <s v="Thakur Suraj Singh"/>
    <s v="himmatnagar"/>
    <x v="14"/>
    <s v="Follow up "/>
    <n v="177000"/>
    <n v="1071165"/>
    <s v="Follow up"/>
    <s v="Follow Up"/>
    <m/>
    <s v=""/>
    <s v="Growth"/>
    <s v="December"/>
    <s v="Q4"/>
  </r>
  <r>
    <s v="EOS1167"/>
    <d v="2025-12-23T00:00:00"/>
    <s v="FB"/>
    <s v="Kalp Patel"/>
    <s v="Navagam "/>
    <x v="14"/>
    <s v="Follow up "/>
    <n v="130000"/>
    <n v="1071166"/>
    <s v="Follow up"/>
    <s v="Follow Up"/>
    <m/>
    <s v=""/>
    <s v="Starter"/>
    <s v="December"/>
    <s v="Q4"/>
  </r>
  <r>
    <s v="EOS1168"/>
    <d v="2025-12-23T00:00:00"/>
    <s v="FB"/>
    <s v="Avesh Juneja"/>
    <s v="Junagadh"/>
    <x v="14"/>
    <s v="Follow up "/>
    <n v="177000"/>
    <n v="1071167"/>
    <s v="Follow up"/>
    <s v="Follow Up"/>
    <m/>
    <s v=""/>
    <s v="Growth"/>
    <s v="December"/>
    <s v="Q4"/>
  </r>
  <r>
    <s v="EOS1169"/>
    <d v="2025-12-23T00:00:00"/>
    <s v="FB"/>
    <s v="Mohit akhed"/>
    <m/>
    <x v="14"/>
    <s v="Follow up "/>
    <n v="108000"/>
    <n v="1071168"/>
    <s v="Follow up"/>
    <s v="Follow Up"/>
    <m/>
    <s v=""/>
    <s v="Starter"/>
    <s v="December"/>
    <s v="Q4"/>
  </r>
  <r>
    <s v="EOS1170"/>
    <d v="2025-12-23T00:00:00"/>
    <s v="FB"/>
    <s v="Chintan Patel"/>
    <s v="Ahmedabad"/>
    <x v="14"/>
    <s v="Follow up "/>
    <n v="108000"/>
    <n v="1071169"/>
    <s v="Follow up"/>
    <s v="Follow Up"/>
    <m/>
    <s v=""/>
    <s v="Starter"/>
    <s v="December"/>
    <s v="Q4"/>
  </r>
  <r>
    <s v="EOS1171"/>
    <d v="2025-12-29T00:00:00"/>
    <s v="FB"/>
    <s v="Mukesh Kapadia"/>
    <s v="Surat"/>
    <x v="14"/>
    <s v="Rejected"/>
    <n v="108000"/>
    <n v="1071170"/>
    <s v="Rejected"/>
    <s v="Rejected"/>
    <m/>
    <s v=""/>
    <s v="Starter"/>
    <s v="December"/>
    <s v="Q4"/>
  </r>
  <r>
    <s v="EOS1172"/>
    <d v="2025-12-29T00:00:00"/>
    <s v="FB"/>
    <s v="Kaushik VyAs"/>
    <s v="himmatnagar"/>
    <x v="14"/>
    <s v="Follow up "/>
    <n v="177000"/>
    <n v="1071171"/>
    <s v="Follow up"/>
    <s v="Follow Up"/>
    <m/>
    <s v=""/>
    <s v="Growth"/>
    <s v="December"/>
    <s v="Q4"/>
  </r>
  <r>
    <s v="EOS1173"/>
    <d v="2025-12-29T00:00:00"/>
    <s v="FB"/>
    <s v="Hitesh Patel"/>
    <s v="Padra"/>
    <x v="14"/>
    <s v="Follow up "/>
    <n v="130000"/>
    <n v="1071172"/>
    <s v="Follow up"/>
    <s v="Follow Up"/>
    <m/>
    <s v=""/>
    <s v="Starter"/>
    <s v="December"/>
    <s v="Q4"/>
  </r>
  <r>
    <s v="EOS1174"/>
    <d v="2025-12-29T00:00:00"/>
    <s v="FB"/>
    <s v="Azaz kulad "/>
    <s v="Gol"/>
    <x v="16"/>
    <s v="Rejected"/>
    <n v="130000"/>
    <n v="1071173"/>
    <s v="Rejected"/>
    <s v="Rejected"/>
    <m/>
    <s v=""/>
    <s v="Starter"/>
    <s v="December"/>
    <s v="Q4"/>
  </r>
  <r>
    <s v="EOS1175"/>
    <d v="2026-01-02T00:00:00"/>
    <s v="FB"/>
    <s v="Mazhar Ali"/>
    <s v="himmatnagar"/>
    <x v="14"/>
    <s v="Rejected"/>
    <n v="130000"/>
    <n v="1071174"/>
    <s v="Rejected"/>
    <s v="Rejected"/>
    <m/>
    <s v=""/>
    <s v="Starter"/>
    <s v="January"/>
    <s v="Q1"/>
  </r>
  <r>
    <s v="EOS1176"/>
    <d v="2026-01-02T00:00:00"/>
    <s v="FB"/>
    <s v="yashpalsingh"/>
    <s v="Galodar "/>
    <x v="14"/>
    <s v="Rejected"/>
    <n v="130000"/>
    <n v="1071175"/>
    <s v="Rejected"/>
    <s v="Rejected"/>
    <m/>
    <s v=""/>
    <s v="Starter"/>
    <s v="January"/>
    <s v="Q1"/>
  </r>
  <r>
    <s v="EOS1177"/>
    <d v="2026-01-02T00:00:00"/>
    <s v="FB"/>
    <s v="maulik sindhav"/>
    <s v="Nadiad"/>
    <x v="14"/>
    <s v="Follow up "/>
    <n v="130000"/>
    <n v="1071176"/>
    <s v="Follow up"/>
    <s v="Follow Up"/>
    <m/>
    <s v=""/>
    <s v="Starter"/>
    <s v="January"/>
    <s v="Q1"/>
  </r>
  <r>
    <s v="EOS1178"/>
    <d v="2026-01-02T00:00:00"/>
    <s v="FB"/>
    <s v="Kamleshsinh Solanki "/>
    <s v="Vinchhiya"/>
    <x v="14"/>
    <s v="Rejected"/>
    <n v="108000"/>
    <n v="1071177"/>
    <s v="Rejected"/>
    <s v="Rejected"/>
    <m/>
    <s v=""/>
    <s v="Starter"/>
    <s v="January"/>
    <s v="Q1"/>
  </r>
  <r>
    <s v="EOS1179"/>
    <d v="2026-01-02T00:00:00"/>
    <s v="FB"/>
    <s v="Pankaj Mer"/>
    <s v=" Bhavnagar"/>
    <x v="14"/>
    <s v="Follow up "/>
    <n v="108000"/>
    <n v="1071178"/>
    <s v="Follow up"/>
    <s v="Follow Up"/>
    <m/>
    <s v=""/>
    <s v="Starter"/>
    <s v="January"/>
    <s v="Q1"/>
  </r>
  <r>
    <s v="EOS1180"/>
    <d v="2026-01-02T00:00:00"/>
    <s v="FB"/>
    <s v="Tushar"/>
    <s v="Botad "/>
    <x v="14"/>
    <s v="Rejected"/>
    <n v="177000"/>
    <n v="1071179"/>
    <s v="Rejected"/>
    <s v="Rejected"/>
    <m/>
    <s v=""/>
    <s v="Growth"/>
    <s v="January"/>
    <s v="Q1"/>
  </r>
  <r>
    <s v="EOS1181"/>
    <d v="2026-01-02T00:00:00"/>
    <s v="FB"/>
    <s v="it's__KANBHAA"/>
    <s v="Vadodara"/>
    <x v="14"/>
    <s v="Follow up "/>
    <n v="108000"/>
    <n v="1071180"/>
    <s v="Follow up"/>
    <s v="Follow Up"/>
    <m/>
    <s v=""/>
    <s v="Starter"/>
    <s v="January"/>
    <s v="Q1"/>
  </r>
  <r>
    <s v="EOS1182"/>
    <d v="2026-01-02T00:00:00"/>
    <s v="FB"/>
    <s v="aadil shaikh"/>
    <s v="Surat "/>
    <x v="14"/>
    <s v="Follow up "/>
    <n v="130000"/>
    <n v="1071181"/>
    <s v="Follow up"/>
    <s v="Follow Up"/>
    <m/>
    <s v=""/>
    <s v="Starter"/>
    <s v="January"/>
    <s v="Q1"/>
  </r>
  <r>
    <s v="EOS1183"/>
    <d v="2026-01-02T00:00:00"/>
    <s v="FB"/>
    <s v="Rudra"/>
    <s v="Surat "/>
    <x v="14"/>
    <s v="Follow up "/>
    <n v="108000"/>
    <n v="1071182"/>
    <s v="Follow up"/>
    <s v="Follow Up"/>
    <m/>
    <s v=""/>
    <s v="Starter"/>
    <s v="January"/>
    <s v="Q1"/>
  </r>
  <r>
    <s v="EOS1184"/>
    <d v="2026-01-02T00:00:00"/>
    <s v="FB"/>
    <s v="Hiralal bhai"/>
    <s v="kothara "/>
    <x v="14"/>
    <s v="Rejected"/>
    <n v="108000"/>
    <n v="1071183"/>
    <s v="Rejected"/>
    <s v="Rejected"/>
    <m/>
    <s v=""/>
    <s v="Starter"/>
    <s v="January"/>
    <s v="Q1"/>
  </r>
  <r>
    <s v="EOS1185"/>
    <d v="2026-01-02T00:00:00"/>
    <s v="FB"/>
    <s v="Amin Miyaji"/>
    <s v="Gandhinagar"/>
    <x v="14"/>
    <s v="Follow up "/>
    <n v="130000"/>
    <n v="1071184"/>
    <s v="Follow up"/>
    <s v="Follow Up"/>
    <m/>
    <s v=""/>
    <s v="Starter"/>
    <s v="January"/>
    <s v="Q1"/>
  </r>
  <r>
    <s v="EOS1186"/>
    <d v="2026-01-03T00:00:00"/>
    <s v="FB"/>
    <s v="Thakkar Darshan"/>
    <s v="Wankaner"/>
    <x v="14"/>
    <s v="Follow up "/>
    <n v="108000"/>
    <n v="1071185"/>
    <s v="Follow up"/>
    <s v="Follow Up"/>
    <m/>
    <s v=""/>
    <s v="Starter"/>
    <s v="January"/>
    <s v="Q1"/>
  </r>
  <r>
    <s v="EOS1187"/>
    <d v="2026-01-03T00:00:00"/>
    <s v="FB"/>
    <s v="Anis"/>
    <s v="Nadiad"/>
    <x v="14"/>
    <s v="Follow up "/>
    <n v="108000"/>
    <n v="1071186"/>
    <s v="Follow up"/>
    <s v="Follow Up"/>
    <m/>
    <s v=""/>
    <s v="Starter"/>
    <s v="January"/>
    <s v="Q1"/>
  </r>
  <r>
    <s v="EOS1188"/>
    <d v="2026-01-03T00:00:00"/>
    <s v="FB"/>
    <s v="Rushi_3111"/>
    <s v="Mehsana"/>
    <x v="14"/>
    <s v="Follow up "/>
    <n v="108000"/>
    <n v="1071187"/>
    <s v="Follow up"/>
    <s v="Follow Up"/>
    <m/>
    <s v=""/>
    <s v="Starter"/>
    <s v="January"/>
    <s v="Q1"/>
  </r>
  <r>
    <s v="EOS1189"/>
    <d v="2026-01-03T00:00:00"/>
    <s v="FB"/>
    <s v="margi prajapati "/>
    <s v="Ahmedabad"/>
    <x v="14"/>
    <s v="Follow up "/>
    <n v="177000"/>
    <n v="1071188"/>
    <s v="Follow up"/>
    <s v="Follow Up"/>
    <m/>
    <s v=""/>
    <s v="Growth"/>
    <s v="January"/>
    <s v="Q1"/>
  </r>
  <r>
    <s v="EOS1190"/>
    <d v="2026-01-03T00:00:00"/>
    <s v="FB"/>
    <s v="Koshti Mihir"/>
    <s v="Palanpur"/>
    <x v="14"/>
    <s v="Follow up "/>
    <n v="130000"/>
    <n v="1071189"/>
    <s v="Follow up"/>
    <s v="Follow Up"/>
    <m/>
    <s v=""/>
    <s v="Starter"/>
    <s v="January"/>
    <s v="Q1"/>
  </r>
  <r>
    <s v="EOS1191"/>
    <d v="2026-01-03T00:00:00"/>
    <s v="FB"/>
    <s v="Kamlesh Barva"/>
    <m/>
    <x v="14"/>
    <s v="Follow up "/>
    <n v="130000"/>
    <n v="1071190"/>
    <s v="Follow up"/>
    <s v="Follow Up"/>
    <m/>
    <s v=""/>
    <s v="Starter"/>
    <s v="January"/>
    <s v="Q1"/>
  </r>
  <r>
    <s v="EOS1192"/>
    <d v="2026-01-03T00:00:00"/>
    <s v="FB"/>
    <s v="Jayesh"/>
    <m/>
    <x v="14"/>
    <s v="Rejected"/>
    <n v="108000"/>
    <n v="1071191"/>
    <s v="Rejected"/>
    <s v="Rejected"/>
    <m/>
    <s v=""/>
    <s v="Starter"/>
    <s v="January"/>
    <s v="Q1"/>
  </r>
  <r>
    <s v="EOS1193"/>
    <d v="2026-01-03T00:00:00"/>
    <s v="WA"/>
    <s v="DILIP Thakor"/>
    <s v="Rajkot"/>
    <x v="14"/>
    <s v="Follow up "/>
    <n v="130000"/>
    <n v="1071192"/>
    <s v="Follow up"/>
    <s v="Follow Up"/>
    <m/>
    <s v=""/>
    <s v="Starter"/>
    <s v="January"/>
    <s v="Q1"/>
  </r>
  <r>
    <s v="EOS1194"/>
    <d v="2026-01-05T00:00:00"/>
    <s v="FB"/>
    <s v="Pithiyakuldee"/>
    <s v="Junagadh"/>
    <x v="14"/>
    <s v="Rejected"/>
    <n v="130000"/>
    <n v="1071193"/>
    <s v="Rejected"/>
    <s v="Rejected"/>
    <m/>
    <s v=""/>
    <s v="Starter"/>
    <s v="January"/>
    <s v="Q1"/>
  </r>
  <r>
    <s v="EOS1195"/>
    <d v="2026-01-05T00:00:00"/>
    <s v="FB "/>
    <s v="Hiren "/>
    <s v="Jambusar"/>
    <x v="14"/>
    <s v="Rejected"/>
    <n v="108000"/>
    <n v="1071194"/>
    <s v="Rejected"/>
    <s v="Rejected"/>
    <m/>
    <s v=""/>
    <s v="Starter"/>
    <s v="January"/>
    <s v="Q1"/>
  </r>
  <r>
    <s v="EOS1196"/>
    <d v="2026-01-05T00:00:00"/>
    <s v="FB "/>
    <s v="Satyajitsinh Rajput"/>
    <s v="Surat "/>
    <x v="14"/>
    <s v="Rejected"/>
    <n v="108000"/>
    <n v="1071195"/>
    <s v="Rejected"/>
    <s v="Rejected"/>
    <m/>
    <s v=""/>
    <s v="Starter"/>
    <s v="January"/>
    <s v="Q1"/>
  </r>
  <r>
    <s v="EOS1197"/>
    <d v="2026-01-05T00:00:00"/>
    <s v="FB "/>
    <s v="Mahesh"/>
    <s v="Balasinor"/>
    <x v="14"/>
    <s v="Rejected"/>
    <n v="130000"/>
    <n v="1071196"/>
    <s v="Rejected"/>
    <s v="Rejected"/>
    <m/>
    <s v=""/>
    <s v="Starter"/>
    <s v="January"/>
    <s v="Q1"/>
  </r>
  <r>
    <s v="EOS1198"/>
    <d v="2026-01-05T00:00:00"/>
    <s v="FB "/>
    <s v="MV Shaikh"/>
    <s v="jhagadia"/>
    <x v="14"/>
    <s v="Rejected"/>
    <n v="177000"/>
    <n v="1071197"/>
    <s v="Rejected"/>
    <s v="Rejected"/>
    <m/>
    <s v=""/>
    <s v="Growth"/>
    <s v="January"/>
    <s v="Q1"/>
  </r>
  <r>
    <s v="EOS1199"/>
    <d v="2026-01-05T00:00:00"/>
    <s v="FB "/>
    <s v="Shaikh idrish"/>
    <s v="Jamnagar"/>
    <x v="14"/>
    <s v="Follow up "/>
    <n v="130000"/>
    <n v="1071198"/>
    <s v="Follow up"/>
    <s v="Follow Up"/>
    <m/>
    <s v=""/>
    <s v="Starter"/>
    <s v="January"/>
    <s v="Q1"/>
  </r>
  <r>
    <s v="EOS1200"/>
    <d v="2026-01-05T00:00:00"/>
    <s v="FB"/>
    <s v="Ajay"/>
    <s v="Mundra"/>
    <x v="14"/>
    <s v="Rejected"/>
    <n v="130000"/>
    <n v="1071199"/>
    <s v="Rejected"/>
    <s v="Rejected"/>
    <m/>
    <s v=""/>
    <s v="Starter"/>
    <s v="January"/>
    <s v="Q1"/>
  </r>
  <r>
    <s v="EOS1201"/>
    <d v="2026-01-05T00:00:00"/>
    <s v="FB "/>
    <m/>
    <m/>
    <x v="14"/>
    <s v="Follow up "/>
    <n v="130000"/>
    <n v="1071200"/>
    <s v="Follow up"/>
    <s v="Follow Up"/>
    <m/>
    <s v=""/>
    <s v="Starter"/>
    <s v="January"/>
    <s v="Q1"/>
  </r>
  <r>
    <s v="EOS1202"/>
    <d v="2026-01-05T00:00:00"/>
    <s v="FB"/>
    <s v="Tushar Patel"/>
    <s v="Kadi "/>
    <x v="14"/>
    <s v="Follow up "/>
    <n v="177000"/>
    <n v="1071201"/>
    <s v="Follow up"/>
    <s v="Follow Up"/>
    <m/>
    <s v=""/>
    <s v="Growth"/>
    <s v="January"/>
    <s v="Q1"/>
  </r>
  <r>
    <s v="EOS1203"/>
    <d v="2026-01-05T00:00:00"/>
    <s v="FB"/>
    <s v="Maulik Patel"/>
    <s v="Nadiad"/>
    <x v="14"/>
    <s v="Follow up "/>
    <n v="130000"/>
    <n v="1071202"/>
    <s v="Follow up"/>
    <s v="Follow Up"/>
    <m/>
    <s v=""/>
    <s v="Starter"/>
    <s v="January"/>
    <s v="Q1"/>
  </r>
  <r>
    <s v="EOS1204"/>
    <d v="2026-01-05T00:00:00"/>
    <s v="FB"/>
    <s v="jadeja virendra"/>
    <s v="Surat "/>
    <x v="14"/>
    <s v="Follow up "/>
    <n v="108000"/>
    <n v="1071203"/>
    <s v="Follow up"/>
    <s v="Follow Up"/>
    <m/>
    <s v=""/>
    <s v="Starter"/>
    <s v="January"/>
    <s v="Q1"/>
  </r>
  <r>
    <s v="EOS1205"/>
    <d v="2026-01-05T00:00:00"/>
    <s v="FB"/>
    <s v="bhargav variya "/>
    <s v="Ahmedabad"/>
    <x v="14"/>
    <s v="Follow up "/>
    <n v="177000"/>
    <n v="1071204"/>
    <s v="Follow up"/>
    <s v="Follow Up"/>
    <m/>
    <s v=""/>
    <s v="Growth"/>
    <s v="January"/>
    <s v="Q1"/>
  </r>
  <r>
    <s v="EOS1206"/>
    <d v="2026-01-05T00:00:00"/>
    <s v="FB"/>
    <s v="milan"/>
    <s v="bhesan "/>
    <x v="14"/>
    <s v="Rejected"/>
    <n v="108000"/>
    <n v="1071205"/>
    <s v="Rejected"/>
    <s v="Rejected"/>
    <m/>
    <s v=""/>
    <s v="Starter"/>
    <s v="January"/>
    <s v="Q1"/>
  </r>
  <r>
    <s v="EOS1207"/>
    <d v="2026-01-05T00:00:00"/>
    <s v="FB "/>
    <s v="Jayveer Khuman"/>
    <s v="Surat "/>
    <x v="14"/>
    <s v="Rejected"/>
    <n v="130000"/>
    <n v="1071206"/>
    <s v="Rejected"/>
    <s v="Rejected"/>
    <m/>
    <s v=""/>
    <s v="Starter"/>
    <s v="January"/>
    <s v="Q1"/>
  </r>
  <r>
    <s v="EOS1208"/>
    <d v="2026-01-05T00:00:00"/>
    <s v="FB "/>
    <s v="Pradip Beladiya"/>
    <s v="bahjoi"/>
    <x v="16"/>
    <s v="Follow up "/>
    <n v="108000"/>
    <n v="1071207"/>
    <s v="Follow up"/>
    <s v="Follow Up"/>
    <m/>
    <s v=""/>
    <s v="Starter"/>
    <s v="January"/>
    <s v="Q1"/>
  </r>
  <r>
    <s v="EOS1209"/>
    <d v="2026-01-05T00:00:00"/>
    <s v="FB"/>
    <s v="Lokesh Gupta"/>
    <s v="lucknow "/>
    <x v="16"/>
    <s v="Follow up "/>
    <n v="108000"/>
    <n v="1071208"/>
    <s v="Follow up"/>
    <s v="Follow Up"/>
    <m/>
    <s v=""/>
    <s v="Starter"/>
    <s v="January"/>
    <s v="Q1"/>
  </r>
  <r>
    <s v="EOS1210"/>
    <d v="2026-01-05T00:00:00"/>
    <s v="FB"/>
    <s v="Akhilesh Nath Tripathi"/>
    <s v="morbi "/>
    <x v="14"/>
    <s v="Rejected"/>
    <n v="108000"/>
    <n v="1071209"/>
    <s v="Rejected"/>
    <s v="Rejected"/>
    <m/>
    <s v=""/>
    <s v="Starter"/>
    <s v="January"/>
    <s v="Q1"/>
  </r>
  <r>
    <s v="EOS1211"/>
    <d v="2026-01-06T00:00:00"/>
    <s v="FB"/>
    <s v="Vajsi chavda"/>
    <s v="Vadodara"/>
    <x v="14"/>
    <s v="Follow up "/>
    <n v="108000"/>
    <n v="1071210"/>
    <s v="Follow up"/>
    <s v="Follow Up"/>
    <m/>
    <s v=""/>
    <s v="Starter"/>
    <s v="January"/>
    <s v="Q1"/>
  </r>
  <r>
    <s v="EOS1212"/>
    <d v="2026-01-06T00:00:00"/>
    <s v="FB"/>
    <s v="chirag darji"/>
    <s v="navsari "/>
    <x v="14"/>
    <s v="Rejected"/>
    <n v="130000"/>
    <n v="1071211"/>
    <s v="Rejected"/>
    <s v="Rejected"/>
    <m/>
    <s v=""/>
    <s v="Starter"/>
    <s v="January"/>
    <s v="Q1"/>
  </r>
  <r>
    <s v="EOS1213"/>
    <d v="2026-01-06T00:00:00"/>
    <s v="FB"/>
    <s v="Feral s Rathod"/>
    <s v="Junagadh"/>
    <x v="14"/>
    <s v="Follow up "/>
    <n v="177000"/>
    <n v="1071212"/>
    <s v="Follow up"/>
    <s v="Follow Up"/>
    <m/>
    <s v=""/>
    <s v="Growth"/>
    <s v="January"/>
    <s v="Q1"/>
  </r>
  <r>
    <s v="EOS1214"/>
    <d v="2026-01-06T00:00:00"/>
    <s v="FB"/>
    <s v="Rajan Ahir"/>
    <s v="Rajkot"/>
    <x v="14"/>
    <s v="Rejected"/>
    <n v="130000"/>
    <n v="1071213"/>
    <s v="Rejected"/>
    <s v="Rejected"/>
    <m/>
    <s v=""/>
    <s v="Starter"/>
    <s v="January"/>
    <s v="Q1"/>
  </r>
  <r>
    <s v="EOS1215"/>
    <d v="2026-01-06T00:00:00"/>
    <s v="FB"/>
    <s v="Yogvirsinh Zala"/>
    <s v="Ahmedabad"/>
    <x v="14"/>
    <s v="Follow up "/>
    <n v="130000"/>
    <n v="1071214"/>
    <s v="Follow up"/>
    <s v="Follow Up"/>
    <m/>
    <s v=""/>
    <s v="Starter"/>
    <s v="January"/>
    <s v="Q1"/>
  </r>
  <r>
    <s v="EOS1216"/>
    <d v="2026-01-07T00:00:00"/>
    <s v="FB"/>
    <s v="Manan chauhan"/>
    <s v="Surat"/>
    <x v="14"/>
    <s v="Follow up "/>
    <n v="130000"/>
    <n v="1071215"/>
    <s v="Follow up"/>
    <s v="Follow Up"/>
    <m/>
    <s v=""/>
    <s v="Starter"/>
    <s v="January"/>
    <s v="Q1"/>
  </r>
  <r>
    <s v="EOS1217"/>
    <d v="2026-01-07T00:00:00"/>
    <s v="FB"/>
    <s v="Dhruval Radadiya"/>
    <m/>
    <x v="14"/>
    <s v="Follow up "/>
    <n v="130000"/>
    <n v="1071216"/>
    <s v="Follow up"/>
    <s v="Follow Up"/>
    <m/>
    <s v=""/>
    <s v="Starter"/>
    <s v="January"/>
    <s v="Q1"/>
  </r>
  <r>
    <s v="EOS1218"/>
    <d v="2026-01-07T00:00:00"/>
    <s v="FB"/>
    <s v="Saleh Dantrolia"/>
    <m/>
    <x v="14"/>
    <s v="Follow up "/>
    <n v="130000"/>
    <n v="1071217"/>
    <s v="Follow up"/>
    <s v="Follow Up"/>
    <m/>
    <s v=""/>
    <s v="Starter"/>
    <s v="January"/>
    <s v="Q1"/>
  </r>
  <r>
    <s v="EOS1219"/>
    <d v="2026-01-07T00:00:00"/>
    <s v="FB"/>
    <s v="Parth Patel"/>
    <m/>
    <x v="14"/>
    <s v="Follow up "/>
    <n v="108000"/>
    <n v="1071218"/>
    <s v="Follow up"/>
    <s v="Follow Up"/>
    <m/>
    <s v=""/>
    <s v="Starter"/>
    <s v="January"/>
    <s v="Q1"/>
  </r>
  <r>
    <s v="EOS1220"/>
    <d v="2026-01-07T00:00:00"/>
    <s v="FB"/>
    <s v="Akil Hingora"/>
    <s v="Vadodara"/>
    <x v="14"/>
    <s v="Follow up "/>
    <n v="130000"/>
    <n v="1071219"/>
    <s v="Follow up"/>
    <s v="Follow Up"/>
    <m/>
    <s v=""/>
    <s v="Starter"/>
    <s v="January"/>
    <s v="Q1"/>
  </r>
  <r>
    <s v="EOS1221"/>
    <d v="2026-01-07T00:00:00"/>
    <s v="FB"/>
    <s v="Bimal Pandya"/>
    <m/>
    <x v="14"/>
    <s v="Follow up "/>
    <n v="308000"/>
    <n v="1071220"/>
    <s v="Follow up"/>
    <s v="Follow Up"/>
    <m/>
    <s v=""/>
    <s v="Premium"/>
    <s v="January"/>
    <s v="Q1"/>
  </r>
  <r>
    <s v="EOS1222"/>
    <d v="2026-01-07T00:00:00"/>
    <s v="FB"/>
    <s v="Hitesh Patel "/>
    <m/>
    <x v="14"/>
    <s v="Follow up "/>
    <n v="130000"/>
    <n v="1071221"/>
    <s v="Follow up"/>
    <s v="Follow Up"/>
    <m/>
    <s v=""/>
    <s v="Starter"/>
    <s v="January"/>
    <s v="Q1"/>
  </r>
  <r>
    <s v="EOS1223"/>
    <d v="2026-01-07T00:00:00"/>
    <s v="FB"/>
    <s v="Apurv Patel"/>
    <s v="mahngrol "/>
    <x v="14"/>
    <s v="Follow up "/>
    <n v="130000"/>
    <n v="1071222"/>
    <s v="Follow up"/>
    <s v="Follow Up"/>
    <m/>
    <s v=""/>
    <s v="Starter"/>
    <s v="January"/>
    <s v="Q1"/>
  </r>
  <r>
    <s v="EOS1224"/>
    <d v="2026-01-08T00:00:00"/>
    <s v="FB"/>
    <s v="Safdar Shaikh"/>
    <m/>
    <x v="14"/>
    <s v="Follow up "/>
    <n v="130000"/>
    <n v="1071223"/>
    <s v="Follow up"/>
    <s v="Follow Up"/>
    <m/>
    <s v=""/>
    <s v="Starter"/>
    <s v="January"/>
    <s v="Q1"/>
  </r>
  <r>
    <s v="EOS1225"/>
    <d v="2026-01-08T00:00:00"/>
    <s v="FB"/>
    <s v="RUSHAABH"/>
    <m/>
    <x v="14"/>
    <s v="Follow up "/>
    <n v="130000"/>
    <n v="1071224"/>
    <s v="Follow up"/>
    <s v="Follow Up"/>
    <m/>
    <s v=""/>
    <s v="Starter"/>
    <s v="January"/>
    <s v="Q1"/>
  </r>
  <r>
    <s v="EOS1226"/>
    <d v="2026-01-08T00:00:00"/>
    <s v="FB"/>
    <s v="chandrapal sinh virpura milan "/>
    <m/>
    <x v="14"/>
    <s v="Follow up "/>
    <n v="130000"/>
    <n v="1071225"/>
    <s v="Follow up"/>
    <s v="Follow Up"/>
    <m/>
    <s v=""/>
    <s v="Starter"/>
    <s v="January"/>
    <s v="Q1"/>
  </r>
  <r>
    <s v="EOS1227"/>
    <d v="2026-01-08T00:00:00"/>
    <s v="FB"/>
    <s v="Raju Desai "/>
    <s v="Surat "/>
    <x v="14"/>
    <s v="Follow up "/>
    <n v="108000"/>
    <n v="1071226"/>
    <s v="Follow up"/>
    <s v="Follow Up"/>
    <m/>
    <s v=""/>
    <s v="Starter"/>
    <s v="January"/>
    <s v="Q1"/>
  </r>
  <r>
    <s v="EOS1228"/>
    <d v="2026-01-09T00:00:00"/>
    <s v="FB"/>
    <s v="Gauri Padaya"/>
    <s v="Bhavangar"/>
    <x v="14"/>
    <s v="Follow up "/>
    <n v="130000"/>
    <n v="1071227"/>
    <s v="Follow up"/>
    <s v="Follow Up"/>
    <m/>
    <s v=""/>
    <s v="Starter"/>
    <s v="January"/>
    <s v="Q1"/>
  </r>
  <r>
    <s v="EOS1229"/>
    <d v="2026-01-09T00:00:00"/>
    <s v="FB"/>
    <m/>
    <m/>
    <x v="14"/>
    <s v="Follow up "/>
    <n v="108000"/>
    <n v="1071228"/>
    <s v="Follow up"/>
    <s v="Follow Up"/>
    <m/>
    <s v=""/>
    <s v="Starter"/>
    <s v="January"/>
    <s v="Q1"/>
  </r>
  <r>
    <s v="EOS1230"/>
    <d v="2026-01-12T00:00:00"/>
    <s v="FB"/>
    <s v="Chirag Bha"/>
    <m/>
    <x v="14"/>
    <s v="Follow up "/>
    <n v="108000"/>
    <n v="1071229"/>
    <s v="Follow up"/>
    <s v="Follow Up"/>
    <m/>
    <s v=""/>
    <s v="Starter"/>
    <s v="January"/>
    <s v="Q1"/>
  </r>
  <r>
    <s v="EOS1231"/>
    <d v="2026-01-12T00:00:00"/>
    <s v="FB"/>
    <s v="VIRAL THAKKER"/>
    <s v="Ahmedabad"/>
    <x v="14"/>
    <s v="Follow up "/>
    <n v="177000"/>
    <n v="1071230"/>
    <s v="Follow up"/>
    <s v="Follow Up"/>
    <m/>
    <s v=""/>
    <s v="Growth"/>
    <s v="January"/>
    <s v="Q1"/>
  </r>
  <r>
    <s v="EOS1232"/>
    <d v="2026-01-13T00:00:00"/>
    <s v="FB"/>
    <s v="Kishan Chudasama"/>
    <s v="Gogamba"/>
    <x v="14"/>
    <s v="Follow up "/>
    <n v="130000"/>
    <n v="1071231"/>
    <s v="Follow up"/>
    <s v="Follow Up"/>
    <m/>
    <s v=""/>
    <s v="Starter"/>
    <s v="January"/>
    <s v="Q1"/>
  </r>
  <r>
    <s v="EOS1233"/>
    <d v="2026-01-13T00:00:00"/>
    <s v="FB"/>
    <s v="Mehul vanzara"/>
    <s v="Ahmedabad"/>
    <x v="14"/>
    <s v="Follow up "/>
    <n v="130000"/>
    <n v="1071232"/>
    <s v="Follow up"/>
    <s v="Follow Up"/>
    <m/>
    <s v=""/>
    <s v="Starter"/>
    <s v="January"/>
    <s v="Q1"/>
  </r>
  <r>
    <s v="EOS1234"/>
    <d v="2026-01-13T00:00:00"/>
    <s v="FB"/>
    <s v="Navaz Pathan"/>
    <s v="Surat"/>
    <x v="14"/>
    <s v="Follow up "/>
    <n v="108000"/>
    <n v="1071233"/>
    <s v="Follow up"/>
    <s v="Follow Up"/>
    <m/>
    <s v=""/>
    <s v="Starter"/>
    <s v="January"/>
    <s v="Q1"/>
  </r>
  <r>
    <s v="EOS1235"/>
    <d v="2026-01-13T00:00:00"/>
    <s v="FB"/>
    <s v="Prathamsinh bhati"/>
    <s v="Gandhinagar"/>
    <x v="14"/>
    <s v="Follow up "/>
    <n v="130000"/>
    <n v="1071234"/>
    <s v="Follow up"/>
    <s v="Follow Up"/>
    <m/>
    <s v=""/>
    <s v="Starter"/>
    <s v="January"/>
    <s v="Q1"/>
  </r>
  <r>
    <s v="EOS1236"/>
    <d v="2026-01-13T00:00:00"/>
    <s v="FB"/>
    <s v="Pravin Prajapati"/>
    <s v="Surat"/>
    <x v="14"/>
    <s v="Follow up "/>
    <n v="130000"/>
    <n v="1071235"/>
    <s v="Follow up"/>
    <s v="Follow Up"/>
    <m/>
    <s v=""/>
    <s v="Starter"/>
    <s v="January"/>
    <s v="Q1"/>
  </r>
  <r>
    <s v="EOS1237"/>
    <d v="2026-01-16T00:00:00"/>
    <s v="FB"/>
    <s v="Krulay Desai"/>
    <s v="Ahmedabad"/>
    <x v="14"/>
    <s v="Follow up "/>
    <n v="108000"/>
    <n v="1071236"/>
    <s v="Follow up"/>
    <s v="Follow Up"/>
    <m/>
    <s v=""/>
    <s v="Starter"/>
    <s v="January"/>
    <s v="Q1"/>
  </r>
  <r>
    <s v="EOS1238"/>
    <d v="2026-01-16T00:00:00"/>
    <s v="FB"/>
    <s v="Jigar Thakkar"/>
    <s v="Ahmedabad"/>
    <x v="14"/>
    <s v="Follow up "/>
    <n v="130000"/>
    <n v="1071237"/>
    <s v="Follow up"/>
    <s v="Follow Up"/>
    <m/>
    <s v=""/>
    <s v="Starter"/>
    <s v="January"/>
    <s v="Q1"/>
  </r>
  <r>
    <s v="EOS1239"/>
    <d v="2026-01-16T00:00:00"/>
    <s v="FB"/>
    <s v="Nirmal Rajpurohit"/>
    <s v="Mangrol"/>
    <x v="14"/>
    <s v="Follow up "/>
    <n v="177000"/>
    <n v="1071238"/>
    <s v="Follow up"/>
    <s v="Follow Up"/>
    <m/>
    <s v=""/>
    <s v="Growth"/>
    <s v="January"/>
    <s v="Q1"/>
  </r>
  <r>
    <s v="EOS1240"/>
    <d v="2026-01-16T00:00:00"/>
    <s v="FB"/>
    <s v="Aftab Kadu"/>
    <s v="Rajkot"/>
    <x v="14"/>
    <s v="Follow up "/>
    <n v="130000"/>
    <n v="1071239"/>
    <s v="Follow up"/>
    <s v="Follow Up"/>
    <m/>
    <s v=""/>
    <s v="Starter"/>
    <s v="January"/>
    <s v="Q1"/>
  </r>
  <r>
    <s v="EOS1241"/>
    <d v="2026-01-16T00:00:00"/>
    <s v="FB"/>
    <s v="Raj Rupapara"/>
    <s v="Junagadh"/>
    <x v="14"/>
    <s v="Follow up "/>
    <n v="130000"/>
    <n v="1071240"/>
    <s v="Follow up"/>
    <s v="Follow Up"/>
    <m/>
    <s v=""/>
    <s v="Starter"/>
    <s v="January"/>
    <s v="Q1"/>
  </r>
  <r>
    <s v="EOS1242"/>
    <d v="2026-01-16T00:00:00"/>
    <s v="FB"/>
    <s v="Nirmal"/>
    <s v="Veraval"/>
    <x v="14"/>
    <s v="Follow up "/>
    <n v="130000"/>
    <n v="1071241"/>
    <s v="Follow up"/>
    <s v="Follow Up"/>
    <m/>
    <s v=""/>
    <s v="Starter"/>
    <s v="January"/>
    <s v="Q1"/>
  </r>
  <r>
    <s v="EOS1243"/>
    <d v="2026-01-16T00:00:00"/>
    <s v="FB"/>
    <s v="Sumra Faizan"/>
    <m/>
    <x v="14"/>
    <s v="Follow up "/>
    <n v="108000"/>
    <n v="1071242"/>
    <s v="Follow up"/>
    <s v="Follow Up"/>
    <m/>
    <s v=""/>
    <s v="Starter"/>
    <s v="January"/>
    <s v="Q1"/>
  </r>
  <r>
    <s v="EOS1244"/>
    <d v="2026-01-16T00:00:00"/>
    <s v="FB"/>
    <s v="Shekh Munzamilbhai M"/>
    <s v="Daman"/>
    <x v="14"/>
    <s v="Follow up "/>
    <n v="130000"/>
    <n v="1071243"/>
    <s v="Follow up"/>
    <s v="Follow Up"/>
    <m/>
    <s v=""/>
    <s v="Starter"/>
    <s v="January"/>
    <s v="Q1"/>
  </r>
  <r>
    <s v="EOS1245"/>
    <d v="2026-01-16T00:00:00"/>
    <s v="FB"/>
    <s v="Mustafa"/>
    <s v="Junagadh"/>
    <x v="14"/>
    <s v="Follow up "/>
    <n v="130000"/>
    <n v="1071244"/>
    <s v="Follow up"/>
    <s v="Follow Up"/>
    <m/>
    <s v=""/>
    <s v="Starter"/>
    <s v="January"/>
    <s v="Q1"/>
  </r>
  <r>
    <s v="EOS1246"/>
    <d v="2026-01-17T00:00:00"/>
    <s v="FB"/>
    <s v="S_K_Babi_0786"/>
    <s v="Rajkot"/>
    <x v="0"/>
    <s v="Follow up "/>
    <n v="108000"/>
    <n v="1071245"/>
    <s v="Follow up"/>
    <s v="Follow Up"/>
    <m/>
    <s v=""/>
    <s v="Starter"/>
    <s v="January"/>
    <s v="Q1"/>
  </r>
  <r>
    <s v="EOS1247"/>
    <d v="2026-01-17T00:00:00"/>
    <s v="FB"/>
    <s v="Manthan Upadhyay"/>
    <s v=" Bhavnagar"/>
    <x v="0"/>
    <s v="Rejected"/>
    <n v="130000"/>
    <n v="1071246"/>
    <s v="Rejected"/>
    <s v="Rejected"/>
    <m/>
    <s v=""/>
    <s v="Starter"/>
    <s v="January"/>
    <s v="Q1"/>
  </r>
  <r>
    <s v="EOS1248"/>
    <d v="2026-01-17T00:00:00"/>
    <s v="FB "/>
    <s v="Shekh Muhmmad"/>
    <s v="Kalol"/>
    <x v="0"/>
    <s v="Follow up "/>
    <n v="177000"/>
    <n v="1071247"/>
    <s v="Follow up"/>
    <s v="Follow Up"/>
    <m/>
    <s v=""/>
    <s v="Growth"/>
    <s v="January"/>
    <s v="Q1"/>
  </r>
  <r>
    <s v="EOS1249"/>
    <d v="2026-01-17T00:00:00"/>
    <s v="FB"/>
    <s v="Panchani Arvind"/>
    <s v="Junagadh"/>
    <x v="0"/>
    <s v="Follow up "/>
    <n v="108000"/>
    <n v="1071248"/>
    <s v="Follow up"/>
    <s v="Follow Up"/>
    <m/>
    <s v=""/>
    <s v="Starter"/>
    <s v="January"/>
    <s v="Q1"/>
  </r>
  <r>
    <s v="EOS1250"/>
    <d v="2026-01-17T00:00:00"/>
    <s v="FB"/>
    <s v="JETHAVA navaz"/>
    <s v="Vadodara"/>
    <x v="0"/>
    <s v="Rejected"/>
    <n v="108000"/>
    <n v="1071249"/>
    <s v="Rejected"/>
    <s v="Rejected"/>
    <m/>
    <s v=""/>
    <s v="Starter"/>
    <s v="January"/>
    <s v="Q1"/>
  </r>
  <r>
    <s v="EOS1251"/>
    <d v="2026-01-17T00:00:00"/>
    <s v="FB "/>
    <s v="PusHpendrasinh Raulji"/>
    <s v="Ahmedabad"/>
    <x v="0"/>
    <s v="Rejected"/>
    <n v="108000"/>
    <n v="1071250"/>
    <s v="Rejected"/>
    <s v="Rejected"/>
    <m/>
    <s v=""/>
    <s v="Starter"/>
    <s v="January"/>
    <s v="Q1"/>
  </r>
  <r>
    <s v="EOS1252"/>
    <d v="2026-01-17T00:00:00"/>
    <s v="FB "/>
    <s v="Dipak murlidha"/>
    <s v="Surat"/>
    <x v="0"/>
    <s v="Rejected"/>
    <n v="108000"/>
    <n v="1071251"/>
    <s v="Rejected"/>
    <s v="Rejected"/>
    <m/>
    <s v=""/>
    <s v="Starter"/>
    <s v="January"/>
    <s v="Q1"/>
  </r>
  <r>
    <s v="EOS1253"/>
    <d v="2026-01-17T00:00:00"/>
    <s v="FB "/>
    <s v="Akshay mehta"/>
    <s v="Gandhinagar"/>
    <x v="0"/>
    <s v="Follow up "/>
    <n v="108000"/>
    <n v="1071252"/>
    <s v="Follow up"/>
    <s v="Follow Up"/>
    <m/>
    <s v=""/>
    <s v="Starter"/>
    <s v="January"/>
    <s v="Q1"/>
  </r>
  <r>
    <s v="EOS1254"/>
    <d v="2026-01-17T00:00:00"/>
    <s v="FB"/>
    <m/>
    <s v="Ahmedabad"/>
    <x v="0"/>
    <s v="Follow up "/>
    <n v="108000"/>
    <n v="1071253"/>
    <s v="Follow up"/>
    <s v="Follow Up"/>
    <m/>
    <s v=""/>
    <s v="Starter"/>
    <s v="January"/>
    <s v="Q1"/>
  </r>
  <r>
    <s v="EOS1255"/>
    <d v="2026-01-17T00:00:00"/>
    <s v="FB"/>
    <s v="Solanki bhavesh "/>
    <s v="Ahmedabad"/>
    <x v="14"/>
    <s v="Follow up "/>
    <n v="130000"/>
    <n v="1071254"/>
    <s v="Follow up"/>
    <s v="Follow Up"/>
    <m/>
    <s v=""/>
    <s v="Starter"/>
    <s v="January"/>
    <s v="Q1"/>
  </r>
  <r>
    <s v="EOS1256"/>
    <d v="2026-01-17T00:00:00"/>
    <s v="FB"/>
    <s v="Jadeja Yuvrajsinh Hatdi"/>
    <s v="Vadodara"/>
    <x v="0"/>
    <s v="Rejected"/>
    <n v="130000"/>
    <n v="1071255"/>
    <s v="Rejected"/>
    <s v="Rejected"/>
    <m/>
    <s v=""/>
    <s v="Starter"/>
    <s v="January"/>
    <s v="Q1"/>
  </r>
  <r>
    <s v="EOS1257"/>
    <d v="2026-01-17T00:00:00"/>
    <s v="FB "/>
    <s v="Dinesh Bhaliya"/>
    <s v="Surat"/>
    <x v="14"/>
    <s v="Follow up "/>
    <n v="130000"/>
    <n v="1071256"/>
    <s v="Follow up"/>
    <s v="Follow Up"/>
    <m/>
    <s v=""/>
    <s v="Starter"/>
    <s v="January"/>
    <s v="Q1"/>
  </r>
  <r>
    <s v="EOS1258"/>
    <d v="2026-01-17T00:00:00"/>
    <s v="FB"/>
    <s v="Harshil Katakiya"/>
    <s v="Shehera"/>
    <x v="14"/>
    <s v="Follow up "/>
    <n v="108000"/>
    <n v="1071257"/>
    <s v="Follow up"/>
    <s v="Follow Up"/>
    <m/>
    <s v=""/>
    <s v="Starter"/>
    <s v="January"/>
    <s v="Q1"/>
  </r>
  <r>
    <s v="EOS1259"/>
    <d v="2026-01-17T00:00:00"/>
    <s v="FB"/>
    <s v="Nilesh Solanki"/>
    <m/>
    <x v="14"/>
    <s v="Follow up "/>
    <n v="130000"/>
    <n v="1071258"/>
    <s v="Follow up"/>
    <s v="Follow Up"/>
    <m/>
    <s v=""/>
    <s v="Starter"/>
    <s v="January"/>
    <s v="Q1"/>
  </r>
  <r>
    <s v="EOS1260"/>
    <d v="2026-01-17T00:00:00"/>
    <s v="FB"/>
    <s v="Dipakbhai pravinbhai"/>
    <m/>
    <x v="0"/>
    <s v="Follow up "/>
    <n v="130000"/>
    <n v="1071259"/>
    <s v="Follow up"/>
    <s v="Follow Up"/>
    <m/>
    <s v=""/>
    <s v="Starter"/>
    <s v="January"/>
    <s v="Q1"/>
  </r>
  <r>
    <s v="EOS1261"/>
    <d v="2026-01-19T00:00:00"/>
    <s v="FB"/>
    <s v="Kalpesh Ninama"/>
    <s v="Dabhoi"/>
    <x v="0"/>
    <s v="Follow up "/>
    <n v="130000"/>
    <n v="1071260"/>
    <s v="Follow up"/>
    <s v="Follow Up"/>
    <m/>
    <s v=""/>
    <s v="Starter"/>
    <s v="January"/>
    <s v="Q1"/>
  </r>
  <r>
    <s v="EOS1262"/>
    <d v="2026-01-19T00:00:00"/>
    <s v="FB"/>
    <s v="Safwan wadiwala"/>
    <s v="Gondal"/>
    <x v="0"/>
    <s v="Follow up "/>
    <n v="177000"/>
    <n v="1071261"/>
    <s v="Follow up"/>
    <s v="Follow Up"/>
    <m/>
    <s v=""/>
    <s v="Growth"/>
    <s v="January"/>
    <s v="Q1"/>
  </r>
  <r>
    <s v="EOS1263"/>
    <d v="2026-01-19T00:00:00"/>
    <s v="FB"/>
    <s v="Chuhan samir"/>
    <s v="Gandhinagar"/>
    <x v="0"/>
    <s v="Follow up "/>
    <n v="108000"/>
    <n v="1071262"/>
    <s v="Follow up"/>
    <s v="Follow Up"/>
    <m/>
    <s v=""/>
    <s v="Starter"/>
    <s v="January"/>
    <s v="Q1"/>
  </r>
  <r>
    <s v="EOS1264"/>
    <d v="2026-01-19T00:00:00"/>
    <s v="FB"/>
    <s v="Hirenkumar arvindbhai"/>
    <s v="Rajkot"/>
    <x v="0"/>
    <s v="Follow up "/>
    <n v="130000"/>
    <n v="1071263"/>
    <s v="Follow up"/>
    <s v="Follow Up"/>
    <m/>
    <s v=""/>
    <s v="Starter"/>
    <s v="January"/>
    <s v="Q1"/>
  </r>
  <r>
    <s v="EOS1265"/>
    <d v="2026-01-19T00:00:00"/>
    <s v="FB"/>
    <s v="Bhuva Rushik"/>
    <s v="Kalol"/>
    <x v="0"/>
    <s v="Follow up "/>
    <n v="108000"/>
    <n v="1071264"/>
    <s v="Follow up"/>
    <s v="Follow Up"/>
    <m/>
    <s v=""/>
    <s v="Starter"/>
    <s v="January"/>
    <s v="Q1"/>
  </r>
  <r>
    <s v="EOS1266"/>
    <d v="2026-01-19T00:00:00"/>
    <s v="FB"/>
    <s v="Chetan _172"/>
    <s v="Nadiad"/>
    <x v="0"/>
    <s v="Follow up "/>
    <n v="177000"/>
    <n v="1071265"/>
    <s v="Follow up"/>
    <s v="Follow Up"/>
    <m/>
    <s v=""/>
    <s v="Growth"/>
    <s v="January"/>
    <s v="Q1"/>
  </r>
  <r>
    <s v="EOS1267"/>
    <d v="2026-01-19T00:00:00"/>
    <s v="FB"/>
    <s v="Prit Thakor"/>
    <s v="Godhra"/>
    <x v="0"/>
    <s v="Follow up "/>
    <n v="130000"/>
    <n v="1071266"/>
    <s v="Follow up"/>
    <s v="Follow Up"/>
    <m/>
    <s v=""/>
    <s v="Starter"/>
    <s v="January"/>
    <s v="Q1"/>
  </r>
  <r>
    <s v="EOS1268"/>
    <d v="2026-01-19T00:00:00"/>
    <s v="FB"/>
    <s v="Samir Bhatuk"/>
    <s v="Surat"/>
    <x v="14"/>
    <s v="Follow up "/>
    <n v="177000"/>
    <n v="1071267"/>
    <s v="Follow up"/>
    <s v="Follow Up"/>
    <m/>
    <s v=""/>
    <s v="Growth"/>
    <s v="January"/>
    <s v="Q1"/>
  </r>
  <r>
    <s v="EOS1269"/>
    <d v="2026-01-19T00:00:00"/>
    <s v="FB"/>
    <s v="Vyas Alpesh"/>
    <s v="Adipur"/>
    <x v="0"/>
    <s v="Follow up "/>
    <n v="108000"/>
    <n v="1071268"/>
    <s v="Follow up"/>
    <s v="Follow Up"/>
    <m/>
    <s v=""/>
    <s v="Starter"/>
    <s v="January"/>
    <s v="Q1"/>
  </r>
  <r>
    <s v="EOS1270"/>
    <d v="2026-01-19T00:00:00"/>
    <s v="FB"/>
    <s v="Himanshu Lalwani"/>
    <s v="Dholka"/>
    <x v="0"/>
    <s v="Follow up "/>
    <n v="108000"/>
    <n v="1071269"/>
    <s v="Follow up"/>
    <s v="Follow Up"/>
    <m/>
    <s v=""/>
    <s v="Starter"/>
    <s v="January"/>
    <s v="Q1"/>
  </r>
  <r>
    <s v="EOS1271"/>
    <d v="2026-01-19T00:00:00"/>
    <s v="FB"/>
    <s v="Veeru C Gohil"/>
    <m/>
    <x v="0"/>
    <s v="Follow up "/>
    <n v="177000"/>
    <n v="1071270"/>
    <s v="Follow up"/>
    <s v="Follow Up"/>
    <m/>
    <s v=""/>
    <s v="Growth"/>
    <s v="January"/>
    <s v="Q1"/>
  </r>
  <r>
    <s v="EOS1272"/>
    <d v="2026-01-21T00:00:00"/>
    <s v="FB"/>
    <s v="Dineshkherajan"/>
    <s v="Nadiad"/>
    <x v="0"/>
    <s v="Follow up "/>
    <n v="108000"/>
    <n v="1071271"/>
    <s v="Follow up"/>
    <s v="Follow Up"/>
    <m/>
    <s v=""/>
    <s v="Starter"/>
    <s v="January"/>
    <s v="Q1"/>
  </r>
  <r>
    <s v="EOS1273"/>
    <d v="2026-01-21T00:00:00"/>
    <s v="FB"/>
    <s v="PINANK NIMBARK"/>
    <m/>
    <x v="0"/>
    <s v="Follow up "/>
    <n v="108000"/>
    <n v="1071272"/>
    <s v="Follow up"/>
    <s v="Follow Up"/>
    <m/>
    <s v=""/>
    <s v="Starter"/>
    <s v="January"/>
    <s v="Q1"/>
  </r>
  <r>
    <s v="EOS1274"/>
    <d v="2026-01-21T00:00:00"/>
    <s v="FB"/>
    <s v="Harshad"/>
    <s v="Vadodara"/>
    <x v="14"/>
    <s v="Follow up "/>
    <n v="177000"/>
    <n v="1071273"/>
    <s v="Follow up"/>
    <s v="Follow Up"/>
    <m/>
    <s v=""/>
    <s v="Growth"/>
    <s v="January"/>
    <s v="Q1"/>
  </r>
  <r>
    <s v="EOS1275"/>
    <d v="2026-01-21T00:00:00"/>
    <s v="FB"/>
    <s v="Maaj Maaj vohra"/>
    <s v="Surat"/>
    <x v="14"/>
    <s v="Follow up "/>
    <n v="108000"/>
    <n v="1071274"/>
    <s v="Follow up"/>
    <s v="Follow Up"/>
    <m/>
    <s v=""/>
    <s v="Starter"/>
    <s v="January"/>
    <s v="Q1"/>
  </r>
  <r>
    <s v="EOS1276"/>
    <d v="2026-01-21T00:00:00"/>
    <s v="FB"/>
    <s v="Shakil farid saiyed"/>
    <s v="Anand"/>
    <x v="14"/>
    <s v="Follow up "/>
    <n v="308000"/>
    <n v="1071275"/>
    <s v="Follow up"/>
    <s v="Follow Up"/>
    <m/>
    <s v=""/>
    <s v="Premium"/>
    <s v="January"/>
    <s v="Q1"/>
  </r>
  <r>
    <s v="EOS1277"/>
    <d v="2026-01-21T00:00:00"/>
    <s v="FB"/>
    <s v="MS"/>
    <s v="Kheralu"/>
    <x v="0"/>
    <s v="Rejected"/>
    <n v="108000"/>
    <n v="1071276"/>
    <s v="Rejected"/>
    <s v="Rejected"/>
    <m/>
    <s v=""/>
    <s v="Starter"/>
    <s v="January"/>
    <s v="Q1"/>
  </r>
  <r>
    <s v="EOS1278"/>
    <d v="2026-01-21T00:00:00"/>
    <s v="FB"/>
    <s v="Hetax Thakor"/>
    <s v="Surat "/>
    <x v="14"/>
    <s v="Follow up "/>
    <n v="108000"/>
    <n v="1071277"/>
    <s v="Follow up"/>
    <s v="Follow Up"/>
    <m/>
    <s v=""/>
    <s v="Starter"/>
    <s v="January"/>
    <s v="Q1"/>
  </r>
  <r>
    <s v="EOS1279"/>
    <d v="2026-01-21T00:00:00"/>
    <s v="FB"/>
    <s v="Vyas Alpesh"/>
    <s v="Jasdan "/>
    <x v="14"/>
    <s v="Follow up "/>
    <n v="130000"/>
    <n v="1071278"/>
    <s v="Follow up"/>
    <s v="Follow Up"/>
    <m/>
    <s v=""/>
    <s v="Starter"/>
    <s v="January"/>
    <s v="Q1"/>
  </r>
  <r>
    <s v="EOS1280"/>
    <d v="2026-01-21T00:00:00"/>
    <s v="FB"/>
    <s v="Vipul Mithapara"/>
    <s v="Ahmedabad"/>
    <x v="0"/>
    <s v="Follow up "/>
    <n v="108000"/>
    <n v="1071279"/>
    <s v="Follow up"/>
    <s v="Follow Up"/>
    <m/>
    <s v=""/>
    <s v="Starter"/>
    <s v="January"/>
    <s v="Q1"/>
  </r>
  <r>
    <s v="EOS1281"/>
    <d v="2026-01-21T00:00:00"/>
    <s v="FB"/>
    <s v="krupesh patel "/>
    <s v="Ahmedabad"/>
    <x v="14"/>
    <s v="Follow up "/>
    <n v="130000"/>
    <n v="1071280"/>
    <s v="Follow up"/>
    <s v="Follow Up"/>
    <m/>
    <s v=""/>
    <s v="Starter"/>
    <s v="January"/>
    <s v="Q1"/>
  </r>
  <r>
    <s v="EOS1282"/>
    <d v="2026-01-21T00:00:00"/>
    <s v="FB"/>
    <s v="Shivam Gupta"/>
    <s v="Port Porbandar"/>
    <x v="0"/>
    <s v="Rejected"/>
    <n v="130000"/>
    <n v="1071281"/>
    <s v="Rejected"/>
    <s v="Rejected"/>
    <m/>
    <s v=""/>
    <s v="Starter"/>
    <s v="January"/>
    <s v="Q1"/>
  </r>
  <r>
    <s v="EOS1283"/>
    <d v="2026-01-21T00:00:00"/>
    <s v="FB"/>
    <s v="SUNIL PITERSAN"/>
    <s v="Junagadh"/>
    <x v="0"/>
    <s v="Rejected"/>
    <n v="108000"/>
    <n v="1071282"/>
    <s v="Rejected"/>
    <s v="Rejected"/>
    <m/>
    <s v=""/>
    <s v="Starter"/>
    <s v="January"/>
    <s v="Q1"/>
  </r>
  <r>
    <s v="EOS1284"/>
    <d v="2026-01-22T00:00:00"/>
    <s v="FB"/>
    <s v="Gajera Deep"/>
    <s v="Ahmedabad"/>
    <x v="14"/>
    <s v="Follow up "/>
    <n v="130000"/>
    <n v="1071283"/>
    <s v="Follow up"/>
    <s v="Follow Up"/>
    <m/>
    <s v=""/>
    <s v="Starter"/>
    <s v="January"/>
    <s v="Q1"/>
  </r>
  <r>
    <s v="EOS1285"/>
    <d v="2026-01-22T00:00:00"/>
    <s v="FB"/>
    <s v="Pandya Vasan"/>
    <s v="Ahmedabad"/>
    <x v="14"/>
    <s v="Follow up "/>
    <n v="130000"/>
    <n v="1071284"/>
    <s v="Follow up"/>
    <s v="Follow Up"/>
    <m/>
    <s v=""/>
    <s v="Starter"/>
    <s v="January"/>
    <s v="Q1"/>
  </r>
  <r>
    <s v="EOS1286"/>
    <d v="2026-01-22T00:00:00"/>
    <s v="FB"/>
    <s v="Sanjay Jain"/>
    <s v="Sihor"/>
    <x v="0"/>
    <s v="Rejected"/>
    <n v="108000"/>
    <n v="1071285"/>
    <s v="Rejected"/>
    <s v="Rejected"/>
    <m/>
    <s v=""/>
    <s v="Starter"/>
    <s v="January"/>
    <s v="Q1"/>
  </r>
  <r>
    <s v="EOS1287"/>
    <d v="2026-01-22T00:00:00"/>
    <s v="FB"/>
    <s v="RB_"/>
    <s v="Ahmedabad"/>
    <x v="0"/>
    <s v="Follow up "/>
    <n v="108000"/>
    <n v="1071286"/>
    <s v="Follow up"/>
    <s v="Follow Up"/>
    <m/>
    <s v=""/>
    <s v="Starter"/>
    <s v="January"/>
    <s v="Q1"/>
  </r>
  <r>
    <s v="EOS1288"/>
    <d v="2026-01-25T00:00:00"/>
    <s v="FB"/>
    <s v="bhagaram"/>
    <s v="Ankleshwar"/>
    <x v="0"/>
    <s v="Follow up "/>
    <n v="108000"/>
    <n v="1071287"/>
    <s v="Follow up"/>
    <s v="Follow Up"/>
    <m/>
    <s v=""/>
    <s v="Starter"/>
    <s v="January"/>
    <s v="Q1"/>
  </r>
  <r>
    <s v="EOS1289"/>
    <d v="2026-01-25T00:00:00"/>
    <s v="FB"/>
    <s v="Mukesh Patel"/>
    <s v="Delhi"/>
    <x v="6"/>
    <s v="Follow up "/>
    <n v="108000"/>
    <n v="1071288"/>
    <s v="Follow up"/>
    <s v="Follow Up"/>
    <m/>
    <s v=""/>
    <s v="Starter"/>
    <s v="January"/>
    <s v="Q1"/>
  </r>
  <r>
    <s v="EOS1290"/>
    <d v="2026-01-25T00:00:00"/>
    <s v="FB"/>
    <s v="Golu Rathour"/>
    <s v="Gorakhpur"/>
    <x v="0"/>
    <s v="Follow up "/>
    <n v="108000"/>
    <n v="1071289"/>
    <s v="Follow up"/>
    <s v="Follow Up"/>
    <m/>
    <s v=""/>
    <s v="Starter"/>
    <s v="January"/>
    <s v="Q1"/>
  </r>
  <r>
    <s v="EOS1291"/>
    <d v="2026-01-25T00:00:00"/>
    <s v="FB"/>
    <s v="Abhay Upadhyay"/>
    <m/>
    <x v="0"/>
    <s v="Follow up "/>
    <n v="130000"/>
    <n v="1071290"/>
    <s v="Follow up"/>
    <s v="Follow Up"/>
    <m/>
    <s v=""/>
    <s v="Starter"/>
    <s v="January"/>
    <s v="Q1"/>
  </r>
  <r>
    <s v="EOS1292"/>
    <d v="2026-01-25T00:00:00"/>
    <s v="FB"/>
    <s v="Mahipal Singh Jadega"/>
    <s v="Rajkot"/>
    <x v="0"/>
    <s v="Follow up "/>
    <n v="130000"/>
    <n v="1071291"/>
    <s v="Follow up"/>
    <s v="Follow Up"/>
    <m/>
    <s v=""/>
    <s v="Starter"/>
    <s v="January"/>
    <s v="Q1"/>
  </r>
  <r>
    <s v="EOS1293"/>
    <d v="2026-01-25T00:00:00"/>
    <s v="FB"/>
    <s v="Arjun"/>
    <s v="Ahmedabad"/>
    <x v="0"/>
    <s v="Follow up "/>
    <n v="130000"/>
    <n v="1071292"/>
    <s v="Follow up"/>
    <s v="Follow Up"/>
    <m/>
    <s v=""/>
    <s v="Starter"/>
    <s v="January"/>
    <s v="Q1"/>
  </r>
  <r>
    <s v="EOS1294"/>
    <d v="2026-01-25T00:00:00"/>
    <s v="FB"/>
    <s v="Alpeshji Padihar"/>
    <s v="Junagadh"/>
    <x v="0"/>
    <s v="Follow up "/>
    <n v="130000"/>
    <n v="1071293"/>
    <s v="Follow up"/>
    <s v="Follow Up"/>
    <m/>
    <s v=""/>
    <s v="Starter"/>
    <s v="January"/>
    <s v="Q1"/>
  </r>
  <r>
    <s v="EOS1295"/>
    <d v="2026-01-25T00:00:00"/>
    <s v="FB"/>
    <s v="Bhakti gondaliya"/>
    <s v="bareilly"/>
    <x v="14"/>
    <s v="Follow up "/>
    <n v="108000"/>
    <n v="1071294"/>
    <s v="Follow up"/>
    <s v="Follow Up"/>
    <m/>
    <s v=""/>
    <s v="Starter"/>
    <s v="January"/>
    <s v="Q1"/>
  </r>
  <r>
    <s v="EOS1296"/>
    <d v="2026-01-25T00:00:00"/>
    <s v="FB"/>
    <s v="Deepak Gangwa"/>
    <s v="Unnao"/>
    <x v="0"/>
    <s v="Follow up "/>
    <n v="130000"/>
    <n v="1071295"/>
    <s v="Follow up"/>
    <s v="Follow Up"/>
    <m/>
    <s v=""/>
    <s v="Starter"/>
    <s v="January"/>
    <s v="Q1"/>
  </r>
  <r>
    <s v="EOS1297"/>
    <d v="2026-01-25T00:00:00"/>
    <s v="FB"/>
    <s v="Shukla Pradeep"/>
    <s v="Aligarh"/>
    <x v="16"/>
    <s v="Follow up "/>
    <n v="108000"/>
    <n v="1071296"/>
    <s v="Follow up"/>
    <s v="Follow Up"/>
    <m/>
    <s v=""/>
    <s v="Starter"/>
    <s v="January"/>
    <s v="Q1"/>
  </r>
  <r>
    <s v="EOS1298"/>
    <d v="2026-01-25T00:00:00"/>
    <s v="FB"/>
    <s v="Narayan up 81"/>
    <s v="Agar"/>
    <x v="6"/>
    <s v="Follow up "/>
    <n v="130000"/>
    <n v="1071297"/>
    <s v="Follow up"/>
    <s v="Follow Up"/>
    <m/>
    <s v=""/>
    <s v="Starter"/>
    <s v="January"/>
    <s v="Q1"/>
  </r>
  <r>
    <s v="EOS1299"/>
    <d v="2026-01-27T00:00:00"/>
    <s v="FB"/>
    <s v="Aridaman Singh"/>
    <s v="kalol "/>
    <x v="0"/>
    <s v="Follow up "/>
    <n v="108000"/>
    <n v="1071298"/>
    <s v="Follow up"/>
    <s v="Follow Up"/>
    <m/>
    <s v=""/>
    <s v="Starter"/>
    <s v="January"/>
    <s v="Q1"/>
  </r>
  <r>
    <s v="EOS1300"/>
    <d v="2026-01-27T00:00:00"/>
    <s v="FB"/>
    <s v="Patel Nikunj A"/>
    <s v="Gandhinagar"/>
    <x v="0"/>
    <s v="Follow up "/>
    <n v="108000"/>
    <n v="1071299"/>
    <s v="Follow up"/>
    <s v="Follow Up"/>
    <m/>
    <s v=""/>
    <s v="Starter"/>
    <s v="January"/>
    <s v="Q1"/>
  </r>
  <r>
    <s v="EOS1301"/>
    <d v="2026-01-27T00:00:00"/>
    <s v="FB"/>
    <s v="harry.331"/>
    <s v="Naroda "/>
    <x v="0"/>
    <s v="Follow up "/>
    <n v="130000"/>
    <n v="1071300"/>
    <s v="Follow up"/>
    <s v="Follow Up"/>
    <m/>
    <s v=""/>
    <s v="Starter"/>
    <s v="January"/>
    <s v="Q1"/>
  </r>
  <r>
    <s v="EOS1302"/>
    <d v="2026-01-27T00:00:00"/>
    <s v="FB"/>
    <s v="shalini maurya"/>
    <m/>
    <x v="0"/>
    <s v="Follow up "/>
    <n v="108000"/>
    <n v="1071301"/>
    <s v="Follow up"/>
    <s v="Follow Up"/>
    <m/>
    <s v=""/>
    <s v="Starter"/>
    <s v="January"/>
    <s v="Q1"/>
  </r>
  <r>
    <s v="EOS1303"/>
    <d v="2026-01-27T00:00:00"/>
    <s v="FB"/>
    <s v="jaydeep "/>
    <s v="Gandhinagar"/>
    <x v="0"/>
    <s v="Follow up "/>
    <n v="108000"/>
    <n v="1071302"/>
    <s v="Follow up"/>
    <s v="Follow Up"/>
    <m/>
    <s v=""/>
    <s v="Starter"/>
    <s v="January"/>
    <s v="Q1"/>
  </r>
  <r>
    <s v="EOS1304"/>
    <d v="2026-01-27T00:00:00"/>
    <s v="FB"/>
    <s v="Shrimali brijesh"/>
    <m/>
    <x v="0"/>
    <s v="Follow up "/>
    <n v="108000"/>
    <n v="1071303"/>
    <s v="Follow up"/>
    <s v="Follow Up"/>
    <m/>
    <s v=""/>
    <s v="Starter"/>
    <s v="January"/>
    <s v="Q1"/>
  </r>
  <r>
    <s v="EOS1305"/>
    <d v="2026-01-29T00:00:00"/>
    <s v="FB"/>
    <s v="subash"/>
    <s v="Khambhalia"/>
    <x v="0"/>
    <s v="Follow up "/>
    <n v="108000"/>
    <n v="1071304"/>
    <s v="Follow up"/>
    <s v="Follow Up"/>
    <m/>
    <s v=""/>
    <s v="Starter"/>
    <s v="January"/>
    <s v="Q1"/>
  </r>
  <r>
    <s v="EOS1306"/>
    <d v="2026-01-29T00:00:00"/>
    <s v="FB"/>
    <s v="Ranvirsinh Dayma"/>
    <s v="Wankaner"/>
    <x v="0"/>
    <s v="Rejected"/>
    <n v="108000"/>
    <n v="1071305"/>
    <s v="Rejected"/>
    <s v="Rejected"/>
    <m/>
    <s v=""/>
    <s v="Starter"/>
    <s v="January"/>
    <s v="Q1"/>
  </r>
  <r>
    <s v="EOS1307"/>
    <d v="2026-01-29T00:00:00"/>
    <s v="FB"/>
    <s v="Tushar Baraiya"/>
    <s v="Wankaner"/>
    <x v="0"/>
    <s v="Follow up "/>
    <n v="130000"/>
    <n v="1071306"/>
    <s v="Follow up"/>
    <s v="Follow Up"/>
    <m/>
    <s v=""/>
    <s v="Starter"/>
    <s v="January"/>
    <s v="Q1"/>
  </r>
  <r>
    <s v="EOS1308"/>
    <d v="2026-01-29T00:00:00"/>
    <s v="FB"/>
    <s v="Shubh"/>
    <s v="Surat"/>
    <x v="0"/>
    <s v="Follow up "/>
    <n v="130000"/>
    <n v="1071307"/>
    <s v="Follow up"/>
    <s v="Follow Up"/>
    <m/>
    <s v=""/>
    <s v="Starter"/>
    <s v="January"/>
    <s v="Q1"/>
  </r>
  <r>
    <s v="EOS1309"/>
    <d v="2026-01-29T00:00:00"/>
    <s v="FB"/>
    <s v="Abhay Jam"/>
    <m/>
    <x v="0"/>
    <s v="Follow up "/>
    <n v="177000"/>
    <n v="1071308"/>
    <s v="Follow up"/>
    <s v="Follow Up"/>
    <m/>
    <s v=""/>
    <s v="Growth"/>
    <s v="January"/>
    <s v="Q1"/>
  </r>
  <r>
    <s v="EOS1310"/>
    <d v="2026-01-29T00:00:00"/>
    <s v="FB"/>
    <s v="Amit "/>
    <m/>
    <x v="13"/>
    <s v="Follow up "/>
    <n v="108000"/>
    <n v="1071309"/>
    <s v="Follow up"/>
    <s v="Follow Up"/>
    <m/>
    <s v=""/>
    <s v="Starter"/>
    <s v="January"/>
    <s v="Q1"/>
  </r>
  <r>
    <s v="EOS1311"/>
    <d v="2026-01-29T00:00:00"/>
    <s v="FB"/>
    <s v="Kamlesh Ahir"/>
    <m/>
    <x v="13"/>
    <s v="Follow up "/>
    <n v="130000"/>
    <n v="1071310"/>
    <s v="Follow up"/>
    <s v="Follow Up"/>
    <m/>
    <s v=""/>
    <s v="Starter"/>
    <s v="January"/>
    <s v="Q1"/>
  </r>
  <r>
    <s v="EOS1312"/>
    <d v="2026-01-29T00:00:00"/>
    <s v="FB"/>
    <s v="Rajendra kapadia"/>
    <m/>
    <x v="13"/>
    <s v="Follow up "/>
    <n v="108000"/>
    <n v="1071311"/>
    <s v="Follow up"/>
    <s v="Follow Up"/>
    <m/>
    <s v=""/>
    <s v="Starter"/>
    <s v="January"/>
    <s v="Q1"/>
  </r>
  <r>
    <s v="EOS1313"/>
    <d v="2026-01-29T00:00:00"/>
    <s v="FB"/>
    <s v="Thakor Labhubhai"/>
    <m/>
    <x v="13"/>
    <s v="Follow up "/>
    <n v="130000"/>
    <n v="1071312"/>
    <s v="Follow up"/>
    <s v="Follow Up"/>
    <m/>
    <s v=""/>
    <s v="Starter"/>
    <s v="January"/>
    <s v="Q1"/>
  </r>
  <r>
    <s v="EOS1314"/>
    <d v="2026-01-29T00:00:00"/>
    <s v="FB"/>
    <s v="Javid Majothi"/>
    <s v="Ambala "/>
    <x v="20"/>
    <s v="Follow up "/>
    <n v="130000"/>
    <n v="1071313"/>
    <s v="Follow up"/>
    <s v="Follow Up"/>
    <m/>
    <s v=""/>
    <s v="Starter"/>
    <s v="January"/>
    <s v="Q1"/>
  </r>
  <r>
    <s v="EOS1315"/>
    <d v="2026-01-29T00:00:00"/>
    <s v="FB"/>
    <s v="Kp Parjapati"/>
    <s v="Agar"/>
    <x v="16"/>
    <s v="Follow up "/>
    <n v="130000"/>
    <n v="1071314"/>
    <s v="Follow up"/>
    <s v="Follow Up"/>
    <m/>
    <s v=""/>
    <s v="Starter"/>
    <s v="January"/>
    <s v="Q1"/>
  </r>
  <r>
    <s v="EOS1316"/>
    <d v="2026-01-29T00:00:00"/>
    <s v="FB"/>
    <s v="Yogesh kumar"/>
    <s v="Farrukhabad"/>
    <x v="16"/>
    <s v="Follow up "/>
    <n v="130000"/>
    <n v="1071315"/>
    <s v="Follow up"/>
    <s v="Follow Up"/>
    <m/>
    <s v=""/>
    <s v="Starter"/>
    <s v="January"/>
    <s v="Q1"/>
  </r>
  <r>
    <s v="EOS1317"/>
    <d v="2026-01-29T00:00:00"/>
    <s v="FB"/>
    <s v="Vikram Kumar Kashya"/>
    <s v="SaleMadhya Pradeshur"/>
    <x v="16"/>
    <s v="Follow up "/>
    <n v="130000"/>
    <n v="1071316"/>
    <s v="Follow up"/>
    <s v="Follow Up"/>
    <m/>
    <s v=""/>
    <s v="Starter"/>
    <s v="January"/>
    <s v="Q1"/>
  </r>
  <r>
    <s v="EOS1318"/>
    <d v="2026-01-29T00:00:00"/>
    <s v="FB"/>
    <s v="vikas kushwaha"/>
    <m/>
    <x v="0"/>
    <s v="Follow up "/>
    <n v="130000"/>
    <n v="1071317"/>
    <s v="Follow up"/>
    <s v="Follow Up"/>
    <m/>
    <s v=""/>
    <s v="Starter"/>
    <s v="January"/>
    <s v="Q1"/>
  </r>
  <r>
    <s v="EOS1319"/>
    <d v="2026-01-29T00:00:00"/>
    <s v="FB"/>
    <s v="Sahil"/>
    <s v="himmatnagar"/>
    <x v="0"/>
    <s v="Follow up "/>
    <n v="130000"/>
    <n v="1071318"/>
    <s v="Follow up"/>
    <s v="Follow Up"/>
    <m/>
    <s v=""/>
    <s v="Starter"/>
    <s v="January"/>
    <s v="Q1"/>
  </r>
  <r>
    <s v="EOS1320"/>
    <d v="2026-01-30T00:00:00"/>
    <s v="FB"/>
    <s v="Dev Patel"/>
    <s v="Botad"/>
    <x v="0"/>
    <s v="Follow up "/>
    <n v="130000"/>
    <n v="1071319"/>
    <s v="Follow up"/>
    <s v="Follow Up"/>
    <m/>
    <s v=""/>
    <s v="Starter"/>
    <s v="January"/>
    <s v="Q1"/>
  </r>
  <r>
    <s v="EOS1321"/>
    <d v="2026-01-30T00:00:00"/>
    <s v="FB"/>
    <s v="Sandip Himani"/>
    <s v="Patan"/>
    <x v="0"/>
    <s v="Follow up "/>
    <n v="130000"/>
    <n v="1071320"/>
    <s v="Follow up"/>
    <s v="Follow Up"/>
    <m/>
    <s v=""/>
    <s v="Starter"/>
    <s v="January"/>
    <s v="Q1"/>
  </r>
  <r>
    <s v="EOS1322"/>
    <d v="2026-01-31T00:00:00"/>
    <s v="FB"/>
    <s v="Rawat yogesh"/>
    <s v="Lucknow"/>
    <x v="16"/>
    <s v="Rejected"/>
    <n v="108000"/>
    <n v="1071321"/>
    <s v="Rejected"/>
    <s v="Rejected"/>
    <m/>
    <s v=""/>
    <s v="Starter"/>
    <s v="January"/>
    <s v="Q1"/>
  </r>
  <r>
    <s v="EOS1323"/>
    <d v="2026-02-03T00:00:00"/>
    <s v="FB"/>
    <s v="Piyush Mishra"/>
    <s v="Varanasi"/>
    <x v="16"/>
    <s v="Follow up "/>
    <n v="130000"/>
    <n v="1071322"/>
    <s v="Follow up"/>
    <s v="Follow Up"/>
    <m/>
    <s v=""/>
    <s v="Starter"/>
    <s v="February"/>
    <s v="Q1"/>
  </r>
  <r>
    <s v="EOS1324"/>
    <d v="2026-02-03T00:00:00"/>
    <s v="FB"/>
    <s v="Akhilesh Mishra"/>
    <s v="Ahmedabad"/>
    <x v="0"/>
    <s v="Follow up "/>
    <n v="108000"/>
    <n v="1071323"/>
    <s v="Follow up"/>
    <s v="Follow Up"/>
    <m/>
    <s v=""/>
    <s v="Starter"/>
    <s v="February"/>
    <s v="Q1"/>
  </r>
  <r>
    <s v="EOS1325"/>
    <d v="2026-02-03T00:00:00"/>
    <s v="FB"/>
    <s v="Manish"/>
    <s v="Rajkot"/>
    <x v="0"/>
    <s v="Follow up "/>
    <n v="177000"/>
    <n v="1071324"/>
    <s v="Follow up"/>
    <s v="Follow Up"/>
    <m/>
    <s v=""/>
    <s v="Growth"/>
    <s v="February"/>
    <s v="Q1"/>
  </r>
  <r>
    <s v="EOS1326"/>
    <d v="2026-02-03T00:00:00"/>
    <s v="FB"/>
    <s v="Vimal Doshi"/>
    <s v="Ankleshwar"/>
    <x v="0"/>
    <s v="Follow up "/>
    <n v="108000"/>
    <n v="1071325"/>
    <s v="Follow up"/>
    <s v="Follow Up"/>
    <m/>
    <s v=""/>
    <s v="Starter"/>
    <s v="February"/>
    <s v="Q1"/>
  </r>
  <r>
    <s v="EOS1327"/>
    <d v="2026-02-03T00:00:00"/>
    <s v="FB"/>
    <s v="Sandeep Prasad"/>
    <s v="Surat"/>
    <x v="0"/>
    <s v="Follow up "/>
    <n v="177000"/>
    <n v="1071326"/>
    <s v="Follow up"/>
    <s v="Follow Up"/>
    <m/>
    <s v=""/>
    <s v="Growth"/>
    <s v="February"/>
    <s v="Q1"/>
  </r>
  <r>
    <s v="EOS1328"/>
    <d v="2026-02-03T00:00:00"/>
    <s v="FB"/>
    <s v="Mehul Rajput"/>
    <s v="Azamgarh"/>
    <x v="16"/>
    <s v="Follow up "/>
    <n v="108000"/>
    <n v="1071327"/>
    <s v="Follow up"/>
    <s v="Follow Up"/>
    <m/>
    <s v=""/>
    <s v="Starter"/>
    <s v="February"/>
    <s v="Q1"/>
  </r>
  <r>
    <s v="EOS1329"/>
    <d v="2026-02-03T00:00:00"/>
    <s v="FB"/>
    <s v="Anupam Rathore"/>
    <s v="Jetalpur"/>
    <x v="0"/>
    <s v="Follow up "/>
    <n v="130000"/>
    <n v="1071328"/>
    <s v="Follow up"/>
    <s v="Follow Up"/>
    <m/>
    <s v=""/>
    <s v="Starter"/>
    <s v="February"/>
    <s v="Q1"/>
  </r>
  <r>
    <s v="EOS1330"/>
    <d v="2026-02-03T00:00:00"/>
    <s v="FB"/>
    <s v="Baraiya Ajay"/>
    <s v="Surat"/>
    <x v="0"/>
    <s v="Follow up "/>
    <n v="130000"/>
    <n v="1071329"/>
    <s v="Follow up"/>
    <s v="Follow Up"/>
    <m/>
    <s v=""/>
    <s v="Starter"/>
    <s v="February"/>
    <s v="Q1"/>
  </r>
  <r>
    <s v="EOS1331"/>
    <d v="2026-02-03T00:00:00"/>
    <s v="FB"/>
    <s v="Pradip Chauhan"/>
    <s v="Ahmedabad"/>
    <x v="0"/>
    <s v="Follow up "/>
    <n v="177000"/>
    <n v="1071330"/>
    <s v="Follow up"/>
    <s v="Follow Up"/>
    <m/>
    <s v=""/>
    <s v="Growth"/>
    <s v="February"/>
    <s v="Q1"/>
  </r>
  <r>
    <s v="EOS1332"/>
    <d v="2026-02-03T00:00:00"/>
    <s v="FB"/>
    <s v="Patel Mana"/>
    <s v="Anand"/>
    <x v="0"/>
    <s v="Follow up "/>
    <n v="108000"/>
    <n v="1071331"/>
    <s v="Follow up"/>
    <s v="Follow Up"/>
    <m/>
    <s v=""/>
    <s v="Starter"/>
    <s v="February"/>
    <s v="Q1"/>
  </r>
  <r>
    <s v="EOS1333"/>
    <d v="2026-02-03T00:00:00"/>
    <s v="FB"/>
    <s v="JUNED BABA"/>
    <s v="Dholka"/>
    <x v="0"/>
    <s v="Follow up "/>
    <n v="108000"/>
    <n v="1071332"/>
    <s v="Follow up"/>
    <s v="Follow Up"/>
    <m/>
    <s v=""/>
    <s v="Starter"/>
    <s v="February"/>
    <s v="Q1"/>
  </r>
  <r>
    <s v="EOS1334"/>
    <d v="2026-02-03T00:00:00"/>
    <s v="FB"/>
    <s v="Pathan Sajjad Pathan"/>
    <s v="Morbi "/>
    <x v="0"/>
    <s v="Follow up "/>
    <n v="108000"/>
    <n v="1071333"/>
    <s v="Follow up"/>
    <s v="Follow Up"/>
    <m/>
    <s v=""/>
    <s v="Starter"/>
    <s v="February"/>
    <s v="Q1"/>
  </r>
  <r>
    <s v="EOS1335"/>
    <d v="2026-02-03T00:00:00"/>
    <s v="FB"/>
    <s v="Pavan Nakum"/>
    <s v="Surat"/>
    <x v="0"/>
    <s v="Follow up "/>
    <n v="130000"/>
    <n v="1071334"/>
    <s v="Follow up"/>
    <s v="Follow Up"/>
    <m/>
    <s v=""/>
    <s v="Starter"/>
    <s v="February"/>
    <s v="Q1"/>
  </r>
  <r>
    <s v="EOS1336"/>
    <d v="2026-02-04T00:00:00"/>
    <s v="FB"/>
    <s v="Paras Borda"/>
    <s v="Jamnagar"/>
    <x v="0"/>
    <s v="Follow up "/>
    <n v="108000"/>
    <n v="1071335"/>
    <s v="Follow up"/>
    <s v="Follow Up"/>
    <m/>
    <s v=""/>
    <s v="Starter"/>
    <s v="February"/>
    <s v="Q1"/>
  </r>
  <r>
    <s v="EOS1337"/>
    <d v="2026-02-04T00:00:00"/>
    <s v="FB"/>
    <s v="Gangani Vijay"/>
    <s v="Surat"/>
    <x v="0"/>
    <s v="Follow up "/>
    <n v="108000"/>
    <n v="1071336"/>
    <s v="Follow up"/>
    <s v="Follow Up"/>
    <m/>
    <s v=""/>
    <s v="Starter"/>
    <s v="February"/>
    <s v="Q1"/>
  </r>
  <r>
    <s v="EOS1338"/>
    <d v="2026-02-04T00:00:00"/>
    <s v="FB"/>
    <s v="Dev yadav"/>
    <m/>
    <x v="0"/>
    <s v="Rejected"/>
    <n v="108000"/>
    <n v="1071337"/>
    <s v="Rejected"/>
    <s v="Rejected"/>
    <m/>
    <s v=""/>
    <s v="Starter"/>
    <s v="February"/>
    <s v="Q1"/>
  </r>
  <r>
    <s v="EOS1339"/>
    <d v="2026-02-04T00:00:00"/>
    <s v="FB"/>
    <s v="Anahu Kumar"/>
    <s v="Port Porbandar"/>
    <x v="0"/>
    <s v="Rejected"/>
    <n v="108000"/>
    <n v="1071338"/>
    <s v="Rejected"/>
    <s v="Rejected"/>
    <m/>
    <s v=""/>
    <s v="Starter"/>
    <s v="February"/>
    <s v="Q1"/>
  </r>
  <r>
    <s v="EOS1340"/>
    <d v="2026-02-04T00:00:00"/>
    <s v="FB "/>
    <s v="Theba sufiyan"/>
    <s v="Rajkot"/>
    <x v="14"/>
    <s v="Follow up "/>
    <n v="108000"/>
    <n v="1071339"/>
    <s v="Follow up"/>
    <s v="Follow Up"/>
    <m/>
    <s v=""/>
    <s v="Starter"/>
    <s v="February"/>
    <s v="Q1"/>
  </r>
  <r>
    <s v="EOS1341"/>
    <d v="2026-02-06T00:00:00"/>
    <s v="FB"/>
    <s v="Ashishkumar Lunagariya"/>
    <s v="Ahmedabad"/>
    <x v="14"/>
    <s v="Rejected"/>
    <n v="108000"/>
    <n v="1071340"/>
    <s v="Rejected"/>
    <s v="Rejected"/>
    <m/>
    <s v=""/>
    <s v="Starter"/>
    <s v="February"/>
    <s v="Q1"/>
  </r>
  <r>
    <s v="EOS1342"/>
    <d v="2026-02-06T00:00:00"/>
    <s v="FB "/>
    <s v="Shyam"/>
    <s v="vadoadra"/>
    <x v="14"/>
    <s v="Follow up "/>
    <n v="108000"/>
    <n v="1071341"/>
    <s v="Follow up"/>
    <s v="Follow Up"/>
    <m/>
    <s v=""/>
    <s v="Starter"/>
    <s v="February"/>
    <s v="Q1"/>
  </r>
  <r>
    <s v="EOS1343"/>
    <d v="2026-02-06T00:00:00"/>
    <s v="FB"/>
    <s v="jalpesh.patel"/>
    <s v="Rajkot"/>
    <x v="14"/>
    <s v="Rejected"/>
    <n v="108000"/>
    <n v="1071342"/>
    <s v="Rejected"/>
    <s v="Rejected"/>
    <m/>
    <s v=""/>
    <s v="Starter"/>
    <s v="February"/>
    <s v="Q1"/>
  </r>
  <r>
    <s v="EOS1344"/>
    <d v="2026-02-09T00:00:00"/>
    <s v="FB "/>
    <s v="Sagar Bharvad"/>
    <s v="mundra"/>
    <x v="14"/>
    <s v="Follow up "/>
    <n v="108000"/>
    <n v="1071343"/>
    <s v="Follow up"/>
    <s v="Follow Up"/>
    <m/>
    <s v=""/>
    <s v="Starter"/>
    <s v="February"/>
    <s v="Q1"/>
  </r>
  <r>
    <s v="EOS1345"/>
    <d v="2026-02-09T00:00:00"/>
    <s v="FB"/>
    <s v="Sardarsinh Zala"/>
    <m/>
    <x v="14"/>
    <s v="Follow up "/>
    <n v="177000"/>
    <n v="1071344"/>
    <s v="Follow up"/>
    <s v="Follow Up"/>
    <m/>
    <s v=""/>
    <s v="Growth"/>
    <s v="February"/>
    <s v="Q1"/>
  </r>
  <r>
    <s v="EOS1346"/>
    <d v="2026-02-09T00:00:00"/>
    <s v="FB"/>
    <s v="Dhruvesh"/>
    <s v=" Bhavnagar"/>
    <x v="14"/>
    <s v="Follow up "/>
    <n v="108000"/>
    <n v="1071345"/>
    <s v="Follow up"/>
    <s v="Follow Up"/>
    <m/>
    <s v=""/>
    <s v="Starter"/>
    <s v="February"/>
    <s v="Q1"/>
  </r>
  <r>
    <s v="EOS1347"/>
    <d v="2026-02-09T00:00:00"/>
    <s v="FB"/>
    <s v="Arvind Kothariy"/>
    <s v="Dhandhuka"/>
    <x v="14"/>
    <s v="Rejected"/>
    <n v="177000"/>
    <n v="1071346"/>
    <s v="Rejected"/>
    <s v="Rejected"/>
    <m/>
    <s v=""/>
    <s v="Growth"/>
    <s v="February"/>
    <s v="Q1"/>
  </r>
  <r>
    <s v="EOS1348"/>
    <d v="2026-02-09T00:00:00"/>
    <s v="FB "/>
    <s v="Nayan Solank"/>
    <s v="Ahmedabad"/>
    <x v="14"/>
    <s v="Follow up "/>
    <n v="130000"/>
    <n v="1071347"/>
    <s v="Follow up"/>
    <s v="Follow Up"/>
    <m/>
    <s v=""/>
    <s v="Starter"/>
    <s v="February"/>
    <s v="Q1"/>
  </r>
  <r>
    <s v="EOS1349"/>
    <d v="2026-02-09T00:00:00"/>
    <s v="FB"/>
    <s v="Gaurav Raval"/>
    <s v="Ahmedabad"/>
    <x v="14"/>
    <s v="Follow up "/>
    <n v="130000"/>
    <n v="1071348"/>
    <s v="Follow up"/>
    <s v="Follow Up"/>
    <m/>
    <s v=""/>
    <s v="Starter"/>
    <s v="February"/>
    <s v="Q1"/>
  </r>
  <r>
    <s v="EOS1350"/>
    <d v="2026-02-09T00:00:00"/>
    <s v="FB"/>
    <s v="Shahid ali Quresh"/>
    <s v="Veraval"/>
    <x v="14"/>
    <s v="Follow up "/>
    <n v="108000"/>
    <n v="1071349"/>
    <s v="Follow up"/>
    <s v="Follow Up"/>
    <m/>
    <s v=""/>
    <s v="Starter"/>
    <s v="February"/>
    <s v="Q1"/>
  </r>
  <r>
    <s v="EOS1351"/>
    <d v="2026-02-09T00:00:00"/>
    <s v="FB"/>
    <s v="Mahesh Chagli"/>
    <s v="Haldwani"/>
    <x v="18"/>
    <s v="Rejected"/>
    <n v="130000"/>
    <n v="1071350"/>
    <s v="Rejected"/>
    <s v="Rejected"/>
    <m/>
    <s v=""/>
    <s v="Starter"/>
    <s v="February"/>
    <s v="Q1"/>
  </r>
  <r>
    <s v="EOS1352"/>
    <d v="2026-02-09T00:00:00"/>
    <s v="FB "/>
    <s v="Jitendra"/>
    <s v="Rajkot"/>
    <x v="14"/>
    <s v="Ringing"/>
    <n v="108000"/>
    <n v="1071351"/>
    <s v="Ringing"/>
    <s v="Follow Up"/>
    <m/>
    <s v=""/>
    <s v="Starter"/>
    <s v="February"/>
    <s v="Q1"/>
  </r>
  <r>
    <s v="EOS1353"/>
    <d v="2026-02-09T00:00:00"/>
    <s v="FB "/>
    <s v="mustak shaikh"/>
    <s v="Visavadar"/>
    <x v="14"/>
    <s v="Rejected"/>
    <n v="108000"/>
    <n v="1071352"/>
    <s v="Rejected"/>
    <s v="Rejected"/>
    <m/>
    <s v=""/>
    <s v="Starter"/>
    <s v="February"/>
    <s v="Q1"/>
  </r>
  <r>
    <s v="EOS1354"/>
    <d v="2026-02-09T00:00:00"/>
    <s v="FB "/>
    <s v="Vishal"/>
    <s v="Palanpur"/>
    <x v="14"/>
    <s v="Follow up "/>
    <n v="130000"/>
    <n v="1071353"/>
    <s v="Follow up"/>
    <s v="Follow Up"/>
    <m/>
    <s v=""/>
    <s v="Starter"/>
    <s v="February"/>
    <s v="Q1"/>
  </r>
  <r>
    <s v="EOS1355"/>
    <d v="2026-02-09T00:00:00"/>
    <s v="FB"/>
    <s v="Ravi Pate"/>
    <s v="Faridabad"/>
    <x v="21"/>
    <s v="Follow up "/>
    <n v="130000"/>
    <n v="1071354"/>
    <s v="Follow up"/>
    <s v="Follow Up"/>
    <m/>
    <s v=""/>
    <s v="Starter"/>
    <s v="February"/>
    <s v="Q1"/>
  </r>
  <r>
    <s v="EOS1356"/>
    <d v="2026-02-09T00:00:00"/>
    <s v="FB"/>
    <s v="Satyabhan Tamar"/>
    <s v="Vadodara"/>
    <x v="14"/>
    <s v="Rejected"/>
    <n v="130000"/>
    <n v="1071355"/>
    <s v="Rejected"/>
    <s v="Rejected"/>
    <m/>
    <s v=""/>
    <s v="Starter"/>
    <s v="February"/>
    <s v="Q1"/>
  </r>
  <r>
    <s v="EOS1357"/>
    <d v="2025-12-27T00:00:00"/>
    <s v="Ref "/>
    <s v="Chintan panchal "/>
    <s v="Surat "/>
    <x v="0"/>
    <s v="Follow up "/>
    <n v="108000"/>
    <n v="1071356"/>
    <s v="Follow up"/>
    <s v="Follow Up"/>
    <m/>
    <s v=""/>
    <s v="Starter"/>
    <s v="December"/>
    <s v="Q4"/>
  </r>
  <r>
    <s v="EOS1358"/>
    <d v="2026-02-09T00:00:00"/>
    <s v="FB"/>
    <s v="Shiyal jayesh bhai"/>
    <s v="Botad"/>
    <x v="14"/>
    <s v="Follow up "/>
    <n v="108000"/>
    <n v="1071357"/>
    <s v="Follow up"/>
    <s v="Follow Up"/>
    <m/>
    <s v=""/>
    <s v="Starter"/>
    <s v="February"/>
    <s v="Q1"/>
  </r>
  <r>
    <s v="EOS1359"/>
    <d v="2026-02-09T00:00:00"/>
    <s v="FB"/>
    <s v="Ashish Sojitra"/>
    <s v="Valsad"/>
    <x v="14"/>
    <s v="Rejected"/>
    <n v="108000"/>
    <n v="1071358"/>
    <s v="Rejected"/>
    <s v="Rejected"/>
    <m/>
    <s v=""/>
    <s v="Starter"/>
    <s v="February"/>
    <s v="Q1"/>
  </r>
  <r>
    <s v="EOS1360"/>
    <d v="2026-02-09T00:00:00"/>
    <s v="FB "/>
    <s v="Dhruv"/>
    <s v="Botad"/>
    <x v="14"/>
    <s v="Follow up "/>
    <n v="130000"/>
    <n v="1071359"/>
    <s v="Follow up"/>
    <s v="Follow Up"/>
    <m/>
    <s v=""/>
    <s v="Starter"/>
    <s v="February"/>
    <s v="Q1"/>
  </r>
  <r>
    <s v="EOS1361"/>
    <d v="2026-02-09T00:00:00"/>
    <s v="FB"/>
    <s v="Vipul Patel"/>
    <s v="Jasdan"/>
    <x v="0"/>
    <s v="Rejected"/>
    <n v="177000"/>
    <n v="1071360"/>
    <s v="Rejected"/>
    <s v="Rejected"/>
    <m/>
    <s v=""/>
    <s v="Growth"/>
    <s v="February"/>
    <s v="Q1"/>
  </r>
  <r>
    <s v="EOS1362"/>
    <d v="2026-02-09T00:00:00"/>
    <s v="FB "/>
    <s v="kt"/>
    <s v="Talbahet"/>
    <x v="16"/>
    <s v="Rejected"/>
    <n v="108000"/>
    <n v="1071361"/>
    <s v="Rejected"/>
    <s v="Rejected"/>
    <m/>
    <s v=""/>
    <s v="Starter"/>
    <s v="February"/>
    <s v="Q1"/>
  </r>
  <r>
    <s v="EOS1363"/>
    <d v="2026-02-09T00:00:00"/>
    <s v="FB "/>
    <s v="Sachendra Yadav"/>
    <s v="Hamirpur"/>
    <x v="16"/>
    <s v="Ringing"/>
    <n v="108000"/>
    <n v="1071362"/>
    <s v="Ringing"/>
    <s v="Follow Up"/>
    <m/>
    <s v=""/>
    <s v="Starter"/>
    <s v="February"/>
    <s v="Q1"/>
  </r>
  <r>
    <s v="EOS1364"/>
    <d v="2026-02-09T00:00:00"/>
    <s v="FB "/>
    <s v="Vikas omar"/>
    <s v="Halol"/>
    <x v="14"/>
    <s v="Follow up "/>
    <n v="130000"/>
    <n v="1071363"/>
    <s v="Follow up"/>
    <s v="Follow Up"/>
    <m/>
    <s v=""/>
    <s v="Starter"/>
    <s v="February"/>
    <s v="Q1"/>
  </r>
  <r>
    <s v="EOS1365"/>
    <d v="2026-02-10T00:00:00"/>
    <s v="FB"/>
    <s v="Parthu Patel"/>
    <s v="Surat"/>
    <x v="0"/>
    <s v="Follow up "/>
    <n v="108000"/>
    <n v="1071364"/>
    <s v="Follow up"/>
    <s v="Follow Up"/>
    <m/>
    <s v=""/>
    <s v="Starter"/>
    <s v="February"/>
    <s v="Q1"/>
  </r>
  <r>
    <s v="EOS1366"/>
    <d v="2026-02-10T00:00:00"/>
    <s v="FB"/>
    <s v="Pritesh Parmar"/>
    <s v="Upetla "/>
    <x v="0"/>
    <s v="Follow up "/>
    <n v="108000"/>
    <n v="1071365"/>
    <s v="Follow up"/>
    <s v="Follow Up"/>
    <m/>
    <s v=""/>
    <s v="Starter"/>
    <s v="February"/>
    <s v="Q1"/>
  </r>
  <r>
    <s v="EOS1367"/>
    <d v="2026-02-10T00:00:00"/>
    <s v="FB"/>
    <s v="Kalpesh bharai"/>
    <s v="halol"/>
    <x v="0"/>
    <s v="Follow up "/>
    <n v="130000"/>
    <n v="1071366"/>
    <s v="Follow up"/>
    <s v="Follow Up"/>
    <m/>
    <s v=""/>
    <s v="Starter"/>
    <s v="February"/>
    <s v="Q1"/>
  </r>
  <r>
    <s v="EOS1368"/>
    <d v="2026-02-10T00:00:00"/>
    <s v="FB"/>
    <s v="ravi rana "/>
    <s v="Mehsana"/>
    <x v="0"/>
    <s v="Follow up "/>
    <n v="177000"/>
    <n v="1071367"/>
    <s v="Follow up"/>
    <s v="Follow Up"/>
    <m/>
    <s v=""/>
    <s v="Growth"/>
    <s v="February"/>
    <s v="Q1"/>
  </r>
  <r>
    <s v="EOS1369"/>
    <d v="2026-02-10T00:00:00"/>
    <s v="FB"/>
    <s v="Kasif"/>
    <s v="Jamnagar"/>
    <x v="0"/>
    <s v="Rejected"/>
    <n v="177000"/>
    <n v="1071368"/>
    <s v="Rejected"/>
    <s v="Rejected"/>
    <m/>
    <s v=""/>
    <s v="Growth"/>
    <s v="February"/>
    <s v="Q1"/>
  </r>
  <r>
    <s v="EOS1370"/>
    <d v="2026-02-10T00:00:00"/>
    <s v="WA"/>
    <s v="Vara Gautam"/>
    <m/>
    <x v="0"/>
    <s v="Follow up "/>
    <n v="130000"/>
    <n v="1071369"/>
    <s v="Follow up"/>
    <s v="Follow Up"/>
    <m/>
    <s v=""/>
    <s v="Starter"/>
    <s v="February"/>
    <s v="Q1"/>
  </r>
  <r>
    <s v="EOS1371"/>
    <d v="2026-02-10T00:00:00"/>
    <s v="FB"/>
    <s v="Pravin Choudhary"/>
    <s v="Junagadh"/>
    <x v="0"/>
    <s v="Follow up "/>
    <n v="108000"/>
    <n v="1071370"/>
    <s v="Follow up"/>
    <s v="Follow Up"/>
    <m/>
    <s v=""/>
    <s v="Starter"/>
    <s v="February"/>
    <s v="Q1"/>
  </r>
  <r>
    <s v="EOS1372"/>
    <d v="2026-02-10T00:00:00"/>
    <s v="FB"/>
    <s v="SAHIL HIRAPARA"/>
    <m/>
    <x v="14"/>
    <s v="Follow up "/>
    <n v="108000"/>
    <n v="1071371"/>
    <s v="Follow up"/>
    <s v="Follow Up"/>
    <m/>
    <s v=""/>
    <s v="Starter"/>
    <s v="February"/>
    <s v="Q1"/>
  </r>
  <r>
    <s v="EOS1373"/>
    <d v="2026-02-11T00:00:00"/>
    <s v="FB"/>
    <s v="Savan patel "/>
    <s v="Surat"/>
    <x v="0"/>
    <s v="Follow up "/>
    <n v="108000"/>
    <n v="1071372"/>
    <s v="Follow up"/>
    <s v="Follow Up"/>
    <m/>
    <s v=""/>
    <s v="Starter"/>
    <s v="February"/>
    <s v="Q1"/>
  </r>
  <r>
    <s v="EOS1374"/>
    <d v="2026-02-11T00:00:00"/>
    <s v="FB"/>
    <s v="Dhaval Kanani"/>
    <s v="Una "/>
    <x v="14"/>
    <s v="Follow up "/>
    <n v="108000"/>
    <n v="1071373"/>
    <s v="Follow up"/>
    <s v="Follow Up"/>
    <m/>
    <s v=""/>
    <s v="Starter"/>
    <s v="February"/>
    <s v="Q1"/>
  </r>
  <r>
    <s v="EOS1375"/>
    <d v="2026-02-11T00:00:00"/>
    <s v="FB"/>
    <s v="Rohit Vaja"/>
    <m/>
    <x v="0"/>
    <s v="Follow up "/>
    <n v="177000"/>
    <n v="1071374"/>
    <s v="Follow up"/>
    <s v="Follow Up"/>
    <m/>
    <s v=""/>
    <s v="Growth"/>
    <s v="February"/>
    <s v="Q1"/>
  </r>
  <r>
    <s v="EOS1376"/>
    <d v="2026-02-11T00:00:00"/>
    <s v="FB"/>
    <s v="Dipak"/>
    <m/>
    <x v="0"/>
    <s v="Follow up "/>
    <n v="108000"/>
    <n v="1071375"/>
    <s v="Follow up"/>
    <s v="Follow Up"/>
    <m/>
    <s v=""/>
    <s v="Starter"/>
    <s v="February"/>
    <s v="Q1"/>
  </r>
  <r>
    <s v="EOS1377"/>
    <d v="2026-02-11T00:00:00"/>
    <s v="FB"/>
    <s v="Rudresh vya"/>
    <s v="Ahmedabad"/>
    <x v="0"/>
    <s v="Follow up "/>
    <n v="108000"/>
    <n v="1071376"/>
    <s v="Follow up"/>
    <s v="Follow Up"/>
    <m/>
    <s v=""/>
    <s v="Starter"/>
    <s v="February"/>
    <s v="Q1"/>
  </r>
  <r>
    <s v="EOS1378"/>
    <d v="2026-02-12T00:00:00"/>
    <s v="FB"/>
    <s v="Aaftab Lala Khan Pathan"/>
    <s v="Ahmedabad"/>
    <x v="14"/>
    <s v="Follow up "/>
    <n v="108000"/>
    <n v="1071377"/>
    <s v="Follow up"/>
    <s v="Follow Up"/>
    <m/>
    <s v=""/>
    <s v="Starter"/>
    <s v="February"/>
    <s v="Q1"/>
  </r>
  <r>
    <s v="EOS1379"/>
    <d v="2026-02-12T00:00:00"/>
    <s v="FB"/>
    <s v="Ajay"/>
    <s v="Deesa"/>
    <x v="0"/>
    <s v="Follow up "/>
    <n v="130000"/>
    <n v="1071378"/>
    <s v="Follow up"/>
    <s v="Follow Up"/>
    <m/>
    <s v=""/>
    <s v="Starter"/>
    <s v="February"/>
    <s v="Q1"/>
  </r>
  <r>
    <s v="EOS1380"/>
    <d v="2026-02-12T00:00:00"/>
    <s v="FB"/>
    <s v="Adit Solanki"/>
    <s v="vav"/>
    <x v="0"/>
    <s v="Follow up "/>
    <n v="177000"/>
    <n v="1071379"/>
    <s v="Follow up"/>
    <s v="Follow Up"/>
    <m/>
    <s v=""/>
    <s v="Growth"/>
    <s v="February"/>
    <s v="Q1"/>
  </r>
  <r>
    <s v="EOS1381"/>
    <d v="2026-02-12T00:00:00"/>
    <s v="FB"/>
    <s v="Vipulsinh Rajput"/>
    <s v="Kushinagar"/>
    <x v="16"/>
    <s v="Ringing"/>
    <n v="108000"/>
    <n v="1071380"/>
    <s v="Ringing"/>
    <s v="Follow Up"/>
    <m/>
    <s v=""/>
    <s v="Starter"/>
    <s v="February"/>
    <s v="Q1"/>
  </r>
  <r>
    <s v="EOS1382"/>
    <d v="2026-02-12T00:00:00"/>
    <s v="FB "/>
    <s v="Mumtaj Ali"/>
    <s v="Rajkot"/>
    <x v="0"/>
    <s v="Follow up "/>
    <n v="108000"/>
    <n v="1071381"/>
    <s v="Follow up"/>
    <s v="Follow Up"/>
    <m/>
    <s v=""/>
    <s v="Starter"/>
    <s v="February"/>
    <s v="Q1"/>
  </r>
  <r>
    <s v="EOS1383"/>
    <d v="2026-02-12T00:00:00"/>
    <s v="FB"/>
    <s v="Akshay zala"/>
    <s v="Rajkot"/>
    <x v="0"/>
    <s v="Rejected"/>
    <n v="130000"/>
    <n v="1071382"/>
    <s v="Rejected"/>
    <s v="Rejected"/>
    <m/>
    <s v=""/>
    <s v="Starter"/>
    <s v="February"/>
    <s v="Q1"/>
  </r>
  <r>
    <s v="EOS1384"/>
    <d v="2026-02-12T00:00:00"/>
    <s v="FB "/>
    <s v="Ankit Kanpariya"/>
    <s v="Tharad"/>
    <x v="0"/>
    <s v="Follow up "/>
    <n v="130000"/>
    <n v="1071383"/>
    <s v="Follow up"/>
    <s v="Follow Up"/>
    <m/>
    <s v=""/>
    <s v="Starter"/>
    <s v="February"/>
    <s v="Q1"/>
  </r>
  <r>
    <s v="EOS1385"/>
    <d v="2026-02-12T00:00:00"/>
    <s v="FB"/>
    <s v="JAYRAJSINH RAJPUT"/>
    <s v="Vijapur"/>
    <x v="0"/>
    <s v="Ringing"/>
    <n v="177000"/>
    <n v="1071384"/>
    <s v="Ringing"/>
    <s v="Follow Up"/>
    <m/>
    <s v=""/>
    <s v="Growth"/>
    <s v="February"/>
    <s v="Q1"/>
  </r>
  <r>
    <s v="EOS1386"/>
    <d v="2026-02-12T00:00:00"/>
    <s v="FB "/>
    <s v="Pradip parmar"/>
    <s v="Anand "/>
    <x v="14"/>
    <s v="Follow up "/>
    <n v="108000"/>
    <n v="1071385"/>
    <s v="Follow up"/>
    <s v="Follow Up"/>
    <m/>
    <s v=""/>
    <s v="Starter"/>
    <s v="February"/>
    <s v="Q1"/>
  </r>
  <r>
    <s v="EOS1387"/>
    <d v="2026-02-12T00:00:00"/>
    <s v="FB"/>
    <s v="patel dhruval"/>
    <s v="nawada"/>
    <x v="7"/>
    <s v="Rejected"/>
    <n v="130000"/>
    <n v="1071386"/>
    <s v="Rejected"/>
    <s v="Rejected"/>
    <m/>
    <s v=""/>
    <s v="Starter"/>
    <s v="February"/>
    <s v="Q1"/>
  </r>
  <r>
    <s v="EOS1388"/>
    <d v="2026-02-12T00:00:00"/>
    <s v="FB "/>
    <s v="Narendra kumar Niraj"/>
    <s v="Bokaro"/>
    <x v="10"/>
    <s v="Rejected"/>
    <n v="108000"/>
    <n v="1071387"/>
    <s v="Rejected"/>
    <s v="Rejected"/>
    <m/>
    <s v=""/>
    <s v="Starter"/>
    <s v="February"/>
    <s v="Q1"/>
  </r>
  <r>
    <s v="EOS1389"/>
    <d v="2026-02-12T00:00:00"/>
    <s v="FB "/>
    <s v="Shailendra Prasad"/>
    <s v="Visnagar"/>
    <x v="14"/>
    <s v="Follow up "/>
    <n v="130000"/>
    <n v="1071388"/>
    <s v="Follow up"/>
    <s v="Follow Up"/>
    <m/>
    <s v=""/>
    <s v="Starter"/>
    <s v="February"/>
    <s v="Q1"/>
  </r>
  <r>
    <s v="EOS1390"/>
    <d v="2026-02-12T00:00:00"/>
    <s v="FB"/>
    <s v="Kishan"/>
    <s v="Surat"/>
    <x v="14"/>
    <s v="Follow up "/>
    <n v="130000"/>
    <n v="1071389"/>
    <s v="Follow up"/>
    <s v="Follow Up"/>
    <m/>
    <s v=""/>
    <s v="Starter"/>
    <s v="February"/>
    <s v="Q1"/>
  </r>
  <r>
    <s v="EOS1391"/>
    <d v="2026-02-13T00:00:00"/>
    <s v="FB"/>
    <s v="Jayesh"/>
    <s v="Mehsana"/>
    <x v="14"/>
    <s v="Follow up "/>
    <n v="108000"/>
    <n v="1071390"/>
    <s v="Follow up"/>
    <s v="Follow Up"/>
    <m/>
    <s v=""/>
    <s v="Starter"/>
    <s v="February"/>
    <s v="Q1"/>
  </r>
  <r>
    <s v="EOS1392"/>
    <d v="2026-02-13T00:00:00"/>
    <s v="FB"/>
    <s v="Chintan Modi"/>
    <s v="Gandhinagar"/>
    <x v="14"/>
    <s v="Follow up "/>
    <n v="177000"/>
    <n v="1071391"/>
    <s v="Follow up"/>
    <s v="Follow Up"/>
    <m/>
    <s v=""/>
    <s v="Growth"/>
    <s v="February"/>
    <s v="Q1"/>
  </r>
  <r>
    <s v="EOS1393"/>
    <d v="2026-02-13T00:00:00"/>
    <s v="FB"/>
    <s v="Nirmal"/>
    <s v="Ahmedabad"/>
    <x v="14"/>
    <s v="Follow up "/>
    <n v="177000"/>
    <n v="1071392"/>
    <s v="Follow up"/>
    <s v="Follow Up"/>
    <m/>
    <s v=""/>
    <s v="Growth"/>
    <s v="February"/>
    <s v="Q1"/>
  </r>
  <r>
    <s v="EOS1394"/>
    <d v="2026-02-13T00:00:00"/>
    <s v="FB"/>
    <s v="Ravi Dave"/>
    <m/>
    <x v="14"/>
    <s v="Follow up "/>
    <n v="177000"/>
    <n v="1071393"/>
    <s v="Follow up"/>
    <s v="Follow Up"/>
    <m/>
    <s v=""/>
    <s v="Growth"/>
    <s v="February"/>
    <s v="Q1"/>
  </r>
  <r>
    <s v="EOS1395"/>
    <d v="2026-02-13T00:00:00"/>
    <s v="FB"/>
    <s v="Jay Parmar"/>
    <s v="Khambhalia"/>
    <x v="14"/>
    <s v="Follow up "/>
    <n v="108000"/>
    <n v="1071394"/>
    <s v="Follow up"/>
    <s v="Follow Up"/>
    <m/>
    <s v=""/>
    <s v="Starter"/>
    <s v="February"/>
    <s v="Q1"/>
  </r>
  <r>
    <s v="EOS1396"/>
    <d v="2026-02-14T00:00:00"/>
    <s v="FB"/>
    <s v="Javed darvesh"/>
    <s v="Prachi"/>
    <x v="14"/>
    <s v="Follow up "/>
    <n v="108000"/>
    <n v="1071395"/>
    <s v="Follow up"/>
    <s v="Follow Up"/>
    <m/>
    <s v=""/>
    <s v="Starter"/>
    <s v="February"/>
    <s v="Q1"/>
  </r>
  <r>
    <s v="EOS1397"/>
    <d v="2026-02-14T00:00:00"/>
    <s v="FB"/>
    <s v="Rohitsinh Jadav"/>
    <s v="Barabanki"/>
    <x v="16"/>
    <s v="Follow up "/>
    <n v="130000"/>
    <n v="1071396"/>
    <s v="Follow up"/>
    <s v="Follow Up"/>
    <m/>
    <s v=""/>
    <s v="Starter"/>
    <s v="February"/>
    <s v="Q1"/>
  </r>
  <r>
    <s v="EOS1398"/>
    <d v="2026-02-14T00:00:00"/>
    <s v="FB"/>
    <s v="Abhay Gupta"/>
    <s v="Karwi"/>
    <x v="16"/>
    <s v="Follow up "/>
    <n v="130000"/>
    <n v="1071397"/>
    <s v="Follow up"/>
    <s v="Follow Up"/>
    <m/>
    <s v=""/>
    <s v="Starter"/>
    <s v="February"/>
    <s v="Q1"/>
  </r>
  <r>
    <s v="EOS1399"/>
    <d v="2026-02-14T00:00:00"/>
    <s v="FB"/>
    <s v="Mohit Singh"/>
    <s v="Gandhinagar"/>
    <x v="0"/>
    <s v="Rejected "/>
    <n v="108000"/>
    <n v="1071398"/>
    <s v="Rejected"/>
    <s v="Rejected"/>
    <m/>
    <s v=""/>
    <s v="Starter"/>
    <s v="February"/>
    <s v="Q1"/>
  </r>
  <r>
    <s v="EOS1400"/>
    <d v="2026-02-14T00:00:00"/>
    <s v="FB"/>
    <s v="vahid shaikh"/>
    <s v="Kanpur"/>
    <x v="16"/>
    <s v="Rejected"/>
    <n v="108000"/>
    <n v="1071399"/>
    <s v="Rejected"/>
    <s v="Rejected"/>
    <m/>
    <s v=""/>
    <s v="Starter"/>
    <s v="February"/>
    <s v="Q1"/>
  </r>
  <r>
    <s v="EOS1401"/>
    <d v="2026-02-16T00:00:00"/>
    <s v="FB "/>
    <s v="Gaurav gautam"/>
    <s v="Khambhalia"/>
    <x v="14"/>
    <s v="Follow up "/>
    <n v="130000"/>
    <n v="1071400"/>
    <s v="Follow up"/>
    <s v="Follow Up"/>
    <m/>
    <s v=""/>
    <s v="Starter"/>
    <s v="February"/>
    <s v="Q1"/>
  </r>
  <r>
    <s v="EOS1402"/>
    <d v="2026-02-16T00:00:00"/>
    <s v="FB"/>
    <s v="Javed darvesh"/>
    <s v="bhanvad"/>
    <x v="14"/>
    <s v="Follow up "/>
    <n v="108000"/>
    <n v="1071401"/>
    <s v="Follow up"/>
    <s v="Follow Up"/>
    <m/>
    <s v=""/>
    <s v="Starter"/>
    <s v="February"/>
    <s v="Q1"/>
  </r>
  <r>
    <s v="EOS1403"/>
    <d v="2026-02-16T00:00:00"/>
    <s v="FB"/>
    <s v="Hiren Odedra"/>
    <s v="Chotila"/>
    <x v="14"/>
    <s v="Follow up "/>
    <n v="177000"/>
    <n v="1071402"/>
    <s v="Follow up"/>
    <s v="Follow Up"/>
    <m/>
    <s v=""/>
    <s v="Growth"/>
    <s v="February"/>
    <s v="Q1"/>
  </r>
  <r>
    <s v="EOS1404"/>
    <d v="2026-02-16T00:00:00"/>
    <s v="FB"/>
    <s v="Maldip Darbar"/>
    <s v=" Bhavnagar"/>
    <x v="0"/>
    <s v="Follow up "/>
    <n v="130000"/>
    <n v="1071403"/>
    <s v="Follow up"/>
    <s v="Follow Up"/>
    <m/>
    <s v=""/>
    <s v="Starter"/>
    <s v="February"/>
    <s v="Q1"/>
  </r>
  <r>
    <s v="EOS1405"/>
    <d v="2026-02-16T00:00:00"/>
    <s v="FB"/>
    <s v="Harshit makwana"/>
    <s v="Jamnagar"/>
    <x v="14"/>
    <s v="Follow up "/>
    <n v="130000"/>
    <n v="1071404"/>
    <s v="Follow up"/>
    <s v="Follow Up"/>
    <m/>
    <s v=""/>
    <s v="Starter"/>
    <s v="February"/>
    <s v="Q1"/>
  </r>
  <r>
    <s v="EOS1406"/>
    <d v="2026-02-16T00:00:00"/>
    <s v="FB"/>
    <s v="Mahavirsinh Solanki"/>
    <s v="Surat"/>
    <x v="14"/>
    <s v="Follow up "/>
    <n v="130000"/>
    <n v="1071405"/>
    <s v="Follow up"/>
    <s v="Follow Up"/>
    <m/>
    <s v=""/>
    <s v="Starter"/>
    <s v="February"/>
    <s v="Q1"/>
  </r>
  <r>
    <s v="EOS1407"/>
    <d v="2026-02-16T00:00:00"/>
    <s v="FB"/>
    <s v="Ronak"/>
    <s v="Ahmedabad"/>
    <x v="14"/>
    <s v="Follow up "/>
    <n v="177000"/>
    <n v="1071406"/>
    <s v="Follow up"/>
    <s v="Follow Up"/>
    <m/>
    <s v=""/>
    <s v="Growth"/>
    <s v="February"/>
    <s v="Q1"/>
  </r>
  <r>
    <s v="EOS1408"/>
    <d v="2026-02-16T00:00:00"/>
    <s v="FB"/>
    <s v="AD Rajput"/>
    <s v=" "/>
    <x v="14"/>
    <s v="Follow up "/>
    <n v="130000"/>
    <n v="1071407"/>
    <s v="Follow up"/>
    <s v="Follow Up"/>
    <m/>
    <s v=""/>
    <s v="Starter"/>
    <s v="February"/>
    <s v="Q1"/>
  </r>
  <r>
    <s v="EOS1409"/>
    <d v="2026-02-16T00:00:00"/>
    <s v="FB"/>
    <s v="PRUTHVI SINGH V THAKOR"/>
    <s v="Porbandar"/>
    <x v="0"/>
    <s v="Follow up "/>
    <n v="130000"/>
    <n v="1071408"/>
    <s v="Follow up"/>
    <s v="Follow Up"/>
    <m/>
    <s v=""/>
    <s v="Starter"/>
    <s v="February"/>
    <s v="Q1"/>
  </r>
  <r>
    <s v="EOS1410"/>
    <d v="2026-02-16T00:00:00"/>
    <s v="FB"/>
    <s v="Vijay Modhvadiya"/>
    <s v="utraula"/>
    <x v="16"/>
    <s v="Follow up "/>
    <n v="130000"/>
    <n v="1071409"/>
    <s v="Follow up"/>
    <s v="Follow Up"/>
    <m/>
    <s v=""/>
    <s v="Starter"/>
    <s v="February"/>
    <s v="Q1"/>
  </r>
  <r>
    <s v="EOS1411"/>
    <d v="2026-02-16T00:00:00"/>
    <s v="FB"/>
    <s v="Asrar Ahmad Raini"/>
    <s v="Noida"/>
    <x v="16"/>
    <s v="Follow up "/>
    <n v="108000"/>
    <n v="1071410"/>
    <s v="Follow up"/>
    <s v="Follow Up"/>
    <m/>
    <s v=""/>
    <s v="Starter"/>
    <s v="February"/>
    <s v="Q1"/>
  </r>
  <r>
    <s v="EOS1412"/>
    <d v="2026-02-16T00:00:00"/>
    <s v="FB"/>
    <s v="mdaman"/>
    <s v=" Bhavnagar"/>
    <x v="14"/>
    <s v="Follow up "/>
    <n v="108000"/>
    <n v="1071411"/>
    <s v="Follow up"/>
    <s v="Follow Up"/>
    <m/>
    <s v=""/>
    <s v="Starter"/>
    <s v="February"/>
    <s v="Q1"/>
  </r>
  <r>
    <s v="EOS1413"/>
    <d v="2026-02-17T00:00:00"/>
    <s v="FB"/>
    <s v="Shaktisinh Gohil"/>
    <s v="Ahmedabad"/>
    <x v="14"/>
    <s v="Follow up "/>
    <n v="108000"/>
    <n v="1071412"/>
    <s v="Follow up"/>
    <s v="Follow Up"/>
    <m/>
    <s v=""/>
    <s v="Starter"/>
    <s v="February"/>
    <s v="Q1"/>
  </r>
  <r>
    <s v="EOS1414"/>
    <d v="2026-02-17T00:00:00"/>
    <s v="FB"/>
    <s v="Dipen Gandhi"/>
    <s v="Surat "/>
    <x v="14"/>
    <s v="Follow up "/>
    <n v="130000"/>
    <n v="1071413"/>
    <s v="Follow up"/>
    <s v="Follow Up"/>
    <m/>
    <s v=""/>
    <s v="Starter"/>
    <s v="February"/>
    <s v="Q1"/>
  </r>
  <r>
    <s v="EOS1415"/>
    <d v="2026-02-17T00:00:00"/>
    <s v="FB"/>
    <s v="Ahir Chintan"/>
    <s v="Dedana"/>
    <x v="14"/>
    <s v="Follow up "/>
    <n v="108000"/>
    <n v="1071414"/>
    <s v="Follow up"/>
    <s v="Follow Up"/>
    <m/>
    <s v=""/>
    <s v="Starter"/>
    <s v="February"/>
    <s v="Q1"/>
  </r>
  <r>
    <s v="EOS1416"/>
    <d v="2026-02-17T00:00:00"/>
    <s v="FB"/>
    <s v="Vyas Yogesh"/>
    <s v="Bharuch"/>
    <x v="14"/>
    <s v="Follow up "/>
    <n v="177000"/>
    <n v="1071415"/>
    <s v="Follow up"/>
    <s v="Follow Up"/>
    <m/>
    <s v=""/>
    <s v="Growth"/>
    <s v="February"/>
    <s v="Q1"/>
  </r>
  <r>
    <s v="EOS1417"/>
    <d v="2026-02-17T00:00:00"/>
    <s v="FB"/>
    <s v="Monik Mehta"/>
    <s v="agra"/>
    <x v="16"/>
    <s v="Follow up "/>
    <n v="177000"/>
    <n v="1071416"/>
    <s v="Follow up"/>
    <s v="Follow Up"/>
    <m/>
    <s v=""/>
    <s v="Growth"/>
    <s v="February"/>
    <s v="Q1"/>
  </r>
  <r>
    <s v="EOS1418"/>
    <d v="2026-02-17T00:00:00"/>
    <s v="FB"/>
    <s v="Vishal Sharma"/>
    <s v="Noida"/>
    <x v="16"/>
    <s v="Follow up "/>
    <n v="108000"/>
    <n v="1071417"/>
    <s v="Follow up"/>
    <s v="Follow Up"/>
    <m/>
    <s v=""/>
    <s v="Starter"/>
    <s v="February"/>
    <s v="Q1"/>
  </r>
  <r>
    <s v="EOS1419"/>
    <d v="2026-02-17T00:00:00"/>
    <s v="FB"/>
    <s v="Sonu Choudhary"/>
    <s v="Mau"/>
    <x v="16"/>
    <s v="Follow up "/>
    <n v="130000"/>
    <n v="1071418"/>
    <s v="Follow up"/>
    <s v="Follow Up"/>
    <m/>
    <s v=""/>
    <s v="Starter"/>
    <s v="February"/>
    <s v="Q1"/>
  </r>
  <r>
    <s v="EOS1420"/>
    <d v="2026-02-17T00:00:00"/>
    <s v="FB"/>
    <s v="Anand mohan singh"/>
    <s v="Ahmedabad"/>
    <x v="14"/>
    <s v="Follow up "/>
    <n v="108000"/>
    <n v="1071419"/>
    <s v="Follow up"/>
    <s v="Follow Up"/>
    <m/>
    <s v=""/>
    <s v="Starter"/>
    <s v="February"/>
    <s v="Q1"/>
  </r>
  <r>
    <s v="EOS1421"/>
    <d v="2026-02-17T00:00:00"/>
    <s v="FB"/>
    <s v="Sanket kothiya"/>
    <s v="Anand"/>
    <x v="14"/>
    <s v="Follow up "/>
    <n v="130000"/>
    <n v="1071420"/>
    <s v="Follow up"/>
    <s v="Follow Up"/>
    <m/>
    <s v=""/>
    <s v="Starter"/>
    <s v="February"/>
    <s v="Q1"/>
  </r>
  <r>
    <s v="EOS1422"/>
    <d v="2026-02-18T00:00:00"/>
    <s v="FB"/>
    <s v="prakash"/>
    <s v="Bardoli"/>
    <x v="14"/>
    <s v="Follow up "/>
    <n v="108000"/>
    <n v="1071421"/>
    <s v="Follow up"/>
    <s v="Follow Up"/>
    <m/>
    <s v=""/>
    <s v="Starter"/>
    <s v="February"/>
    <s v="Q1"/>
  </r>
  <r>
    <s v="EOS1423"/>
    <d v="2026-02-18T00:00:00"/>
    <s v="FB"/>
    <s v="Vicky Biscuitwala"/>
    <s v="Dwarka"/>
    <x v="0"/>
    <s v="Rejected"/>
    <n v="108000"/>
    <n v="1071422"/>
    <s v="Rejected"/>
    <s v="Rejected"/>
    <m/>
    <s v=""/>
    <s v="Starter"/>
    <s v="February"/>
    <s v="Q1"/>
  </r>
  <r>
    <s v="EOS1424"/>
    <d v="2026-02-18T00:00:00"/>
    <s v="FB "/>
    <s v="Aryan Bhai"/>
    <s v="Halol"/>
    <x v="14"/>
    <s v="Follow up "/>
    <n v="308000"/>
    <n v="1071423"/>
    <s v="Follow up"/>
    <s v="Follow Up"/>
    <m/>
    <s v=""/>
    <s v="Premium"/>
    <s v="February"/>
    <s v="Q1"/>
  </r>
  <r>
    <s v="EOS1425"/>
    <d v="2026-02-18T00:00:00"/>
    <s v="FB"/>
    <s v="Talati Mittul"/>
    <s v="Vapi"/>
    <x v="14"/>
    <s v="Follow up "/>
    <n v="130000"/>
    <n v="1071424"/>
    <s v="Follow up"/>
    <s v="Follow Up"/>
    <m/>
    <s v=""/>
    <s v="Starter"/>
    <s v="February"/>
    <s v="Q1"/>
  </r>
  <r>
    <s v="EOS1426"/>
    <d v="2026-02-18T00:00:00"/>
    <s v="FB"/>
    <s v="Anil Patadiya"/>
    <s v="Rajkot"/>
    <x v="14"/>
    <s v="Follow up "/>
    <n v="108000"/>
    <n v="1071425"/>
    <s v="Follow up"/>
    <s v="Follow Up"/>
    <m/>
    <s v=""/>
    <s v="Starter"/>
    <s v="February"/>
    <s v="Q1"/>
  </r>
  <r>
    <s v="EOS1427"/>
    <d v="2026-02-18T00:00:00"/>
    <s v="FB"/>
    <s v="kishan"/>
    <s v="Ghaziabad"/>
    <x v="16"/>
    <s v="Follow up "/>
    <n v="130000"/>
    <n v="1071426"/>
    <s v="Follow up"/>
    <s v="Follow Up"/>
    <m/>
    <s v=""/>
    <s v="Starter"/>
    <s v="February"/>
    <s v="Q1"/>
  </r>
  <r>
    <s v="EOS1428"/>
    <d v="2026-02-18T00:00:00"/>
    <s v="FB"/>
    <s v="Deepak Bansal"/>
    <s v="Kolkata"/>
    <x v="9"/>
    <s v="Follow up "/>
    <n v="130000"/>
    <n v="1071427"/>
    <s v="Follow up"/>
    <s v="Follow Up"/>
    <m/>
    <s v=""/>
    <s v="Starter"/>
    <s v="February"/>
    <s v="Q1"/>
  </r>
  <r>
    <s v="EOS1429"/>
    <d v="2026-02-18T00:00:00"/>
    <s v="FB"/>
    <s v="Arup Saha(Arpan)"/>
    <s v="Khambhalia"/>
    <x v="14"/>
    <s v="Follow up "/>
    <n v="130000"/>
    <n v="1071428"/>
    <s v="Follow up"/>
    <s v="Follow Up"/>
    <m/>
    <s v=""/>
    <s v="Starter"/>
    <s v="February"/>
    <s v="Q1"/>
  </r>
  <r>
    <s v="EOS1430"/>
    <d v="2026-02-18T00:00:00"/>
    <s v="FB"/>
    <s v="Devdan Rudach"/>
    <s v="Ahmedabad"/>
    <x v="14"/>
    <s v="Follow up "/>
    <n v="130000"/>
    <n v="1071429"/>
    <s v="Follow up"/>
    <s v="Follow Up"/>
    <m/>
    <s v=""/>
    <s v="Starter"/>
    <s v="February"/>
    <s v="Q1"/>
  </r>
  <r>
    <s v="EOS1431"/>
    <d v="2026-02-21T00:00:00"/>
    <s v="FB"/>
    <s v="Satvara Sandip"/>
    <s v="Ahmedabad"/>
    <x v="14"/>
    <s v="Follow up "/>
    <n v="108000"/>
    <n v="1071430"/>
    <s v="Follow up"/>
    <s v="Follow Up"/>
    <m/>
    <s v=""/>
    <s v="Starter"/>
    <s v="February"/>
    <s v="Q1"/>
  </r>
  <r>
    <s v="EOS1432"/>
    <d v="2026-02-21T00:00:00"/>
    <s v="FB"/>
    <s v="Krish "/>
    <s v="Mangrol"/>
    <x v="14"/>
    <s v="Follow up "/>
    <n v="130000"/>
    <n v="1071431"/>
    <s v="Follow up"/>
    <s v="Follow Up"/>
    <m/>
    <s v=""/>
    <s v="Starter"/>
    <s v="February"/>
    <s v="Q1"/>
  </r>
  <r>
    <s v="EOS1433"/>
    <d v="2026-02-21T00:00:00"/>
    <s v="FB"/>
    <s v="Dilip Mokariya"/>
    <s v="Rajkot "/>
    <x v="14"/>
    <s v="Follow up "/>
    <n v="108000"/>
    <n v="1071432"/>
    <s v="Follow up"/>
    <s v="Follow Up"/>
    <m/>
    <s v=""/>
    <s v="Starter"/>
    <s v="February"/>
    <s v="Q1"/>
  </r>
  <r>
    <s v="EOS1434"/>
    <d v="2026-02-21T00:00:00"/>
    <s v="FB"/>
    <s v="Satish Ahir"/>
    <m/>
    <x v="16"/>
    <s v="Follow up "/>
    <n v="177000"/>
    <n v="1071433"/>
    <s v="Follow up"/>
    <s v="Follow Up"/>
    <m/>
    <s v=""/>
    <s v="Growth"/>
    <s v="February"/>
    <s v="Q1"/>
  </r>
  <r>
    <s v="EOS1435"/>
    <d v="2026-02-21T00:00:00"/>
    <s v="FB"/>
    <s v="Hemant Sharma"/>
    <s v="haridwar "/>
    <x v="16"/>
    <s v="Follow up "/>
    <n v="108000"/>
    <n v="1071434"/>
    <s v="Follow up"/>
    <s v="Follow Up"/>
    <m/>
    <s v=""/>
    <s v="Starter"/>
    <s v="February"/>
    <s v="Q1"/>
  </r>
  <r>
    <s v="EOS1436"/>
    <d v="2026-02-21T00:00:00"/>
    <s v="FB"/>
    <s v="Adv. Ikram Ansari"/>
    <s v="Surat"/>
    <x v="14"/>
    <s v="Rejected"/>
    <n v="177000"/>
    <n v="1071435"/>
    <s v="Rejected"/>
    <s v="Rejected"/>
    <m/>
    <s v=""/>
    <s v="Growth"/>
    <s v="February"/>
    <s v="Q1"/>
  </r>
  <r>
    <s v="EOS1437"/>
    <d v="2026-02-21T00:00:00"/>
    <s v="FB "/>
    <s v="mahesh mevada"/>
    <s v="Valasan"/>
    <x v="0"/>
    <s v="Rejected"/>
    <n v="130000"/>
    <n v="1071436"/>
    <s v="Rejected"/>
    <s v="Rejected"/>
    <m/>
    <s v=""/>
    <s v="Starter"/>
    <s v="February"/>
    <s v="Q1"/>
  </r>
  <r>
    <s v="EOS1438"/>
    <d v="2026-02-21T00:00:00"/>
    <s v="FB "/>
    <s v="Aadil Vahora"/>
    <s v="Kapadwan"/>
    <x v="0"/>
    <s v="Follow up "/>
    <n v="108000"/>
    <n v="1071437"/>
    <s v="Follow up"/>
    <s v="Follow Up"/>
    <m/>
    <s v=""/>
    <s v="Starter"/>
    <s v="February"/>
    <s v="Q1"/>
  </r>
  <r>
    <s v="EOS1439"/>
    <d v="2026-02-21T00:00:00"/>
    <s v="FB"/>
    <s v="Yash"/>
    <s v="Kheda"/>
    <x v="0"/>
    <s v="Follow up "/>
    <n v="130000"/>
    <n v="1071438"/>
    <s v="Follow up"/>
    <s v="Follow Up"/>
    <m/>
    <s v=""/>
    <s v="Starter"/>
    <s v="February"/>
    <s v="Q1"/>
  </r>
  <r>
    <s v="EOS1440"/>
    <d v="2026-02-21T00:00:00"/>
    <s v="FB"/>
    <s v="Rutwik"/>
    <s v="Ahmedabad"/>
    <x v="0"/>
    <s v="Rejected"/>
    <n v="130000"/>
    <n v="1071439"/>
    <s v="Rejected"/>
    <s v="Rejected"/>
    <m/>
    <s v=""/>
    <s v="Starter"/>
    <s v="February"/>
    <s v="Q1"/>
  </r>
  <r>
    <s v="EOS1441"/>
    <d v="2026-02-21T00:00:00"/>
    <s v="FB "/>
    <s v="Krish "/>
    <s v="Dahod"/>
    <x v="0"/>
    <s v="Rejected"/>
    <n v="308000"/>
    <n v="1071440"/>
    <s v="Rejected"/>
    <s v="Rejected"/>
    <m/>
    <s v=""/>
    <s v="Premium"/>
    <s v="February"/>
    <s v="Q1"/>
  </r>
  <r>
    <s v="EOS1442"/>
    <d v="2026-02-21T00:00:00"/>
    <s v="FB "/>
    <s v="Hitesh Manglani"/>
    <s v="dwarka"/>
    <x v="0"/>
    <s v="Follow up "/>
    <n v="130000"/>
    <n v="1071441"/>
    <s v="Follow up"/>
    <s v="Follow Up"/>
    <m/>
    <s v=""/>
    <s v="Starter"/>
    <s v="February"/>
    <s v="Q1"/>
  </r>
  <r>
    <s v="EOS1443"/>
    <d v="2026-02-21T00:00:00"/>
    <s v="FB"/>
    <s v="CHAVDA LAKHANKUMAR DHARMENDRABHAI"/>
    <s v="Gandhidham"/>
    <x v="0"/>
    <s v="Follow up "/>
    <n v="130000"/>
    <n v="1071442"/>
    <s v="Follow up"/>
    <s v="Follow Up"/>
    <m/>
    <s v=""/>
    <s v="Starter"/>
    <s v="February"/>
    <s v="Q1"/>
  </r>
  <r>
    <s v="EOS1444"/>
    <d v="2026-02-22T00:00:00"/>
    <s v="FB"/>
    <s v="Ankit Chaudhary"/>
    <s v="Ahmedabad"/>
    <x v="0"/>
    <s v="Follow up "/>
    <n v="130000"/>
    <n v="1071443"/>
    <s v="Follow up"/>
    <s v="Follow Up"/>
    <m/>
    <s v=""/>
    <s v="Starter"/>
    <s v="February"/>
    <s v="Q1"/>
  </r>
  <r>
    <s v="EOS1445"/>
    <d v="2026-02-25T00:00:00"/>
    <s v="FB"/>
    <s v="Prakash Matlani"/>
    <s v="Ahmedabad"/>
    <x v="13"/>
    <s v="Follow up "/>
    <n v="108000"/>
    <n v="1071444"/>
    <s v="Follow up"/>
    <s v="Follow Up"/>
    <m/>
    <s v=""/>
    <s v="Starter"/>
    <s v="February"/>
    <s v="Q1"/>
  </r>
  <r>
    <s v="EOS1446"/>
    <d v="2026-02-25T00:00:00"/>
    <s v="FB"/>
    <s v="NAVYA"/>
    <s v="Bhavnagar"/>
    <x v="0"/>
    <s v="Follow up "/>
    <n v="130000"/>
    <n v="1071445"/>
    <s v="Follow up"/>
    <s v="Follow Up"/>
    <m/>
    <s v=""/>
    <s v="Starter"/>
    <s v="February"/>
    <s v="Q1"/>
  </r>
  <r>
    <s v="EOS1447"/>
    <d v="2026-03-12T00:00:00"/>
    <s v="FB"/>
    <s v="Vijay Solanki"/>
    <s v="Vadodara"/>
    <x v="0"/>
    <s v="Follow up "/>
    <n v="130000"/>
    <n v="1071446"/>
    <s v="Follow up"/>
    <s v="Follow Up"/>
    <m/>
    <s v=""/>
    <s v="Starter"/>
    <s v="March"/>
    <s v="Q1"/>
  </r>
  <r>
    <s v="EOS1448"/>
    <d v="2026-03-12T00:00:00"/>
    <s v="FB"/>
    <s v="Ronak Maheshwari"/>
    <s v="Ahemdabad"/>
    <x v="0"/>
    <s v="Follow up "/>
    <n v="130000"/>
    <n v="1071447"/>
    <s v="Follow up"/>
    <s v="Follow Up"/>
    <m/>
    <s v=""/>
    <s v="Starter"/>
    <s v="March"/>
    <s v="Q1"/>
  </r>
  <r>
    <s v="EOS1449"/>
    <d v="2026-03-13T00:00:00"/>
    <s v="FB"/>
    <s v="Narayan Singh Rathore"/>
    <s v="Vadodara"/>
    <x v="0"/>
    <s v="Follow up "/>
    <n v="177000"/>
    <n v="1071448"/>
    <s v="Follow up"/>
    <s v="Follow Up"/>
    <m/>
    <s v=""/>
    <s v="Growth"/>
    <s v="March"/>
    <s v="Q1"/>
  </r>
  <r>
    <s v="EOS1450"/>
    <d v="2026-03-13T00:00:00"/>
    <s v="FB"/>
    <s v="Juber_T"/>
    <s v="Botad"/>
    <x v="0"/>
    <s v="Follow up "/>
    <n v="108000"/>
    <n v="1071449"/>
    <s v="Follow up"/>
    <s v="Follow Up"/>
    <m/>
    <s v=""/>
    <s v="Starter"/>
    <s v="March"/>
    <s v="Q1"/>
  </r>
  <r>
    <s v="EOS1451"/>
    <d v="2026-03-16T00:00:00"/>
    <s v="FB"/>
    <s v="Parikshitsinh padhiyar"/>
    <s v="Bharuch"/>
    <x v="0"/>
    <s v="Follow up "/>
    <n v="108000"/>
    <n v="1071450"/>
    <s v="Follow up"/>
    <s v="Follow Up"/>
    <m/>
    <s v=""/>
    <s v="Starter"/>
    <s v="March"/>
    <s v="Q1"/>
  </r>
  <r>
    <s v="EOS1452"/>
    <d v="2026-03-16T00:00:00"/>
    <s v="FB"/>
    <s v="Uvesh Amin"/>
    <s v="Mehsana"/>
    <x v="0"/>
    <s v="Follow up "/>
    <n v="108000"/>
    <n v="1071451"/>
    <s v="Follow up"/>
    <s v="Follow Up"/>
    <m/>
    <s v=""/>
    <s v="Starter"/>
    <s v="March"/>
    <s v="Q1"/>
  </r>
  <r>
    <s v="EOS1453"/>
    <d v="2026-03-16T00:00:00"/>
    <s v="FB"/>
    <s v="Smith patel"/>
    <s v="Junagadh"/>
    <x v="0"/>
    <s v="Follow up "/>
    <n v="130000"/>
    <n v="1071452"/>
    <s v="Follow up"/>
    <s v="Follow Up"/>
    <m/>
    <s v=""/>
    <s v="Starter"/>
    <s v="March"/>
    <s v="Q1"/>
  </r>
  <r>
    <s v="EOS1454"/>
    <d v="2026-03-16T00:00:00"/>
    <s v="FB"/>
    <s v="Pradipsinh Solanki"/>
    <s v="Chikhli"/>
    <x v="0"/>
    <s v="Follow up "/>
    <n v="108000"/>
    <n v="1071453"/>
    <s v="Follow up"/>
    <s v="Follow Up"/>
    <m/>
    <s v=""/>
    <s v="Starter"/>
    <s v="March"/>
    <s v="Q1"/>
  </r>
  <r>
    <s v="EOS1455"/>
    <d v="2026-03-16T00:00:00"/>
    <s v="FB"/>
    <s v="Yogesh Patel"/>
    <s v="Ahmedabad"/>
    <x v="0"/>
    <s v="Follow up "/>
    <n v="177000"/>
    <n v="1071454"/>
    <s v="Follow up"/>
    <s v="Follow Up"/>
    <m/>
    <s v=""/>
    <s v="Growth"/>
    <s v="March"/>
    <s v="Q1"/>
  </r>
  <r>
    <s v="EOS1456"/>
    <d v="2026-03-16T00:00:00"/>
    <s v="FB"/>
    <s v="Dhaval Bhavsar"/>
    <s v="Vadodara"/>
    <x v="0"/>
    <s v="Follow up "/>
    <n v="108000"/>
    <n v="1071455"/>
    <s v="Follow up"/>
    <s v="Follow Up"/>
    <m/>
    <s v=""/>
    <s v="Starter"/>
    <s v="March"/>
    <s v="Q1"/>
  </r>
  <r>
    <s v="EOS1457"/>
    <d v="2026-03-16T00:00:00"/>
    <s v="FB"/>
    <s v="Shaikh Mo Uvesh Khslid"/>
    <s v="Godhra"/>
    <x v="0"/>
    <s v="Follow up "/>
    <n v="130000"/>
    <n v="1071456"/>
    <s v="Follow up"/>
    <s v="Follow Up"/>
    <m/>
    <s v=""/>
    <s v="Starter"/>
    <s v="March"/>
    <s v="Q1"/>
  </r>
  <r>
    <s v="EOS1458"/>
    <d v="2026-03-16T00:00:00"/>
    <s v="FB"/>
    <s v="Irfan Chanki"/>
    <s v="Ahmedabad"/>
    <x v="0"/>
    <s v="Rejected"/>
    <n v="177000"/>
    <n v="1071457"/>
    <s v="Rejected"/>
    <s v="Rejected"/>
    <m/>
    <s v=""/>
    <s v="Growth"/>
    <s v="March"/>
    <s v="Q1"/>
  </r>
  <r>
    <s v="EOS1459"/>
    <d v="2026-03-16T00:00:00"/>
    <s v="FB"/>
    <s v="PRAKASH VAGHELA"/>
    <s v="Ahmedabad"/>
    <x v="0"/>
    <s v="Follow up "/>
    <n v="130000"/>
    <n v="1071458"/>
    <s v="Follow up"/>
    <s v="Follow Up"/>
    <m/>
    <s v=""/>
    <s v="Starter"/>
    <s v="March"/>
    <s v="Q1"/>
  </r>
  <r>
    <s v="EOS1460"/>
    <d v="2026-03-16T00:00:00"/>
    <s v="FB"/>
    <s v="Ronak Solanki"/>
    <s v="Junagadh"/>
    <x v="0"/>
    <s v="Follow up "/>
    <n v="108000"/>
    <n v="1071459"/>
    <s v="Follow up"/>
    <s v="Follow Up"/>
    <m/>
    <s v=""/>
    <s v="Starter"/>
    <s v="March"/>
    <s v="Q1"/>
  </r>
  <r>
    <s v="EOS1461"/>
    <d v="2026-03-16T00:00:00"/>
    <s v="FB"/>
    <s v="Hardik Bhanushali"/>
    <s v="Jetpur "/>
    <x v="0"/>
    <s v="Follow up "/>
    <n v="177000"/>
    <n v="1071460"/>
    <s v="Follow up"/>
    <s v="Follow Up"/>
    <m/>
    <s v=""/>
    <s v="Growth"/>
    <s v="March"/>
    <s v="Q1"/>
  </r>
  <r>
    <s v="EOS1462"/>
    <d v="2026-03-16T00:00:00"/>
    <s v="FB"/>
    <s v="Ketan"/>
    <s v="Bhavnagar"/>
    <x v="0"/>
    <s v="Follow up "/>
    <n v="108000"/>
    <n v="1071461"/>
    <s v="Follow up"/>
    <s v="Follow Up"/>
    <m/>
    <s v=""/>
    <s v="Starter"/>
    <s v="March"/>
    <s v="Q1"/>
  </r>
  <r>
    <s v="EOS1463"/>
    <d v="2026-03-16T00:00:00"/>
    <s v="FB"/>
    <s v="Gohil Bapu"/>
    <s v="Gandhidham"/>
    <x v="0"/>
    <s v="Follow up "/>
    <n v="108000"/>
    <n v="1071462"/>
    <s v="Follow up"/>
    <s v="Follow Up"/>
    <m/>
    <s v=""/>
    <s v="Starter"/>
    <s v="March"/>
    <s v="Q1"/>
  </r>
  <r>
    <s v="EOS1464"/>
    <d v="2026-03-16T00:00:00"/>
    <s v="FB"/>
    <s v="Ankit Chaudhary"/>
    <s v="Anjar"/>
    <x v="0"/>
    <s v="Follow up "/>
    <n v="130000"/>
    <n v="1071463"/>
    <s v="Follow up"/>
    <s v="Follow Up"/>
    <m/>
    <s v=""/>
    <s v="Starter"/>
    <s v="March"/>
    <s v="Q1"/>
  </r>
  <r>
    <s v="EOS1465"/>
    <d v="2026-03-16T00:00:00"/>
    <s v="FB"/>
    <s v="Parth Patel"/>
    <s v="Ahmednagar"/>
    <x v="5"/>
    <s v="Follow up "/>
    <n v="130000"/>
    <n v="1071464"/>
    <s v="Follow up"/>
    <s v="Follow Up"/>
    <m/>
    <s v=""/>
    <s v="Starter"/>
    <s v="March"/>
    <s v="Q1"/>
  </r>
  <r>
    <s v="EOS1466"/>
    <d v="2026-03-16T00:00:00"/>
    <s v="FB"/>
    <s v="R K Ravindra Karad"/>
    <s v="Wankaner"/>
    <x v="0"/>
    <s v="Follow up "/>
    <n v="108000"/>
    <n v="1071465"/>
    <s v="Follow up"/>
    <s v="Follow Up"/>
    <m/>
    <s v=""/>
    <s v="Starter"/>
    <s v="March"/>
    <s v="Q1"/>
  </r>
  <r>
    <s v="EOS1467"/>
    <d v="2026-03-17T00:00:00"/>
    <s v="FB"/>
    <s v="Tosif Bloch"/>
    <s v="Junagadh"/>
    <x v="0"/>
    <s v="Follow up "/>
    <n v="130000"/>
    <n v="1071466"/>
    <s v="Follow up"/>
    <s v="Follow Up"/>
    <m/>
    <s v=""/>
    <s v="Starter"/>
    <s v="March"/>
    <s v="Q1"/>
  </r>
  <r>
    <s v="EOS1468"/>
    <d v="2026-03-17T00:00:00"/>
    <s v="FB"/>
    <s v="Ravi patel"/>
    <s v="Bharuch"/>
    <x v="0"/>
    <s v="Follow up "/>
    <n v="108000"/>
    <n v="1071467"/>
    <s v="Follow up"/>
    <s v="Follow Up"/>
    <m/>
    <s v=""/>
    <s v="Starter"/>
    <s v="March"/>
    <s v="Q1"/>
  </r>
  <r>
    <s v="EOS1469"/>
    <d v="2026-03-17T00:00:00"/>
    <s v="FB"/>
    <s v="shoaib.mansuri"/>
    <m/>
    <x v="0"/>
    <s v="Follow up "/>
    <n v="108000"/>
    <n v="1071468"/>
    <s v="Follow up"/>
    <s v="Follow Up"/>
    <m/>
    <s v=""/>
    <s v="Starter"/>
    <s v="March"/>
    <s v="Q1"/>
  </r>
  <r>
    <s v="EOS1470"/>
    <d v="2026-03-17T00:00:00"/>
    <s v="FB"/>
    <s v="Dilip Prajapati"/>
    <s v="Matar"/>
    <x v="0"/>
    <s v="Follow up "/>
    <n v="130000"/>
    <n v="1071469"/>
    <s v="Follow up"/>
    <s v="Follow Up"/>
    <m/>
    <s v=""/>
    <s v="Starter"/>
    <s v="March"/>
    <s v="Q1"/>
  </r>
  <r>
    <s v="EOS1471"/>
    <d v="2026-03-17T00:00:00"/>
    <s v="FB"/>
    <s v="Rabari Vikram"/>
    <s v="Anand"/>
    <x v="0"/>
    <s v="Follow up "/>
    <n v="130000"/>
    <n v="1071470"/>
    <s v="Follow up"/>
    <s v="Follow Up"/>
    <m/>
    <s v=""/>
    <s v="Starter"/>
    <s v="March"/>
    <s v="Q1"/>
  </r>
  <r>
    <s v="EOS1472"/>
    <d v="2026-03-18T00:00:00"/>
    <s v="FB"/>
    <s v="Ammar Vahora"/>
    <s v="Silvassa"/>
    <x v="0"/>
    <s v="Follow up "/>
    <n v="108000"/>
    <n v="1071471"/>
    <s v="Follow up"/>
    <s v="Follow Up"/>
    <m/>
    <s v=""/>
    <s v="Starter"/>
    <s v="March"/>
    <s v="Q1"/>
  </r>
  <r>
    <s v="EOS1473"/>
    <d v="2026-03-18T00:00:00"/>
    <s v="FB"/>
    <s v="mukeshlagdhir"/>
    <s v="Ahmedabad"/>
    <x v="0"/>
    <s v="Rejected"/>
    <n v="130000"/>
    <n v="1071472"/>
    <s v="Rejected"/>
    <s v="Rejected"/>
    <m/>
    <s v=""/>
    <s v="Starter"/>
    <s v="March"/>
    <s v="Q1"/>
  </r>
  <r>
    <s v="EOS1474"/>
    <d v="2026-03-20T00:00:00"/>
    <s v="FB"/>
    <s v="Dhruv Patel"/>
    <s v="Khambhalia"/>
    <x v="0"/>
    <s v="Follow up "/>
    <n v="108000"/>
    <n v="1071473"/>
    <s v="Follow up"/>
    <s v="Follow Up"/>
    <m/>
    <s v=""/>
    <s v="Starter"/>
    <s v="March"/>
    <s v="Q1"/>
  </r>
  <r>
    <s v="EOS1475"/>
    <d v="2026-03-20T00:00:00"/>
    <s v="FB"/>
    <s v="Parth Rajgor"/>
    <s v="Petlad"/>
    <x v="0"/>
    <s v="Follow up "/>
    <n v="130000"/>
    <n v="1071474"/>
    <s v="Follow up"/>
    <s v="Follow Up"/>
    <m/>
    <s v=""/>
    <s v="Starter"/>
    <s v="March"/>
    <s v="Q1"/>
  </r>
  <r>
    <s v="EOS1476"/>
    <d v="2026-03-20T00:00:00"/>
    <s v="FB"/>
    <s v="Patel"/>
    <s v="kadi"/>
    <x v="0"/>
    <s v="Follow up "/>
    <n v="130000"/>
    <n v="1071475"/>
    <s v="Follow up"/>
    <s v="Follow Up"/>
    <m/>
    <s v=""/>
    <s v="Starter"/>
    <s v="March"/>
    <s v="Q1"/>
  </r>
  <r>
    <s v="EOS1477"/>
    <d v="2026-03-20T00:00:00"/>
    <s v="FB"/>
    <s v="Sunil Prajapati"/>
    <s v="Bhuj"/>
    <x v="0"/>
    <s v="Follow up "/>
    <n v="177000"/>
    <n v="1071476"/>
    <s v="Follow up"/>
    <s v="Follow Up"/>
    <m/>
    <s v=""/>
    <s v="Growth"/>
    <s v="March"/>
    <s v="Q1"/>
  </r>
  <r>
    <s v="EOS1478"/>
    <d v="2026-03-20T00:00:00"/>
    <s v="FB"/>
    <s v="??RAAVAL MIHIIR?"/>
    <s v="Surat mandvi"/>
    <x v="0"/>
    <s v="Follow up "/>
    <n v="130000"/>
    <n v="1071477"/>
    <s v="Follow up"/>
    <s v="Follow Up"/>
    <m/>
    <s v=""/>
    <s v="Starter"/>
    <s v="March"/>
    <s v="Q1"/>
  </r>
  <r>
    <s v="EOS1479"/>
    <d v="2026-03-20T00:00:00"/>
    <s v="FB"/>
    <s v="Chaudhari Naitik"/>
    <s v="Ahmedabad"/>
    <x v="0"/>
    <s v="Follow up "/>
    <n v="108000"/>
    <n v="1071478"/>
    <s v="Follow up"/>
    <s v="Follow Up"/>
    <m/>
    <s v=""/>
    <s v="Starter"/>
    <s v="March"/>
    <s v="Q1"/>
  </r>
  <r>
    <s v="EOS1480"/>
    <d v="2026-03-20T00:00:00"/>
    <s v="FB"/>
    <s v="Prince vaitha"/>
    <s v="Godhra"/>
    <x v="0"/>
    <s v="Follow up "/>
    <n v="130000"/>
    <n v="1071479"/>
    <s v="Follow up"/>
    <s v="Follow Up"/>
    <m/>
    <s v=""/>
    <s v="Starter"/>
    <s v="March"/>
    <s v="Q1"/>
  </r>
  <r>
    <s v="EOS1481"/>
    <d v="2026-03-20T00:00:00"/>
    <s v="FB"/>
    <s v="Panchal Siddharth"/>
    <s v="Gandhidham"/>
    <x v="0"/>
    <s v="Follow up "/>
    <n v="130000"/>
    <n v="1071480"/>
    <s v="Follow up"/>
    <s v="Follow Up"/>
    <m/>
    <s v=""/>
    <s v="Starter"/>
    <s v="March"/>
    <s v="Q1"/>
  </r>
  <r>
    <s v="EOS1482"/>
    <d v="2026-03-20T00:00:00"/>
    <s v="FB"/>
    <s v="Bipin"/>
    <s v="Navsari"/>
    <x v="0"/>
    <s v="Follow up "/>
    <n v="108000"/>
    <n v="1071481"/>
    <s v="Follow up"/>
    <s v="Follow Up"/>
    <m/>
    <s v=""/>
    <s v="Starter"/>
    <s v="March"/>
    <s v="Q1"/>
  </r>
  <r>
    <s v="EOS1483"/>
    <d v="2026-03-20T00:00:00"/>
    <s v="FB"/>
    <s v="Piyush Chauhan"/>
    <s v="Amreli"/>
    <x v="0"/>
    <s v="Follow up "/>
    <n v="130000"/>
    <n v="1071482"/>
    <s v="Follow up"/>
    <s v="Follow Up"/>
    <m/>
    <s v=""/>
    <s v="Starter"/>
    <s v="March"/>
    <s v="Q1"/>
  </r>
  <r>
    <s v="EOS1484"/>
    <d v="2026-03-20T00:00:00"/>
    <s v="FB"/>
    <s v="Vivek Borsaniya"/>
    <s v="Rajkot"/>
    <x v="0"/>
    <s v="Follow up "/>
    <n v="108000"/>
    <n v="1071483"/>
    <s v="Follow up"/>
    <s v="Follow Up"/>
    <m/>
    <s v=""/>
    <s v="Starter"/>
    <s v="March"/>
    <s v="Q1"/>
  </r>
  <r>
    <s v="EOS1485"/>
    <d v="2026-03-20T00:00:00"/>
    <s v="FB"/>
    <s v="Nikhil"/>
    <s v="Rajkot"/>
    <x v="0"/>
    <s v="Follow up "/>
    <n v="130000"/>
    <n v="1071484"/>
    <s v="Follow up"/>
    <s v="Follow Up"/>
    <m/>
    <s v=""/>
    <s v="Starter"/>
    <s v="March"/>
    <s v="Q1"/>
  </r>
  <r>
    <s v="EOS1486"/>
    <d v="2026-03-21T00:00:00"/>
    <s v="FB"/>
    <s v="Alkesh Suba"/>
    <s v="Jetpur"/>
    <x v="0"/>
    <s v="Follow up "/>
    <n v="177000"/>
    <n v="1071485"/>
    <s v="Follow up"/>
    <s v="Follow Up"/>
    <m/>
    <s v=""/>
    <s v="Growth"/>
    <s v="March"/>
    <s v="Q1"/>
  </r>
  <r>
    <s v="EOS1487"/>
    <d v="2026-03-21T00:00:00"/>
    <s v="FB"/>
    <s v="Kanji Tilavat"/>
    <m/>
    <x v="0"/>
    <s v="Follow up "/>
    <n v="130000"/>
    <n v="1071486"/>
    <s v="Follow up"/>
    <s v="Follow Up"/>
    <m/>
    <s v=""/>
    <s v="Starter"/>
    <s v="March"/>
    <s v="Q1"/>
  </r>
  <r>
    <s v="EOS1488"/>
    <d v="2026-03-21T00:00:00"/>
    <s v="FB"/>
    <s v="Pran Singh Pa"/>
    <s v="Vishnagar "/>
    <x v="0"/>
    <s v="Deal "/>
    <n v="108000"/>
    <n v="1071487"/>
    <s v="Deal Done"/>
    <s v="Converted"/>
    <d v="2026-04-01T00:00:00"/>
    <n v="11"/>
    <s v="Starter"/>
    <s v="March"/>
    <s v="Q1"/>
  </r>
  <r>
    <s v="EOS1489"/>
    <d v="2026-03-21T00:00:00"/>
    <s v="FB "/>
    <s v="Dev Patel "/>
    <s v="Botad"/>
    <x v="0"/>
    <s v="Rejected"/>
    <n v="130000"/>
    <n v="1071488"/>
    <s v="Rejected"/>
    <s v="Rejected"/>
    <m/>
    <s v=""/>
    <s v="Starter"/>
    <s v="March"/>
    <s v="Q1"/>
  </r>
  <r>
    <s v="EOS1490"/>
    <d v="2026-03-23T00:00:00"/>
    <s v="FB"/>
    <s v="Afjal Minapars"/>
    <s v="Vadodara"/>
    <x v="0"/>
    <s v="Follow up "/>
    <n v="108000"/>
    <n v="1071489"/>
    <s v="Follow up"/>
    <s v="Follow Up"/>
    <m/>
    <s v=""/>
    <s v="Starter"/>
    <s v="March"/>
    <s v="Q1"/>
  </r>
  <r>
    <s v="EOS1491"/>
    <d v="2026-03-23T00:00:00"/>
    <s v="FB"/>
    <s v="Sunil Patel"/>
    <s v="Ahmedabad"/>
    <x v="0"/>
    <s v="Follow up "/>
    <n v="108000"/>
    <n v="1071490"/>
    <s v="Follow up"/>
    <s v="Follow Up"/>
    <m/>
    <s v=""/>
    <s v="Starter"/>
    <s v="March"/>
    <s v="Q1"/>
  </r>
  <r>
    <s v="EOS1492"/>
    <d v="2026-03-23T00:00:00"/>
    <s v="FB"/>
    <s v="Hiren Koshti"/>
    <s v="Surat"/>
    <x v="0"/>
    <s v="Follow up "/>
    <n v="130000"/>
    <n v="1071491"/>
    <s v="Follow up"/>
    <s v="Follow Up"/>
    <m/>
    <s v=""/>
    <s v="Starter"/>
    <s v="March"/>
    <s v="Q1"/>
  </r>
  <r>
    <s v="EOS1493"/>
    <d v="2026-03-23T00:00:00"/>
    <s v="FB"/>
    <s v="Rashtrapal Vankhede"/>
    <s v="Dabhoi"/>
    <x v="0"/>
    <s v="Follow up "/>
    <n v="108000"/>
    <n v="1071492"/>
    <s v="Follow up"/>
    <s v="Follow Up"/>
    <m/>
    <s v=""/>
    <s v="Starter"/>
    <s v="March"/>
    <s v="Q1"/>
  </r>
  <r>
    <s v="EOS1494"/>
    <d v="2026-03-23T00:00:00"/>
    <s v="FB"/>
    <s v="Mansuri Sohil"/>
    <s v="mahuava"/>
    <x v="0"/>
    <s v="Follow up "/>
    <n v="108000"/>
    <n v="1071493"/>
    <s v="Follow up"/>
    <s v="Follow Up"/>
    <m/>
    <s v=""/>
    <s v="Starter"/>
    <s v="March"/>
    <s v="Q1"/>
  </r>
  <r>
    <s v="EOS1495"/>
    <d v="2026-03-23T00:00:00"/>
    <s v="FB"/>
    <s v="Idris Shahidbhai Saiyad"/>
    <s v="Ahmedabad"/>
    <x v="0"/>
    <s v="Follow up "/>
    <n v="130000"/>
    <n v="1071494"/>
    <s v="Follow up"/>
    <s v="Follow Up"/>
    <m/>
    <s v=""/>
    <s v="Starter"/>
    <s v="March"/>
    <s v="Q1"/>
  </r>
  <r>
    <s v="EOS1496"/>
    <d v="2026-03-24T00:00:00"/>
    <s v="FB"/>
    <s v="Sanjay thakor"/>
    <s v="Rajkot"/>
    <x v="0"/>
    <s v="Follow up "/>
    <n v="130000"/>
    <n v="1071495"/>
    <s v="Follow up"/>
    <s v="Follow Up"/>
    <m/>
    <s v=""/>
    <s v="Starter"/>
    <s v="March"/>
    <s v="Q1"/>
  </r>
  <r>
    <s v="EOS1497"/>
    <d v="2026-03-24T00:00:00"/>
    <s v="FB"/>
    <s v="Dhaval gohel"/>
    <s v="Sitapur"/>
    <x v="1"/>
    <s v="Follow up "/>
    <n v="108000"/>
    <n v="1071496"/>
    <s v="Follow up"/>
    <s v="Follow Up"/>
    <m/>
    <s v=""/>
    <s v="Starter"/>
    <s v="March"/>
    <s v="Q1"/>
  </r>
  <r>
    <s v="EOS1498"/>
    <d v="2026-03-24T00:00:00"/>
    <s v="FB"/>
    <s v="Mo Irfan Riyaj"/>
    <m/>
    <x v="1"/>
    <s v="Follow up "/>
    <n v="108000"/>
    <n v="1071497"/>
    <s v="Follow up"/>
    <s v="Follow Up"/>
    <m/>
    <s v=""/>
    <s v="Starter"/>
    <s v="March"/>
    <s v="Q1"/>
  </r>
  <r>
    <s v="EOS1499"/>
    <d v="2026-03-24T00:00:00"/>
    <s v="FB"/>
    <s v="Ramendra singh"/>
    <s v="Morbi"/>
    <x v="0"/>
    <s v="Follow up "/>
    <n v="130000"/>
    <n v="1071498"/>
    <s v="Follow up"/>
    <s v="Follow Up"/>
    <m/>
    <s v=""/>
    <s v="Starter"/>
    <s v="March"/>
    <s v="Q1"/>
  </r>
  <r>
    <s v="EOS1500"/>
    <d v="2026-03-24T00:00:00"/>
    <s v="FB"/>
    <s v=" Daud Chaniya"/>
    <s v="Ahmedabad"/>
    <x v="0"/>
    <s v="Follow up "/>
    <n v="108000"/>
    <n v="1071499"/>
    <s v="Follow up"/>
    <s v="Follow Up"/>
    <m/>
    <s v=""/>
    <s v="Starter"/>
    <s v="March"/>
    <s v="Q1"/>
  </r>
  <r>
    <s v="EOS1501"/>
    <d v="2026-03-24T00:00:00"/>
    <s v="FB"/>
    <s v="Mahesh bhai"/>
    <s v="Varanasi"/>
    <x v="1"/>
    <s v="Follow up "/>
    <n v="108000"/>
    <n v="1071500"/>
    <s v="Follow up"/>
    <s v="Follow Up"/>
    <m/>
    <s v=""/>
    <s v="Starter"/>
    <s v="March"/>
    <s v="Q1"/>
  </r>
  <r>
    <s v="EOS1502"/>
    <d v="2026-03-24T00:00:00"/>
    <s v="FB"/>
    <s v="Aniketsoni"/>
    <s v="jaso"/>
    <x v="4"/>
    <s v="Follow up "/>
    <n v="130000"/>
    <n v="1071501"/>
    <s v="Follow up"/>
    <s v="Follow Up"/>
    <m/>
    <s v=""/>
    <s v="Starter"/>
    <s v="March"/>
    <s v="Q1"/>
  </r>
  <r>
    <s v="EOS1503"/>
    <d v="2026-03-24T00:00:00"/>
    <s v="FB"/>
    <s v="Rohit Singh Parihar"/>
    <m/>
    <x v="13"/>
    <s v="Follow up "/>
    <n v="130000"/>
    <n v="1071502"/>
    <s v="Follow up"/>
    <s v="Follow Up"/>
    <m/>
    <s v=""/>
    <s v="Starter"/>
    <s v="March"/>
    <s v="Q1"/>
  </r>
  <r>
    <s v="EOS1504"/>
    <d v="2026-03-24T00:00:00"/>
    <s v="FB"/>
    <s v="CHANDEGARA HARSH A"/>
    <s v=" Bhavnagar"/>
    <x v="14"/>
    <s v="Follow up "/>
    <n v="108000"/>
    <n v="1071503"/>
    <s v="Follow up"/>
    <s v="Follow Up"/>
    <m/>
    <s v=""/>
    <s v="Starter"/>
    <s v="March"/>
    <s v="Q1"/>
  </r>
  <r>
    <s v="EOS1505"/>
    <d v="2025-10-22T00:00:00"/>
    <s v="FB"/>
    <s v="Nirav ratnottar"/>
    <s v="Bhuj"/>
    <x v="0"/>
    <m/>
    <n v="108000"/>
    <n v="1071504"/>
    <s v=""/>
    <s v="Not Found"/>
    <m/>
    <s v=""/>
    <s v="Starter"/>
    <s v="October"/>
    <s v="Q4"/>
  </r>
  <r>
    <s v="EOS1506"/>
    <d v="2026-04-01T00:00:00"/>
    <s v="FB"/>
    <s v="Madhavi Bhatt"/>
    <s v="idar"/>
    <x v="0"/>
    <m/>
    <n v="108000"/>
    <n v="1071505"/>
    <s v=""/>
    <s v="Not Found"/>
    <m/>
    <s v=""/>
    <s v="Starter"/>
    <s v="April"/>
    <s v="Q2"/>
  </r>
  <r>
    <s v="EOS1507"/>
    <d v="2026-04-01T00:00:00"/>
    <s v="FB"/>
    <s v="divyapalsinh Bhupendrasinh rathod "/>
    <s v="Ahmedabad"/>
    <x v="0"/>
    <m/>
    <n v="108000"/>
    <n v="1071506"/>
    <s v=""/>
    <s v="Not Found"/>
    <m/>
    <s v=""/>
    <s v="Starter"/>
    <s v="April"/>
    <s v="Q2"/>
  </r>
  <r>
    <s v="EOS1508"/>
    <d v="2026-04-01T00:00:00"/>
    <s v="FB"/>
    <s v="Sunilgiri Goswami"/>
    <s v="vadodara "/>
    <x v="0"/>
    <m/>
    <n v="108000"/>
    <n v="1071507"/>
    <s v=""/>
    <s v="Not Found"/>
    <m/>
    <s v=""/>
    <s v="Starter"/>
    <s v="April"/>
    <s v="Q2"/>
  </r>
  <r>
    <s v="EOS1509"/>
    <d v="2026-04-01T00:00:00"/>
    <s v="FB"/>
    <s v="Vivek arunraop"/>
    <s v="Ahmedabad"/>
    <x v="0"/>
    <m/>
    <n v="108000"/>
    <n v="1071508"/>
    <s v=""/>
    <s v="Not Found"/>
    <m/>
    <s v=""/>
    <s v="Starter"/>
    <s v="April"/>
    <s v="Q2"/>
  </r>
  <r>
    <s v="EOS1510"/>
    <d v="2026-04-01T00:00:00"/>
    <s v="FB"/>
    <s v="krartik patel"/>
    <s v="Himatnagar"/>
    <x v="0"/>
    <m/>
    <n v="130000"/>
    <n v="1071509"/>
    <s v=""/>
    <s v="Not Found"/>
    <m/>
    <s v=""/>
    <s v="Starter"/>
    <s v="April"/>
    <s v="Q2"/>
  </r>
  <r>
    <s v="EOS1511"/>
    <d v="2026-04-01T00:00:00"/>
    <s v="FB"/>
    <s v="Darshan Doshi"/>
    <s v="Mainpuri"/>
    <x v="1"/>
    <m/>
    <n v="108000"/>
    <n v="1071510"/>
    <s v=""/>
    <s v="Not Found"/>
    <m/>
    <s v=""/>
    <s v="Starter"/>
    <s v="April"/>
    <s v="Q2"/>
  </r>
  <r>
    <s v="EOS1512"/>
    <d v="2026-04-01T00:00:00"/>
    <s v="FB"/>
    <s v="Gopal chauhan"/>
    <s v="Samastipur"/>
    <x v="7"/>
    <m/>
    <n v="130000"/>
    <n v="1071511"/>
    <s v=""/>
    <s v="Not Found"/>
    <m/>
    <s v=""/>
    <s v="Starter"/>
    <s v="April"/>
    <s v="Q2"/>
  </r>
  <r>
    <s v="EOS1513"/>
    <d v="2026-04-02T00:00:00"/>
    <s v="FB"/>
    <s v="Navin Singh"/>
    <s v="Rajkot "/>
    <x v="0"/>
    <m/>
    <n v="130000"/>
    <n v="1071512"/>
    <s v=""/>
    <s v="Not Found"/>
    <m/>
    <s v=""/>
    <s v="Starter"/>
    <s v="April"/>
    <s v="Q2"/>
  </r>
  <r>
    <s v="EOS1514"/>
    <d v="2026-04-02T00:00:00"/>
    <s v="FB"/>
    <s v="Akshay Patel "/>
    <s v="Surat"/>
    <x v="0"/>
    <m/>
    <n v="108000"/>
    <n v="1071513"/>
    <s v=""/>
    <s v="Not Found"/>
    <m/>
    <s v=""/>
    <s v="Starter"/>
    <s v="April"/>
    <s v="Q2"/>
  </r>
  <r>
    <s v="EOS1515"/>
    <d v="2026-04-02T00:00:00"/>
    <s v="FB"/>
    <s v="Mohammed memo"/>
    <s v="Surat"/>
    <x v="0"/>
    <m/>
    <n v="108000"/>
    <n v="1071514"/>
    <s v=""/>
    <s v="Not Found"/>
    <m/>
    <s v=""/>
    <s v="Starter"/>
    <s v="April"/>
    <s v="Q2"/>
  </r>
  <r>
    <s v="EOS1516"/>
    <d v="2026-04-02T00:00:00"/>
    <s v="FB"/>
    <s v="Raju Boliya"/>
    <s v="Botad"/>
    <x v="0"/>
    <m/>
    <n v="108000"/>
    <n v="1071515"/>
    <s v=""/>
    <s v="Not Found"/>
    <m/>
    <s v=""/>
    <s v="Starter"/>
    <s v="April"/>
    <s v="Q2"/>
  </r>
  <r>
    <s v="EOS1517"/>
    <d v="2026-04-02T00:00:00"/>
    <s v="FB"/>
    <s v="Arman "/>
    <s v="Junagadh"/>
    <x v="0"/>
    <m/>
    <n v="108000"/>
    <n v="1071516"/>
    <s v=""/>
    <s v="Not Found"/>
    <m/>
    <s v=""/>
    <s v="Starter"/>
    <s v="April"/>
    <s v="Q2"/>
  </r>
  <r>
    <s v="EOS1518"/>
    <d v="2026-04-02T00:00:00"/>
    <s v="FB"/>
    <s v="Jaydip Ram"/>
    <s v="Mangrol"/>
    <x v="0"/>
    <m/>
    <n v="108000"/>
    <n v="1071517"/>
    <s v=""/>
    <s v="Not Found"/>
    <m/>
    <s v=""/>
    <s v="Starter"/>
    <s v="April"/>
    <s v="Q2"/>
  </r>
  <r>
    <s v="EOS1519"/>
    <d v="2026-04-02T00:00:00"/>
    <s v="FB"/>
    <s v="Hamzu Shaikh "/>
    <s v="Visnagar"/>
    <x v="0"/>
    <m/>
    <n v="130000"/>
    <n v="1071518"/>
    <s v=""/>
    <s v="Not Found"/>
    <m/>
    <s v=""/>
    <s v="Starter"/>
    <s v="April"/>
    <s v="Q2"/>
  </r>
  <r>
    <s v="EOS1520"/>
    <d v="2026-04-02T00:00:00"/>
    <s v="FB"/>
    <s v="Chand Patel "/>
    <s v="Samana"/>
    <x v="15"/>
    <m/>
    <n v="108000"/>
    <n v="1071519"/>
    <s v=""/>
    <s v="Not Found"/>
    <m/>
    <s v=""/>
    <s v="Starter"/>
    <s v="April"/>
    <s v="Q2"/>
  </r>
  <r>
    <s v="EOS1521"/>
    <d v="2026-04-02T00:00:00"/>
    <s v="FB"/>
    <s v="Manav Garg"/>
    <s v="Etawah "/>
    <x v="1"/>
    <m/>
    <n v="177000"/>
    <n v="1071520"/>
    <s v=""/>
    <s v="Not Found"/>
    <m/>
    <s v=""/>
    <s v="Growth"/>
    <s v="April"/>
    <s v="Q2"/>
  </r>
  <r>
    <s v="EOS1522"/>
    <d v="2026-04-02T00:00:00"/>
    <s v="FB"/>
    <s v="Jeetu Yadav "/>
    <m/>
    <x v="5"/>
    <m/>
    <n v="130000"/>
    <n v="1071521"/>
    <s v=""/>
    <s v="Not Found"/>
    <m/>
    <s v=""/>
    <s v="Starter"/>
    <s v="April"/>
    <s v="Q2"/>
  </r>
  <r>
    <s v="EOS1523"/>
    <d v="2026-04-02T00:00:00"/>
    <s v="WA"/>
    <s v="Vidya Shinde "/>
    <s v="Surendranagar"/>
    <x v="0"/>
    <m/>
    <n v="108000"/>
    <n v="1071522"/>
    <s v=""/>
    <s v="Not Found"/>
    <m/>
    <s v=""/>
    <s v="Starter"/>
    <s v="April"/>
    <s v="Q2"/>
  </r>
  <r>
    <s v="EOS1524"/>
    <d v="2026-04-02T00:00:00"/>
    <s v="FB"/>
    <s v=" Mr Bharvad"/>
    <s v="Surat"/>
    <x v="0"/>
    <m/>
    <n v="308000"/>
    <n v="1071523"/>
    <s v=""/>
    <s v="Not Found"/>
    <m/>
    <s v=""/>
    <s v="Premium"/>
    <s v="April"/>
    <s v="Q2"/>
  </r>
  <r>
    <s v="EOS1525"/>
    <d v="2026-04-02T00:00:00"/>
    <s v="FB"/>
    <s v="Bhagirath Talaviya"/>
    <s v="Vadodara"/>
    <x v="0"/>
    <m/>
    <n v="108000"/>
    <n v="1071524"/>
    <s v=""/>
    <s v="Not Found"/>
    <m/>
    <s v=""/>
    <s v="Starter"/>
    <s v="April"/>
    <s v="Q2"/>
  </r>
  <r>
    <s v="EOS1526"/>
    <d v="2026-04-03T00:00:00"/>
    <s v="FB"/>
    <s v="Aabid Bhai"/>
    <s v="visanagar"/>
    <x v="0"/>
    <m/>
    <n v="308000"/>
    <n v="1071525"/>
    <s v=""/>
    <s v="Not Found"/>
    <m/>
    <s v=""/>
    <s v="Premium"/>
    <s v="April"/>
    <s v="Q2"/>
  </r>
  <r>
    <s v="EOS1527"/>
    <d v="2026-04-03T00:00:00"/>
    <s v="FB"/>
    <s v="Chaudhari Dhaval "/>
    <s v="siddhpur"/>
    <x v="0"/>
    <m/>
    <n v="108000"/>
    <n v="1071526"/>
    <s v=""/>
    <s v="Not Found"/>
    <m/>
    <s v=""/>
    <s v="Starter"/>
    <s v="April"/>
    <s v="Q2"/>
  </r>
  <r>
    <s v="EOS1528"/>
    <d v="2026-04-04T00:00:00"/>
    <s v="FB"/>
    <s v="moghaji thakor "/>
    <s v="Rajkot"/>
    <x v="0"/>
    <m/>
    <n v="108000"/>
    <n v="1071527"/>
    <s v=""/>
    <s v="Not Found"/>
    <m/>
    <s v=""/>
    <s v="Starter"/>
    <s v="April"/>
    <s v="Q2"/>
  </r>
  <r>
    <s v="EOS1529"/>
    <d v="2026-04-04T00:00:00"/>
    <s v="FB"/>
    <s v="Vihan "/>
    <s v="Kalol "/>
    <x v="0"/>
    <m/>
    <n v="108000"/>
    <n v="1071528"/>
    <s v=""/>
    <s v="Not Found"/>
    <m/>
    <s v=""/>
    <s v="Starter"/>
    <s v="April"/>
    <s v="Q2"/>
  </r>
  <r>
    <s v="EOS1530"/>
    <d v="2026-04-04T00:00:00"/>
    <s v="FB"/>
    <s v="Aadi "/>
    <s v="Vadodara"/>
    <x v="0"/>
    <m/>
    <n v="130000"/>
    <n v="1071529"/>
    <s v=""/>
    <s v="Not Found"/>
    <m/>
    <s v=""/>
    <s v="Starter"/>
    <s v="April"/>
    <s v="Q2"/>
  </r>
  <r>
    <s v="EOS1531"/>
    <d v="2026-04-04T00:00:00"/>
    <s v="FB"/>
    <s v="Bharatbhai zaverbhai rohit "/>
    <s v="Gandhidham"/>
    <x v="0"/>
    <m/>
    <n v="130000"/>
    <n v="1071530"/>
    <s v=""/>
    <s v="Not Found"/>
    <m/>
    <s v=""/>
    <s v="Starter"/>
    <s v="April"/>
    <s v="Q2"/>
  </r>
  <r>
    <s v="EOS1532"/>
    <d v="2026-04-04T00:00:00"/>
    <s v="FB"/>
    <s v="Ranjit Shih Bapu "/>
    <s v="rohtak"/>
    <x v="21"/>
    <m/>
    <n v="177000"/>
    <n v="1071531"/>
    <s v=""/>
    <s v="Not Found"/>
    <m/>
    <s v=""/>
    <s v="Growth"/>
    <s v="April"/>
    <s v="Q2"/>
  </r>
  <r>
    <s v="EOS1533"/>
    <d v="2026-04-04T00:00:00"/>
    <s v="FB"/>
    <s v="Kavita Sharma"/>
    <s v="Safidon"/>
    <x v="21"/>
    <m/>
    <n v="108000"/>
    <n v="1071532"/>
    <s v=""/>
    <s v="Not Found"/>
    <m/>
    <s v=""/>
    <s v="Starter"/>
    <s v="April"/>
    <s v="Q2"/>
  </r>
  <r>
    <s v="EOS1534"/>
    <d v="2026-04-04T00:00:00"/>
    <s v="FB"/>
    <s v="Mohit "/>
    <s v="Indore"/>
    <x v="4"/>
    <m/>
    <n v="130000"/>
    <n v="1071533"/>
    <s v=""/>
    <s v="Not Found"/>
    <m/>
    <s v=""/>
    <s v="Starter"/>
    <s v="April"/>
    <s v="Q2"/>
  </r>
  <r>
    <s v="EOS1535"/>
    <d v="2026-04-04T00:00:00"/>
    <s v="FB"/>
    <s v="Ankit Pal"/>
    <s v="Indore"/>
    <x v="4"/>
    <m/>
    <n v="130000"/>
    <n v="1071534"/>
    <s v=""/>
    <s v="Not Found"/>
    <m/>
    <s v=""/>
    <s v="Starter"/>
    <s v="April"/>
    <s v="Q2"/>
  </r>
  <r>
    <s v="EOS1536"/>
    <d v="2026-04-04T00:00:00"/>
    <s v="FB"/>
    <s v="Shalendra Rathore"/>
    <m/>
    <x v="0"/>
    <m/>
    <n v="177000"/>
    <n v="1071535"/>
    <s v=""/>
    <s v="Not Found"/>
    <m/>
    <s v=""/>
    <s v="Growth"/>
    <s v="April"/>
    <s v="Q2"/>
  </r>
  <r>
    <s v="EOS1537"/>
    <d v="2026-04-06T00:00:00"/>
    <s v="FB"/>
    <s v="DIVYESH NATHA"/>
    <m/>
    <x v="0"/>
    <m/>
    <n v="108000"/>
    <n v="1071536"/>
    <s v=""/>
    <s v="Not Found"/>
    <m/>
    <s v=""/>
    <s v="Starter"/>
    <s v="April"/>
    <s v="Q2"/>
  </r>
  <r>
    <s v="EOS1538"/>
    <d v="2026-04-06T00:00:00"/>
    <s v="FB"/>
    <s v="Devesh solanki "/>
    <s v="Wankaner"/>
    <x v="0"/>
    <m/>
    <n v="130000"/>
    <n v="1071537"/>
    <s v=""/>
    <s v="Not Found"/>
    <m/>
    <s v=""/>
    <s v="Starter"/>
    <s v="April"/>
    <s v="Q2"/>
  </r>
  <r>
    <s v="EOS1539"/>
    <d v="2026-04-06T00:00:00"/>
    <s v="FB"/>
    <s v="Alam bhai "/>
    <s v="Surendranagar"/>
    <x v="0"/>
    <m/>
    <n v="108000"/>
    <n v="1071538"/>
    <s v=""/>
    <s v="Not Found"/>
    <m/>
    <s v=""/>
    <s v="Starter"/>
    <s v="April"/>
    <s v="Q2"/>
  </r>
  <r>
    <s v="EOS1540"/>
    <d v="2026-04-06T00:00:00"/>
    <s v="FB"/>
    <s v="smit Madhar"/>
    <s v="Ahmedabad"/>
    <x v="0"/>
    <m/>
    <n v="130000"/>
    <n v="1071539"/>
    <s v=""/>
    <s v="Not Found"/>
    <m/>
    <s v=""/>
    <s v="Starter"/>
    <s v="April"/>
    <s v="Q2"/>
  </r>
  <r>
    <s v="EOS1541"/>
    <d v="2026-04-06T00:00:00"/>
    <s v="FB"/>
    <s v="Parth Borad"/>
    <m/>
    <x v="0"/>
    <m/>
    <n v="130000"/>
    <n v="1071540"/>
    <s v=""/>
    <s v="Not Found"/>
    <m/>
    <s v=""/>
    <s v="Starter"/>
    <s v="April"/>
    <s v="Q2"/>
  </r>
  <r>
    <s v="EOS1542"/>
    <d v="2026-04-06T00:00:00"/>
    <s v="FB"/>
    <s v="Somnth  Patil"/>
    <s v="Vadodara"/>
    <x v="0"/>
    <m/>
    <n v="108000"/>
    <n v="1071541"/>
    <s v=""/>
    <s v="Not Found"/>
    <m/>
    <s v=""/>
    <s v="Starter"/>
    <s v="April"/>
    <s v="Q2"/>
  </r>
  <r>
    <s v="EOS1543"/>
    <d v="2026-04-06T00:00:00"/>
    <s v="FB"/>
    <s v="Shishupal Singh Chauhan Jhab"/>
    <s v="Ahmedabad"/>
    <x v="0"/>
    <m/>
    <n v="108000"/>
    <n v="1071542"/>
    <s v=""/>
    <s v="Not Found"/>
    <m/>
    <s v=""/>
    <s v="Starter"/>
    <s v="April"/>
    <s v="Q2"/>
  </r>
  <r>
    <s v="EOS1544"/>
    <d v="2026-04-06T00:00:00"/>
    <s v="FB"/>
    <s v="Sanny S Patel"/>
    <s v="Khambhalia"/>
    <x v="0"/>
    <m/>
    <n v="108000"/>
    <n v="1071543"/>
    <s v=""/>
    <s v="Not Found"/>
    <m/>
    <s v=""/>
    <s v="Starter"/>
    <s v="April"/>
    <s v="Q2"/>
  </r>
  <r>
    <s v="EOS1545"/>
    <d v="2026-04-06T00:00:00"/>
    <s v="FB"/>
    <s v="Divyesh Modi"/>
    <s v="Bilkha"/>
    <x v="0"/>
    <m/>
    <n v="130000"/>
    <n v="1071544"/>
    <s v=""/>
    <s v="Not Found"/>
    <m/>
    <s v=""/>
    <s v="Starter"/>
    <s v="April"/>
    <s v="Q2"/>
  </r>
  <r>
    <s v="EOS1546"/>
    <d v="2026-04-06T00:00:00"/>
    <s v="FB"/>
    <s v="Wishal Virani"/>
    <s v="Ahmedabad"/>
    <x v="0"/>
    <m/>
    <n v="130000"/>
    <n v="1071545"/>
    <s v=""/>
    <s v="Not Found"/>
    <m/>
    <s v=""/>
    <s v="Starter"/>
    <s v="April"/>
    <s v="Q2"/>
  </r>
  <r>
    <s v="EOS1547"/>
    <d v="2026-04-06T00:00:00"/>
    <s v="FB"/>
    <s v="Anand Bhatt Ahmedabad"/>
    <s v="RANAVAV"/>
    <x v="0"/>
    <m/>
    <n v="130000"/>
    <n v="1071546"/>
    <s v=""/>
    <s v="Not Found"/>
    <m/>
    <s v=""/>
    <s v="Starter"/>
    <s v="April"/>
    <s v="Q2"/>
  </r>
  <r>
    <s v="EOS1548"/>
    <d v="2026-04-06T00:00:00"/>
    <s v="FB"/>
    <s v="dashrathsinh Makwana"/>
    <s v="Derdi khumbhajii"/>
    <x v="0"/>
    <m/>
    <n v="108000"/>
    <n v="1071547"/>
    <s v=""/>
    <s v="Not Found"/>
    <m/>
    <s v=""/>
    <s v="Starter"/>
    <s v="April"/>
    <s v="Q2"/>
  </r>
  <r>
    <s v="EOS1549"/>
    <d v="2026-04-06T00:00:00"/>
    <s v="FB"/>
    <s v="Bhaumik"/>
    <s v="Bhabhar"/>
    <x v="0"/>
    <m/>
    <n v="108000"/>
    <n v="1071548"/>
    <s v=""/>
    <s v="Not Found"/>
    <m/>
    <s v=""/>
    <s v="Starter"/>
    <s v="April"/>
    <s v="Q2"/>
  </r>
  <r>
    <s v="EOS1550"/>
    <d v="2026-04-06T00:00:00"/>
    <s v="FB"/>
    <s v="M R Chaudhary"/>
    <s v="Kapadawanj"/>
    <x v="0"/>
    <m/>
    <n v="108000"/>
    <n v="1071549"/>
    <s v=""/>
    <s v="Not Found"/>
    <m/>
    <s v=""/>
    <s v="Starter"/>
    <s v="April"/>
    <s v="Q2"/>
  </r>
  <r>
    <s v="EOS1551"/>
    <d v="2026-04-07T00:00:00"/>
    <s v="FB"/>
    <s v="Ayan Saiyad"/>
    <s v="Ghazipur"/>
    <x v="1"/>
    <m/>
    <n v="177000"/>
    <n v="1071550"/>
    <s v=""/>
    <s v="Not Found"/>
    <m/>
    <s v=""/>
    <s v="Growth"/>
    <s v="April"/>
    <s v="Q2"/>
  </r>
  <r>
    <s v="EOS1552"/>
    <d v="2026-04-07T00:00:00"/>
    <s v="FB"/>
    <s v="Sushil Kumar Gupta"/>
    <s v="Ballia"/>
    <x v="1"/>
    <m/>
    <n v="177000"/>
    <n v="1071551"/>
    <s v=""/>
    <s v="Not Found"/>
    <m/>
    <s v=""/>
    <s v="Growth"/>
    <s v="April"/>
    <s v="Q2"/>
  </r>
  <r>
    <s v="EOS1553"/>
    <d v="2026-04-07T00:00:00"/>
    <s v="FB"/>
    <s v="Amit Prajapati"/>
    <s v="Khambhalia"/>
    <x v="0"/>
    <m/>
    <n v="130000"/>
    <n v="1071552"/>
    <s v=""/>
    <s v="Not Found"/>
    <m/>
    <s v=""/>
    <s v="Starter"/>
    <s v="April"/>
    <s v="Q2"/>
  </r>
  <r>
    <s v="EOS1554"/>
    <d v="2026-04-07T00:00:00"/>
    <s v="FB"/>
    <s v="Divyesh Modi"/>
    <s v="Bilkha"/>
    <x v="0"/>
    <m/>
    <n v="130000"/>
    <n v="1071553"/>
    <s v=""/>
    <s v="Not Found"/>
    <m/>
    <s v=""/>
    <s v="Starter"/>
    <s v="April"/>
    <s v="Q2"/>
  </r>
  <r>
    <s v="EOS1555"/>
    <d v="2026-04-08T00:00:00"/>
    <s v="FB"/>
    <s v="Wishal Virani"/>
    <s v="Ahmedabad"/>
    <x v="0"/>
    <m/>
    <n v="130000"/>
    <n v="1071554"/>
    <s v=""/>
    <s v="Not Found"/>
    <m/>
    <s v=""/>
    <s v="Starter"/>
    <s v="April"/>
    <s v="Q2"/>
  </r>
  <r>
    <s v="EOS1556"/>
    <d v="2026-04-08T00:00:00"/>
    <s v="FB"/>
    <s v="Anand Bhatt Ahmedabad"/>
    <s v="RANAVAV"/>
    <x v="0"/>
    <m/>
    <n v="108000"/>
    <n v="1071555"/>
    <s v=""/>
    <s v="Not Found"/>
    <m/>
    <s v=""/>
    <s v="Starter"/>
    <s v="April"/>
    <s v="Q2"/>
  </r>
  <r>
    <s v="EOS1557"/>
    <d v="2026-04-08T00:00:00"/>
    <s v="FB"/>
    <s v="dashrathsinh Makwana"/>
    <s v="Derdi khumbhajii"/>
    <x v="0"/>
    <m/>
    <n v="130000"/>
    <n v="1071556"/>
    <s v=""/>
    <s v="Not Found"/>
    <m/>
    <s v=""/>
    <s v="Starter"/>
    <s v="April"/>
    <s v="Q2"/>
  </r>
  <r>
    <s v="EOS1558"/>
    <d v="2026-04-08T00:00:00"/>
    <s v="FB"/>
    <s v="Bhaumik"/>
    <s v="Bhabhar"/>
    <x v="0"/>
    <m/>
    <n v="130000"/>
    <n v="1071557"/>
    <s v=""/>
    <s v="Not Found"/>
    <m/>
    <s v=""/>
    <s v="Starter"/>
    <s v="April"/>
    <s v="Q2"/>
  </r>
  <r>
    <s v="EOS1559"/>
    <d v="2026-04-09T00:00:00"/>
    <s v="FB"/>
    <s v="M R Chaudhary"/>
    <s v="Kapadawanj"/>
    <x v="0"/>
    <m/>
    <n v="130000"/>
    <n v="1071558"/>
    <s v=""/>
    <s v="Not Found"/>
    <m/>
    <s v=""/>
    <s v="Starter"/>
    <s v="April"/>
    <s v="Q2"/>
  </r>
  <r>
    <s v="EOS1560"/>
    <d v="2026-04-10T00:00:00"/>
    <s v="FB"/>
    <s v="Ayan Saiyad"/>
    <s v="Ghazipur"/>
    <x v="1"/>
    <m/>
    <n v="108000"/>
    <n v="1071559"/>
    <s v=""/>
    <s v="Not Found"/>
    <m/>
    <s v=""/>
    <s v="Starter"/>
    <s v="April"/>
    <s v="Q2"/>
  </r>
  <r>
    <s v="EOS1561"/>
    <d v="2026-04-10T00:00:00"/>
    <s v="FB"/>
    <s v="Sushil Kumar Gupta"/>
    <s v="Ballia"/>
    <x v="1"/>
    <m/>
    <n v="108000"/>
    <n v="1071560"/>
    <s v=""/>
    <s v="Not Found"/>
    <m/>
    <s v=""/>
    <s v="Starter"/>
    <s v="April"/>
    <s v="Q2"/>
  </r>
  <r>
    <s v="EOS1562"/>
    <d v="2026-04-10T00:00:00"/>
    <s v="FB"/>
    <s v="Amit Prajapati"/>
    <s v="Nadiad"/>
    <x v="0"/>
    <m/>
    <n v="108000"/>
    <n v="1071561"/>
    <s v=""/>
    <s v="Not Found"/>
    <m/>
    <s v=""/>
    <s v="Starter"/>
    <s v="April"/>
    <s v="Q2"/>
  </r>
  <r>
    <s v="EOS1563"/>
    <d v="2026-04-10T00:00:00"/>
    <s v="FB"/>
    <s v="Arpan Kansara"/>
    <s v="Ahmedabad"/>
    <x v="0"/>
    <m/>
    <n v="108000"/>
    <n v="1071562"/>
    <s v=""/>
    <s v="Not Found"/>
    <m/>
    <s v=""/>
    <s v="Starter"/>
    <s v="April"/>
    <s v="Q2"/>
  </r>
  <r>
    <s v="EOS1564"/>
    <d v="2026-04-10T00:00:00"/>
    <s v="FB"/>
    <s v="Gupta Akhilesh"/>
    <s v="Ahmedabad"/>
    <x v="0"/>
    <m/>
    <n v="130000"/>
    <n v="1071563"/>
    <s v=""/>
    <s v="Not Found"/>
    <m/>
    <s v=""/>
    <s v="Starter"/>
    <s v="April"/>
    <s v="Q2"/>
  </r>
  <r>
    <s v="EOS1565"/>
    <d v="2026-04-10T00:00:00"/>
    <s v="FB"/>
    <s v="Ammar saiyed"/>
    <s v="NA"/>
    <x v="0"/>
    <m/>
    <n v="130000"/>
    <n v="1071564"/>
    <s v=""/>
    <s v="Not Found"/>
    <m/>
    <s v=""/>
    <s v="Starter"/>
    <s v="April"/>
    <s v="Q2"/>
  </r>
  <r>
    <s v="EOS1566"/>
    <d v="2026-04-11T00:00:00"/>
    <s v="FB"/>
    <s v="Ankit Patel"/>
    <s v="Upleta"/>
    <x v="0"/>
    <m/>
    <n v="130000"/>
    <n v="1071565"/>
    <s v=""/>
    <s v="Not Found"/>
    <m/>
    <s v=""/>
    <s v="Starter"/>
    <s v="April"/>
    <s v="Q2"/>
  </r>
  <r>
    <s v="EOS1567"/>
    <d v="2026-04-11T00:00:00"/>
    <s v="FB"/>
    <s v="Haresh Ahir"/>
    <s v="Kim"/>
    <x v="0"/>
    <m/>
    <n v="108000"/>
    <n v="1071566"/>
    <s v=""/>
    <s v="Not Found"/>
    <m/>
    <s v=""/>
    <s v="Starter"/>
    <s v="April"/>
    <s v="Q2"/>
  </r>
  <r>
    <s v="EOS1568"/>
    <d v="2026-04-13T00:00:00"/>
    <s v="FB"/>
    <s v="Musef"/>
    <s v="Mathura"/>
    <x v="1"/>
    <m/>
    <n v="130000"/>
    <n v="1071567"/>
    <s v=""/>
    <s v="Not Found"/>
    <m/>
    <s v=""/>
    <s v="Starter"/>
    <s v="April"/>
    <s v="Q2"/>
  </r>
  <r>
    <s v="EOS1569"/>
    <d v="2026-04-13T00:00:00"/>
    <s v="FB"/>
    <s v="Pankaj Saraswat"/>
    <s v="NA"/>
    <x v="0"/>
    <m/>
    <n v="130000"/>
    <n v="1071568"/>
    <s v=""/>
    <s v="Not Found"/>
    <m/>
    <s v=""/>
    <s v="Starter"/>
    <s v="April"/>
    <s v="Q2"/>
  </r>
  <r>
    <s v="EOS1570"/>
    <d v="2026-04-13T00:00:00"/>
    <s v="FB"/>
    <s v="haresh"/>
    <s v="BerhaMadhya Pradeshur"/>
    <x v="12"/>
    <m/>
    <n v="177000"/>
    <n v="1071569"/>
    <s v=""/>
    <s v="Not Found"/>
    <m/>
    <s v=""/>
    <s v="Growth"/>
    <s v="April"/>
    <s v="Q2"/>
  </r>
  <r>
    <s v="EOS1571"/>
    <d v="2026-04-13T00:00:00"/>
    <s v="FB"/>
    <s v="Number@18"/>
    <s v="Ahmedabad"/>
    <x v="0"/>
    <m/>
    <n v="177000"/>
    <n v="1071570"/>
    <s v=""/>
    <s v="Not Found"/>
    <m/>
    <s v=""/>
    <s v="Growth"/>
    <s v="April"/>
    <s v="Q2"/>
  </r>
  <r>
    <s v="EOS1572"/>
    <d v="2026-04-13T00:00:00"/>
    <s v="FB"/>
    <s v="Pankaj mevada"/>
    <s v="BODELI"/>
    <x v="0"/>
    <m/>
    <n v="177000"/>
    <n v="1071571"/>
    <s v=""/>
    <s v="Not Found"/>
    <m/>
    <s v=""/>
    <s v="Growth"/>
    <s v="April"/>
    <s v="Q2"/>
  </r>
  <r>
    <s v="EOS1573"/>
    <d v="2026-04-13T00:00:00"/>
    <s v="FB"/>
    <s v="Jaya A Rathva"/>
    <s v="Gorakhpur"/>
    <x v="1"/>
    <m/>
    <n v="108000"/>
    <n v="1071572"/>
    <s v=""/>
    <s v="Not Found"/>
    <m/>
    <s v=""/>
    <s v="Starter"/>
    <s v="April"/>
    <s v="Q2"/>
  </r>
  <r>
    <s v="EOS1574"/>
    <d v="2026-04-13T00:00:00"/>
    <s v="FB"/>
    <s v="piyush"/>
    <s v="Kaptanganj kushinagar"/>
    <x v="1"/>
    <m/>
    <n v="130000"/>
    <n v="1071573"/>
    <s v=""/>
    <s v="Not Found"/>
    <m/>
    <s v=""/>
    <s v="Starter"/>
    <s v="April"/>
    <s v="Q2"/>
  </r>
  <r>
    <s v="EOS1575"/>
    <d v="2026-04-13T00:00:00"/>
    <s v="FB"/>
    <s v="Abhishek Shukla"/>
    <s v="NA"/>
    <x v="0"/>
    <m/>
    <n v="130000"/>
    <n v="1071574"/>
    <s v=""/>
    <s v="Not Found"/>
    <m/>
    <s v=""/>
    <s v="Starter"/>
    <s v="April"/>
    <s v="Q2"/>
  </r>
  <r>
    <s v="EOS1576"/>
    <d v="2026-04-14T00:00:00"/>
    <s v="FB"/>
    <s v="Jabbar"/>
    <s v="NA"/>
    <x v="0"/>
    <m/>
    <n v="108000"/>
    <n v="1071575"/>
    <s v=""/>
    <s v="Not Found"/>
    <m/>
    <s v=""/>
    <s v="Starter"/>
    <s v="April"/>
    <s v="Q2"/>
  </r>
  <r>
    <s v="EOS1577"/>
    <d v="2026-04-14T00:00:00"/>
    <s v="FB"/>
    <s v="Neha"/>
    <s v="Ahmedabad"/>
    <x v="0"/>
    <m/>
    <n v="130000"/>
    <n v="1071576"/>
    <s v=""/>
    <s v="Not Found"/>
    <m/>
    <s v=""/>
    <s v="Starter"/>
    <s v="April"/>
    <s v="Q2"/>
  </r>
  <r>
    <s v="EOS1578"/>
    <d v="2026-04-14T00:00:00"/>
    <s v="FB"/>
    <s v="Radhe Radhe"/>
    <s v="Jam Khmbhaliya Pin : no. 361306"/>
    <x v="0"/>
    <m/>
    <n v="177000"/>
    <n v="1071577"/>
    <s v=""/>
    <s v="Not Found"/>
    <m/>
    <s v=""/>
    <s v="Growth"/>
    <s v="April"/>
    <s v="Q2"/>
  </r>
  <r>
    <s v="EOS1579"/>
    <d v="2026-04-14T00:00:00"/>
    <s v="FB"/>
    <s v="Vishal Ahir"/>
    <s v="Ahmedabad"/>
    <x v="0"/>
    <m/>
    <n v="130000"/>
    <n v="1071578"/>
    <s v=""/>
    <s v="Not Found"/>
    <m/>
    <s v=""/>
    <s v="Starter"/>
    <s v="April"/>
    <s v="Q2"/>
  </r>
  <r>
    <s v="EOS1580"/>
    <d v="2026-04-14T00:00:00"/>
    <s v="FB"/>
    <s v="Kapila Kapu"/>
    <s v="Surat"/>
    <x v="0"/>
    <m/>
    <n v="130000"/>
    <n v="1071579"/>
    <s v=""/>
    <s v="Not Found"/>
    <m/>
    <s v=""/>
    <s v="Starter"/>
    <s v="April"/>
    <s v="Q2"/>
  </r>
  <r>
    <s v="EOS1581"/>
    <d v="2026-04-15T00:00:00"/>
    <s v="FB"/>
    <s v="hadiyabharatbhai"/>
    <s v="Ahmedabad"/>
    <x v="0"/>
    <m/>
    <n v="108000"/>
    <n v="1071580"/>
    <s v=""/>
    <s v="Not Found"/>
    <m/>
    <s v=""/>
    <s v="Starter"/>
    <s v="April"/>
    <s v="Q2"/>
  </r>
  <r>
    <s v="EOS1582"/>
    <d v="2026-04-15T00:00:00"/>
    <s v="FB"/>
    <s v="Patel Vishal"/>
    <s v="Palitana"/>
    <x v="0"/>
    <m/>
    <n v="108000"/>
    <n v="1071581"/>
    <s v=""/>
    <s v="Not Found"/>
    <m/>
    <s v=""/>
    <s v="Starter"/>
    <s v="April"/>
    <s v="Q2"/>
  </r>
  <r>
    <s v="EOS1583"/>
    <d v="2026-04-15T00:00:00"/>
    <s v="FB"/>
    <s v="Sameer Bilakhiya"/>
    <s v="Anand"/>
    <x v="0"/>
    <m/>
    <n v="130000"/>
    <n v="1071582"/>
    <s v=""/>
    <s v="Not Found"/>
    <m/>
    <s v=""/>
    <s v="Starter"/>
    <s v="April"/>
    <s v="Q2"/>
  </r>
  <r>
    <s v="EOS1584"/>
    <d v="2026-04-15T00:00:00"/>
    <s v="FB"/>
    <s v="Rahul Chauhan"/>
    <s v="Moti chanol"/>
    <x v="0"/>
    <m/>
    <n v="130000"/>
    <n v="1071583"/>
    <s v=""/>
    <s v="Not Found"/>
    <m/>
    <s v=""/>
    <s v="Starter"/>
    <s v="April"/>
    <s v="Q2"/>
  </r>
  <r>
    <s v="EOS1585"/>
    <d v="2026-04-15T00:00:00"/>
    <s v="FB"/>
    <s v="?????????????????? ????????????"/>
    <s v="kalol"/>
    <x v="0"/>
    <m/>
    <n v="108000"/>
    <n v="1071584"/>
    <s v=""/>
    <s v="Not Found"/>
    <m/>
    <s v=""/>
    <s v="Starter"/>
    <s v="April"/>
    <s v="Q2"/>
  </r>
  <r>
    <s v="EOS1586"/>
    <d v="2026-04-15T00:00:00"/>
    <s v="FB"/>
    <s v="Patel Nikunj A"/>
    <s v="Vadodara"/>
    <x v="0"/>
    <m/>
    <n v="108000"/>
    <n v="1071585"/>
    <s v=""/>
    <s v="Not Found"/>
    <m/>
    <s v=""/>
    <s v="Starter"/>
    <s v="April"/>
    <s v="Q2"/>
  </r>
  <r>
    <s v="EOS1587"/>
    <d v="2026-04-15T00:00:00"/>
    <s v="FB"/>
    <s v="Pranesh"/>
    <s v="Sirat"/>
    <x v="0"/>
    <m/>
    <n v="130000"/>
    <n v="1071586"/>
    <s v=""/>
    <s v="Not Found"/>
    <m/>
    <s v=""/>
    <s v="Starter"/>
    <s v="April"/>
    <s v="Q2"/>
  </r>
  <r>
    <s v="EOS1588"/>
    <d v="2026-04-15T00:00:00"/>
    <s v="FB"/>
    <s v="Deny Virani"/>
    <s v="Una"/>
    <x v="0"/>
    <m/>
    <n v="177000"/>
    <n v="1071587"/>
    <s v=""/>
    <s v="Not Found"/>
    <m/>
    <s v=""/>
    <s v="Growth"/>
    <s v="April"/>
    <s v="Q2"/>
  </r>
  <r>
    <s v="EOS1589"/>
    <d v="2026-04-16T00:00:00"/>
    <s v="FB"/>
    <s v="Divyesh Rabari"/>
    <s v="Wankaner"/>
    <x v="0"/>
    <m/>
    <n v="130000"/>
    <n v="1071588"/>
    <s v=""/>
    <s v="Not Found"/>
    <m/>
    <s v=""/>
    <s v="Starter"/>
    <s v="April"/>
    <s v="Q2"/>
  </r>
  <r>
    <s v="EOS1590"/>
    <d v="2026-04-16T00:00:00"/>
    <s v="FB"/>
    <s v="Shubh_724"/>
    <s v="Porbandar"/>
    <x v="0"/>
    <m/>
    <n v="177000"/>
    <n v="1071589"/>
    <s v=""/>
    <s v="Not Found"/>
    <m/>
    <s v=""/>
    <s v="Growth"/>
    <s v="April"/>
    <s v="Q2"/>
  </r>
  <r>
    <s v="EOS1591"/>
    <d v="2026-04-16T00:00:00"/>
    <s v="FB"/>
    <s v="Mr_Milan_Bapodara"/>
    <s v="Mangrol"/>
    <x v="0"/>
    <m/>
    <n v="177000"/>
    <n v="1071590"/>
    <s v=""/>
    <s v="Not Found"/>
    <m/>
    <s v=""/>
    <s v="Growth"/>
    <s v="April"/>
    <s v="Q2"/>
  </r>
  <r>
    <s v="EOS1592"/>
    <d v="2026-04-18T00:00:00"/>
    <s v="FB"/>
    <s v="Vijay Muchhal"/>
    <s v="Ahmedabad"/>
    <x v="0"/>
    <m/>
    <n v="130000"/>
    <n v="1071591"/>
    <s v=""/>
    <s v="Not Found"/>
    <m/>
    <s v=""/>
    <s v="Starter"/>
    <s v="April"/>
    <s v="Q2"/>
  </r>
  <r>
    <s v="EOS1593"/>
    <d v="2026-04-18T00:00:00"/>
    <s v="FB"/>
    <s v="Arvind Patel"/>
    <s v="Ahmedabad"/>
    <x v="0"/>
    <m/>
    <n v="130000"/>
    <n v="1071592"/>
    <s v=""/>
    <s v="Not Found"/>
    <m/>
    <s v=""/>
    <s v="Starter"/>
    <s v="April"/>
    <s v="Q2"/>
  </r>
  <r>
    <s v="EOS1594"/>
    <d v="2026-04-18T00:00:00"/>
    <s v="FB"/>
    <s v="arvnd borana"/>
    <s v="Surat"/>
    <x v="0"/>
    <m/>
    <n v="130000"/>
    <n v="1071593"/>
    <s v=""/>
    <s v="Not Found"/>
    <m/>
    <s v=""/>
    <s v="Starter"/>
    <s v="April"/>
    <s v="Q2"/>
  </r>
  <r>
    <s v="EOS1595"/>
    <d v="2026-04-18T00:00:00"/>
    <s v="FB"/>
    <s v="J.k. Kamani"/>
    <s v="Bhavngar"/>
    <x v="0"/>
    <m/>
    <n v="130000"/>
    <n v="1071594"/>
    <s v=""/>
    <s v="Not Found"/>
    <m/>
    <s v=""/>
    <s v="Starter"/>
    <s v="April"/>
    <s v="Q2"/>
  </r>
  <r>
    <s v="EOS1596"/>
    <d v="2026-04-18T00:00:00"/>
    <s v="FB"/>
    <s v="Ajitsinh Bhandari 1885"/>
    <s v="Vijapur"/>
    <x v="0"/>
    <m/>
    <n v="130000"/>
    <n v="1071595"/>
    <s v=""/>
    <s v="Not Found"/>
    <m/>
    <s v=""/>
    <s v="Starter"/>
    <s v="April"/>
    <s v="Q2"/>
  </r>
  <r>
    <s v="EOS1597"/>
    <d v="2026-04-20T00:00:00"/>
    <s v="FB"/>
    <s v="Shailesh Patel"/>
    <s v="Rajkot"/>
    <x v="0"/>
    <m/>
    <n v="108000"/>
    <n v="1071596"/>
    <s v=""/>
    <s v="Not Found"/>
    <m/>
    <s v=""/>
    <s v="Starter"/>
    <s v="April"/>
    <s v="Q2"/>
  </r>
  <r>
    <s v="EOS1598"/>
    <d v="2026-04-20T00:00:00"/>
    <s v="FB"/>
    <s v="Hala Faizal Firozbhai"/>
    <s v="Rajko"/>
    <x v="0"/>
    <m/>
    <n v="130000"/>
    <n v="1071597"/>
    <s v=""/>
    <s v="Not Found"/>
    <m/>
    <s v=""/>
    <s v="Starter"/>
    <s v="April"/>
    <s v="Q2"/>
  </r>
  <r>
    <s v="EOS1599"/>
    <d v="2026-04-20T00:00:00"/>
    <s v="FB"/>
    <s v="Parth"/>
    <s v="Jam khambhaliya"/>
    <x v="0"/>
    <m/>
    <n v="177000"/>
    <n v="1071598"/>
    <s v=""/>
    <s v="Not Found"/>
    <m/>
    <s v=""/>
    <s v="Growth"/>
    <s v="April"/>
    <s v="Q2"/>
  </r>
  <r>
    <s v="EOS1600"/>
    <d v="2026-04-20T00:00:00"/>
    <s v="FB"/>
    <s v="mahadev siva"/>
    <s v="Anand"/>
    <x v="0"/>
    <m/>
    <n v="130000"/>
    <n v="1071599"/>
    <s v=""/>
    <s v="Not Found"/>
    <m/>
    <s v=""/>
    <s v="Starter"/>
    <s v="April"/>
    <s v="Q2"/>
  </r>
  <r>
    <s v="EOS1601"/>
    <d v="2026-04-20T00:00:00"/>
    <s v="FB"/>
    <s v="prakash"/>
    <s v="Nadiad"/>
    <x v="0"/>
    <m/>
    <n v="108000"/>
    <n v="1071600"/>
    <s v=""/>
    <s v="Not Found"/>
    <m/>
    <s v=""/>
    <s v="Starter"/>
    <s v="April"/>
    <s v="Q2"/>
  </r>
  <r>
    <s v="EOS1602"/>
    <d v="2026-04-20T00:00:00"/>
    <s v="FB"/>
    <s v="Anantsinh Rana"/>
    <s v="Ahmedabad"/>
    <x v="0"/>
    <m/>
    <n v="130000"/>
    <n v="1071601"/>
    <s v=""/>
    <s v="Not Found"/>
    <m/>
    <s v=""/>
    <s v="Starter"/>
    <s v="April"/>
    <s v="Q2"/>
  </r>
  <r>
    <s v="EOS1603"/>
    <d v="2026-04-20T00:00:00"/>
    <s v="FB"/>
    <s v="??????????"/>
    <s v="Halol"/>
    <x v="0"/>
    <m/>
    <n v="108000"/>
    <n v="1071602"/>
    <s v=""/>
    <s v="Not Found"/>
    <m/>
    <s v=""/>
    <s v="Starter"/>
    <s v="April"/>
    <s v="Q2"/>
  </r>
  <r>
    <s v="EOS1604"/>
    <d v="2026-04-20T00:00:00"/>
    <s v="FB"/>
    <s v="JAIMINSINH BARIA"/>
    <s v="Junagadh"/>
    <x v="0"/>
    <m/>
    <n v="130000"/>
    <n v="1071603"/>
    <s v=""/>
    <s v="Not Found"/>
    <m/>
    <s v=""/>
    <s v="Starter"/>
    <s v="April"/>
    <s v="Q2"/>
  </r>
  <r>
    <s v="EOS1605"/>
    <d v="2026-04-20T00:00:00"/>
    <s v="FB"/>
    <s v="Nilesh Mevcha"/>
    <s v="Jasdan"/>
    <x v="0"/>
    <m/>
    <n v="177000"/>
    <n v="1071604"/>
    <s v=""/>
    <s v="Not Found"/>
    <m/>
    <s v=""/>
    <s v="Growth"/>
    <s v="April"/>
    <s v="Q2"/>
  </r>
  <r>
    <s v="EOS1606"/>
    <d v="2026-04-21T00:00:00"/>
    <s v="FB"/>
    <s v="MAYUR GOHIL"/>
    <s v="Mahisagar"/>
    <x v="0"/>
    <m/>
    <n v="130000"/>
    <n v="1071605"/>
    <s v=""/>
    <s v="Not Found"/>
    <m/>
    <s v=""/>
    <s v="Starter"/>
    <s v="April"/>
    <s v="Q2"/>
  </r>
  <r>
    <s v="EOS1607"/>
    <d v="2026-04-21T00:00:00"/>
    <s v="FB"/>
    <s v="CHAUHAN VISHALSINH PRAVINSINH"/>
    <s v="Dhar"/>
    <x v="4"/>
    <m/>
    <n v="130000"/>
    <n v="1071606"/>
    <s v=""/>
    <s v="Not Found"/>
    <m/>
    <s v=""/>
    <s v="Starter"/>
    <s v="April"/>
    <s v="Q2"/>
  </r>
  <r>
    <s v="EOS1608"/>
    <d v="2026-04-21T00:00:00"/>
    <s v="FB"/>
    <s v="Rajiv rane"/>
    <s v="Bhavnagar"/>
    <x v="0"/>
    <m/>
    <n v="108000"/>
    <n v="1071607"/>
    <s v=""/>
    <s v="Not Found"/>
    <m/>
    <s v=""/>
    <s v="Starter"/>
    <s v="April"/>
    <s v="Q2"/>
  </r>
  <r>
    <s v="EOS1609"/>
    <d v="2026-04-21T00:00:00"/>
    <s v="FB"/>
    <s v="Afcone Speakers"/>
    <s v="Sirat"/>
    <x v="0"/>
    <m/>
    <n v="130000"/>
    <n v="1071608"/>
    <s v=""/>
    <s v="Not Found"/>
    <m/>
    <s v=""/>
    <s v="Starter"/>
    <s v="April"/>
    <s v="Q2"/>
  </r>
  <r>
    <s v="EOS1610"/>
    <d v="2026-04-23T00:00:00"/>
    <s v="FB"/>
    <s v="Hiren  kaladiya"/>
    <s v="Ahmedabad"/>
    <x v="0"/>
    <m/>
    <n v="308000"/>
    <n v="1071609"/>
    <s v=""/>
    <s v="Not Found"/>
    <m/>
    <s v=""/>
    <s v="Premium"/>
    <s v="April"/>
    <s v="Q2"/>
  </r>
  <r>
    <s v="EOS1611"/>
    <d v="2026-04-23T00:00:00"/>
    <s v="FB"/>
    <s v="Mukesh Singhal"/>
    <s v="Ahmedabad"/>
    <x v="0"/>
    <m/>
    <n v="130000"/>
    <n v="1071610"/>
    <s v=""/>
    <s v="Not Found"/>
    <m/>
    <s v=""/>
    <s v="Starter"/>
    <s v="April"/>
    <s v="Q2"/>
  </r>
  <r>
    <s v="EOS1612"/>
    <d v="2026-04-23T00:00:00"/>
    <s v="FB"/>
    <s v="Harsh Sharma"/>
    <s v="Silvassa"/>
    <x v="0"/>
    <m/>
    <n v="130000"/>
    <n v="1071611"/>
    <s v=""/>
    <s v="Not Found"/>
    <m/>
    <s v=""/>
    <s v="Starter"/>
    <s v="April"/>
    <s v="Q2"/>
  </r>
  <r>
    <s v="EOS1613"/>
    <d v="2026-04-23T00:00:00"/>
    <s v="FB"/>
    <s v="Raje Patil"/>
    <s v="Dahod"/>
    <x v="0"/>
    <m/>
    <n v="130000"/>
    <n v="1071612"/>
    <s v=""/>
    <s v="Not Found"/>
    <m/>
    <s v=""/>
    <s v="Starter"/>
    <s v="April"/>
    <s v="Q2"/>
  </r>
  <r>
    <s v="EOS1614"/>
    <d v="2026-04-24T00:00:00"/>
    <s v="FB"/>
    <s v="Kamlesh Varelani"/>
    <s v="Talaja"/>
    <x v="0"/>
    <m/>
    <n v="130000"/>
    <n v="1071613"/>
    <s v=""/>
    <s v="Not Found"/>
    <m/>
    <s v=""/>
    <s v="Starter"/>
    <s v="April"/>
    <s v="Q2"/>
  </r>
  <r>
    <s v="EOS1615"/>
    <d v="2026-04-24T00:00:00"/>
    <s v="FB"/>
    <s v="ASHARAF_NAGARIYA"/>
    <s v="Chhatarpur"/>
    <x v="4"/>
    <m/>
    <n v="108000"/>
    <n v="1071614"/>
    <s v=""/>
    <s v="Not Found"/>
    <m/>
    <s v=""/>
    <s v="Starter"/>
    <s v="April"/>
    <s v="Q2"/>
  </r>
  <r>
    <s v="EOS1616"/>
    <d v="2026-04-24T00:00:00"/>
    <s v="FB"/>
    <s v="Shashank Shrivastava"/>
    <s v="Gwalior"/>
    <x v="4"/>
    <m/>
    <n v="108000"/>
    <n v="1071615"/>
    <s v=""/>
    <s v="Not Found"/>
    <m/>
    <s v=""/>
    <s v="Starter"/>
    <s v="April"/>
    <s v="Q2"/>
  </r>
  <r>
    <s v="EOS1617"/>
    <d v="2026-04-24T00:00:00"/>
    <s v="FB"/>
    <s v="jagroop Singh Baghel"/>
    <s v="Wankaner"/>
    <x v="0"/>
    <m/>
    <n v="177000"/>
    <n v="1071616"/>
    <s v=""/>
    <s v="Not Found"/>
    <m/>
    <s v=""/>
    <s v="Growth"/>
    <s v="April"/>
    <s v="Q2"/>
  </r>
  <r>
    <s v="EOS1618"/>
    <d v="2026-04-24T00:00:00"/>
    <s v="FB"/>
    <s v="Alam bhai"/>
    <s v="Surendranagar"/>
    <x v="0"/>
    <m/>
    <n v="108000"/>
    <n v="1071617"/>
    <s v=""/>
    <s v="Not Found"/>
    <m/>
    <s v=""/>
    <s v="Starter"/>
    <s v="April"/>
    <s v="Q2"/>
  </r>
  <r>
    <s v="EOS1619"/>
    <d v="2026-04-24T00:00:00"/>
    <s v="FB"/>
    <s v="__SUMBHA_1204__"/>
    <s v="Ahmedabad"/>
    <x v="0"/>
    <m/>
    <n v="108000"/>
    <n v="1071618"/>
    <s v=""/>
    <s v="Not Found"/>
    <m/>
    <s v=""/>
    <s v="Starter"/>
    <s v="April"/>
    <s v="Q2"/>
  </r>
  <r>
    <s v="EOS1620"/>
    <d v="2026-04-25T00:00:00"/>
    <s v="FB"/>
    <s v="Parth Borad"/>
    <s v="Surat"/>
    <x v="0"/>
    <m/>
    <n v="130000"/>
    <n v="1071619"/>
    <s v=""/>
    <s v="Not Found"/>
    <m/>
    <s v=""/>
    <s v="Starter"/>
    <s v="April"/>
    <s v="Q2"/>
  </r>
  <r>
    <s v="EOS1621"/>
    <d v="2026-04-25T00:00:00"/>
    <s v="FB"/>
    <s v="Darshan Rupareliya"/>
    <s v="Ahmedabad"/>
    <x v="0"/>
    <m/>
    <n v="108000"/>
    <n v="1071620"/>
    <s v=""/>
    <s v="Not Found"/>
    <m/>
    <s v=""/>
    <s v="Starter"/>
    <s v="April"/>
    <s v="Q2"/>
  </r>
  <r>
    <s v="EOS1622"/>
    <d v="2026-04-25T00:00:00"/>
    <s v="FB"/>
    <s v="Shahid"/>
    <s v="Vadodara"/>
    <x v="0"/>
    <m/>
    <n v="108000"/>
    <n v="1071621"/>
    <s v=""/>
    <s v="Not Found"/>
    <m/>
    <s v=""/>
    <s v="Starter"/>
    <s v="April"/>
    <s v="Q2"/>
  </r>
  <r>
    <s v="EOS1623"/>
    <d v="2026-04-25T00:00:00"/>
    <s v="FB"/>
    <s v="Rahul Gohil"/>
    <s v="Rajko"/>
    <x v="0"/>
    <m/>
    <n v="108000"/>
    <n v="1071622"/>
    <s v=""/>
    <s v="Not Found"/>
    <m/>
    <s v=""/>
    <s v="Starter"/>
    <s v="April"/>
    <s v="Q2"/>
  </r>
  <r>
    <s v="EOS1624"/>
    <d v="2026-04-25T00:00:00"/>
    <s v="FB"/>
    <s v="K A R A N"/>
    <s v="Abad"/>
    <x v="0"/>
    <m/>
    <n v="130000"/>
    <n v="1071623"/>
    <s v=""/>
    <s v="Not Found"/>
    <m/>
    <s v=""/>
    <s v="Starter"/>
    <s v="April"/>
    <s v="Q2"/>
  </r>
  <r>
    <s v="EOS1625"/>
    <d v="2026-04-25T00:00:00"/>
    <s v="FB"/>
    <s v="Bhavin"/>
    <s v="Visnagar"/>
    <x v="0"/>
    <m/>
    <n v="130000"/>
    <n v="1071624"/>
    <s v=""/>
    <s v="Not Found"/>
    <m/>
    <s v=""/>
    <s v="Starter"/>
    <s v="April"/>
    <s v="Q2"/>
  </r>
  <r>
    <s v="EOS1626"/>
    <d v="2026-04-25T00:00:00"/>
    <s v="FB"/>
    <s v="Kuldip Rajput"/>
    <s v="Rajkot"/>
    <x v="0"/>
    <m/>
    <n v="108000"/>
    <n v="1071625"/>
    <s v=""/>
    <s v="Not Found"/>
    <m/>
    <s v=""/>
    <s v="Starter"/>
    <s v="April"/>
    <s v="Q2"/>
  </r>
  <r>
    <s v="EOS1627"/>
    <d v="2026-04-25T00:00:00"/>
    <s v="FB"/>
    <s v="Anil Maiyad"/>
    <s v="Vadodara"/>
    <x v="0"/>
    <m/>
    <n v="130000"/>
    <n v="1071626"/>
    <s v=""/>
    <s v="Not Found"/>
    <m/>
    <s v=""/>
    <s v="Starter"/>
    <s v="April"/>
    <s v="Q2"/>
  </r>
  <r>
    <s v="EOS1628"/>
    <d v="2026-04-25T00:00:00"/>
    <s v="FB"/>
    <s v="Hardik patanvadiya"/>
    <s v="Palanpur"/>
    <x v="0"/>
    <m/>
    <n v="108000"/>
    <n v="1071627"/>
    <s v=""/>
    <s v="Not Found"/>
    <m/>
    <s v=""/>
    <s v="Starter"/>
    <s v="April"/>
    <s v="Q2"/>
  </r>
  <r>
    <s v="EOS1629"/>
    <d v="2026-04-25T00:00:00"/>
    <s v="FB"/>
    <s v="Khama Khan Khama"/>
    <s v="NA"/>
    <x v="0"/>
    <m/>
    <n v="108000"/>
    <n v="1071628"/>
    <s v=""/>
    <s v="Not Found"/>
    <m/>
    <s v=""/>
    <s v="Starter"/>
    <s v="April"/>
    <s v="Q2"/>
  </r>
  <r>
    <s v="EOS1630"/>
    <d v="2026-04-25T00:00:00"/>
    <s v="FB"/>
    <s v="Solanki bhavesh"/>
    <s v="Junagadh"/>
    <x v="0"/>
    <m/>
    <n v="130000"/>
    <n v="1071629"/>
    <s v=""/>
    <s v="Not Found"/>
    <m/>
    <s v=""/>
    <s v="Starter"/>
    <s v="April"/>
    <s v="Q2"/>
  </r>
  <r>
    <s v="EOS1631"/>
    <d v="2026-04-25T00:00:00"/>
    <s v="FB"/>
    <s v="Dk Brand Hub"/>
    <s v="Surat"/>
    <x v="0"/>
    <m/>
    <n v="177000"/>
    <n v="1071630"/>
    <s v=""/>
    <s v="Not Found"/>
    <m/>
    <s v=""/>
    <s v="Growth"/>
    <s v="April"/>
    <s v="Q2"/>
  </r>
  <r>
    <s v="EOS1632"/>
    <d v="2026-04-25T00:00:00"/>
    <s v="FB"/>
    <s v="Lalit Shekhada"/>
    <s v="Vadodara"/>
    <x v="0"/>
    <m/>
    <n v="130000"/>
    <n v="1071631"/>
    <s v=""/>
    <s v="Not Found"/>
    <m/>
    <s v=""/>
    <s v="Starter"/>
    <s v="April"/>
    <s v="Q2"/>
  </r>
  <r>
    <s v="EOS1633"/>
    <d v="2026-04-25T00:00:00"/>
    <s v="FB"/>
    <s v="Fan_of_G????????????????????????"/>
    <s v="??????"/>
    <x v="0"/>
    <m/>
    <n v="108000"/>
    <n v="1071632"/>
    <s v=""/>
    <s v="Not Found"/>
    <m/>
    <s v=""/>
    <s v="Starter"/>
    <s v="April"/>
    <s v="Q2"/>
  </r>
  <r>
    <s v="EOS1634"/>
    <d v="2026-04-25T00:00:00"/>
    <s v="FB"/>
    <s v="Pranav Katara"/>
    <s v="Surat"/>
    <x v="0"/>
    <m/>
    <n v="108000"/>
    <n v="1071633"/>
    <s v=""/>
    <s v="Not Found"/>
    <m/>
    <s v=""/>
    <s v="Starter"/>
    <s v="April"/>
    <s v="Q2"/>
  </r>
  <r>
    <s v="EOS1635"/>
    <d v="2026-04-25T00:00:00"/>
    <s v="FB"/>
    <s v="Dhruv"/>
    <s v="Surat"/>
    <x v="0"/>
    <m/>
    <n v="108000"/>
    <n v="1071634"/>
    <s v=""/>
    <s v="Not Found"/>
    <m/>
    <s v=""/>
    <s v="Starter"/>
    <s v="April"/>
    <s v="Q2"/>
  </r>
  <r>
    <s v="EOS1636"/>
    <d v="2026-04-25T00:00:00"/>
    <s v="FB"/>
    <s v="Ashwin Kalsariya"/>
    <m/>
    <x v="0"/>
    <m/>
    <n v="108000"/>
    <n v="1071635"/>
    <s v=""/>
    <s v="Not Found"/>
    <m/>
    <s v=""/>
    <s v="Starter"/>
    <s v="April"/>
    <s v="Q2"/>
  </r>
  <r>
    <s v="EOS1637"/>
    <d v="2026-05-04T00:00:00"/>
    <s v="M"/>
    <s v="sibin josh"/>
    <s v="Ahmedabad"/>
    <x v="0"/>
    <m/>
    <n v="130000"/>
    <n v="1071636"/>
    <s v=""/>
    <s v="Not Found"/>
    <m/>
    <s v=""/>
    <s v="Starter"/>
    <s v="May"/>
    <s v="Q2"/>
  </r>
  <r>
    <s v="EOS1638"/>
    <d v="2026-05-04T00:00:00"/>
    <s v="FB"/>
    <s v="NA"/>
    <s v="Valsad"/>
    <x v="0"/>
    <m/>
    <n v="130000"/>
    <n v="1071637"/>
    <s v=""/>
    <s v="Not Found"/>
    <m/>
    <s v=""/>
    <s v="Starter"/>
    <s v="May"/>
    <s v="Q2"/>
  </r>
  <r>
    <s v="EOS1639"/>
    <d v="2026-05-04T00:00:00"/>
    <s v="FB"/>
    <s v="Chintu "/>
    <s v="Rajkot"/>
    <x v="0"/>
    <m/>
    <n v="130000"/>
    <n v="1071638"/>
    <s v=""/>
    <s v="Not Found"/>
    <m/>
    <s v=""/>
    <s v="Starter"/>
    <s v="May"/>
    <s v="Q2"/>
  </r>
  <r>
    <s v="EOS1640"/>
    <d v="2026-05-04T00:00:00"/>
    <s v="FB"/>
    <s v="Imran "/>
    <s v="Baroda"/>
    <x v="0"/>
    <m/>
    <n v="108000"/>
    <n v="1071639"/>
    <s v=""/>
    <s v="Not Found"/>
    <m/>
    <s v=""/>
    <s v="Starter"/>
    <s v="May"/>
    <s v="Q2"/>
  </r>
  <r>
    <s v="EOS1641"/>
    <d v="2026-05-04T00:00:00"/>
    <s v="FB"/>
    <s v="Shivam Bhil"/>
    <s v="Gandhinagar"/>
    <x v="0"/>
    <m/>
    <n v="108000"/>
    <n v="1071640"/>
    <s v=""/>
    <s v="Not Found"/>
    <m/>
    <s v=""/>
    <s v="Starter"/>
    <s v="May"/>
    <s v="Q2"/>
  </r>
  <r>
    <s v="EOS1642"/>
    <d v="2026-05-04T00:00:00"/>
    <s v="FB"/>
    <s v="Parik Hapur"/>
    <s v="Anand"/>
    <x v="0"/>
    <m/>
    <n v="108000"/>
    <n v="1071641"/>
    <s v=""/>
    <s v="Not Found"/>
    <m/>
    <s v=""/>
    <s v="Starter"/>
    <s v="May"/>
    <s v="Q2"/>
  </r>
  <r>
    <s v="EOS1643"/>
    <d v="2026-05-04T00:00:00"/>
    <s v="FB"/>
    <s v="Hardik Patel "/>
    <s v="Mahisagar  "/>
    <x v="0"/>
    <m/>
    <n v="130000"/>
    <n v="1071642"/>
    <s v=""/>
    <s v="Not Found"/>
    <m/>
    <s v=""/>
    <s v="Starter"/>
    <s v="May"/>
    <s v="Q2"/>
  </r>
  <r>
    <s v="EOS1644"/>
    <d v="2026-05-04T00:00:00"/>
    <s v="FB"/>
    <s v="Nikhil Dabga "/>
    <s v="Mehsana"/>
    <x v="0"/>
    <m/>
    <n v="130000"/>
    <n v="1071643"/>
    <s v=""/>
    <s v="Not Found"/>
    <m/>
    <s v=""/>
    <s v="Starter"/>
    <s v="May"/>
    <s v="Q2"/>
  </r>
  <r>
    <s v="EOS1645"/>
    <d v="2026-05-04T00:00:00"/>
    <s v="FB"/>
    <s v="Rajput Jitendra"/>
    <s v="Surat"/>
    <x v="0"/>
    <m/>
    <n v="177000"/>
    <n v="1071644"/>
    <s v=""/>
    <s v="Not Found"/>
    <m/>
    <s v=""/>
    <s v="Growth"/>
    <s v="May"/>
    <s v="Q2"/>
  </r>
  <r>
    <s v="EOS1646"/>
    <d v="2026-05-04T00:00:00"/>
    <s v="FB"/>
    <s v="Pradeep Agrawal "/>
    <s v="Savarkundla"/>
    <x v="0"/>
    <m/>
    <n v="130000"/>
    <n v="1071645"/>
    <s v=""/>
    <s v="Not Found"/>
    <m/>
    <s v=""/>
    <s v="Starter"/>
    <s v="May"/>
    <s v="Q2"/>
  </r>
  <r>
    <s v="EOS1647"/>
    <d v="2026-05-04T00:00:00"/>
    <s v="FB"/>
    <s v="majithiya jignesh "/>
    <s v="jamnagar"/>
    <x v="0"/>
    <m/>
    <n v="130000"/>
    <n v="1071646"/>
    <s v=""/>
    <s v="Not Found"/>
    <m/>
    <s v=""/>
    <s v="Starter"/>
    <s v="May"/>
    <s v="Q2"/>
  </r>
  <r>
    <s v="EOS1648"/>
    <d v="2026-05-04T00:00:00"/>
    <s v="FB"/>
    <s v="Rohit Nakum"/>
    <s v="Bharuch"/>
    <x v="0"/>
    <m/>
    <n v="130000"/>
    <n v="1071647"/>
    <s v=""/>
    <s v="Not Found"/>
    <m/>
    <s v=""/>
    <s v="Starter"/>
    <s v="May"/>
    <s v="Q2"/>
  </r>
  <r>
    <s v="EOS1649"/>
    <d v="2026-05-04T00:00:00"/>
    <s v="FB"/>
    <s v="Yash Rana"/>
    <s v="Jodiya"/>
    <x v="0"/>
    <m/>
    <n v="130000"/>
    <n v="1071648"/>
    <s v=""/>
    <s v="Not Found"/>
    <m/>
    <s v=""/>
    <s v="Starter"/>
    <s v="May"/>
    <s v="Q2"/>
  </r>
  <r>
    <s v="EOS1650"/>
    <d v="2026-05-05T00:00:00"/>
    <s v="FB"/>
    <s v="Parmar Parmar"/>
    <s v="surat"/>
    <x v="0"/>
    <m/>
    <n v="108000"/>
    <n v="1071649"/>
    <s v=""/>
    <s v="Not Found"/>
    <m/>
    <s v=""/>
    <s v="Starter"/>
    <s v="May"/>
    <s v="Q2"/>
  </r>
  <r>
    <s v="EOS1651"/>
    <d v="2026-05-05T00:00:00"/>
    <s v="FB"/>
    <s v="Jaykishan"/>
    <s v="Khambhalia"/>
    <x v="0"/>
    <m/>
    <n v="130000"/>
    <n v="1071650"/>
    <s v=""/>
    <s v="Not Found"/>
    <m/>
    <s v=""/>
    <s v="Starter"/>
    <s v="May"/>
    <s v="Q2"/>
  </r>
  <r>
    <s v="EOS1652"/>
    <d v="2026-05-05T00:00:00"/>
    <s v="FB"/>
    <s v="Chauhan Anvar"/>
    <s v="junagadh"/>
    <x v="0"/>
    <m/>
    <n v="130000"/>
    <n v="1071651"/>
    <s v=""/>
    <s v="Not Found"/>
    <m/>
    <s v=""/>
    <s v="Starter"/>
    <s v="May"/>
    <s v="Q2"/>
  </r>
  <r>
    <s v="EOS1653"/>
    <d v="2026-05-05T00:00:00"/>
    <s v="FB"/>
    <s v="bhavesh bhanshal"/>
    <s v="Bhavnagar"/>
    <x v="0"/>
    <m/>
    <n v="130000"/>
    <n v="1071652"/>
    <s v=""/>
    <s v="Not Found"/>
    <m/>
    <s v=""/>
    <s v="Starter"/>
    <s v="May"/>
    <s v="Q2"/>
  </r>
  <r>
    <s v="EOS1654"/>
    <d v="2026-05-05T00:00:00"/>
    <s v="FB"/>
    <s v="Jay Raval"/>
    <s v="Latur"/>
    <x v="5"/>
    <m/>
    <n v="108000"/>
    <n v="1071653"/>
    <s v=""/>
    <s v="Not Found"/>
    <m/>
    <s v=""/>
    <s v="Starter"/>
    <s v="May"/>
    <s v="Q2"/>
  </r>
  <r>
    <s v="EOS1655"/>
    <d v="2026-05-05T00:00:00"/>
    <s v="FB"/>
    <s v="Balaji chate"/>
    <s v="Latur"/>
    <x v="5"/>
    <m/>
    <n v="108000"/>
    <n v="1071654"/>
    <s v=""/>
    <s v="Not Found"/>
    <m/>
    <s v=""/>
    <s v="Starter"/>
    <s v="May"/>
    <s v="Q2"/>
  </r>
  <r>
    <s v="EOS1656"/>
    <d v="2026-05-05T00:00:00"/>
    <s v="FB"/>
    <s v="jayendra gavit"/>
    <s v="Chandrpur"/>
    <x v="5"/>
    <m/>
    <n v="108000"/>
    <n v="1071655"/>
    <s v=""/>
    <s v="Not Found"/>
    <m/>
    <s v=""/>
    <s v="Starter"/>
    <s v="May"/>
    <s v="Q2"/>
  </r>
  <r>
    <s v="EOS1657"/>
    <d v="2026-05-05T00:00:00"/>
    <s v="FB"/>
    <s v="pintu chavhan"/>
    <s v="Rajkot"/>
    <x v="0"/>
    <m/>
    <n v="308000"/>
    <n v="1071656"/>
    <s v=""/>
    <s v="Not Found"/>
    <m/>
    <s v=""/>
    <s v="Premium"/>
    <s v="May"/>
    <s v="Q2"/>
  </r>
  <r>
    <s v="EOS1658"/>
    <d v="2026-05-06T00:00:00"/>
    <s v="FB"/>
    <s v="Sandy Parmar"/>
    <s v="Surat"/>
    <x v="0"/>
    <m/>
    <n v="108000"/>
    <n v="1071657"/>
    <s v=""/>
    <s v="Not Found"/>
    <m/>
    <s v=""/>
    <s v="Starter"/>
    <s v="May"/>
    <s v="Q2"/>
  </r>
  <r>
    <s v="EOS1659"/>
    <d v="2026-05-06T00:00:00"/>
    <s v="FB"/>
    <s v="Nilesh Pareshbhai paghadal"/>
    <s v="Vadodara "/>
    <x v="0"/>
    <m/>
    <n v="130000"/>
    <n v="1071658"/>
    <s v=""/>
    <s v="Not Found"/>
    <m/>
    <s v=""/>
    <s v="Starter"/>
    <s v="May"/>
    <s v="Q2"/>
  </r>
  <r>
    <s v="EOS1660"/>
    <d v="2026-05-06T00:00:00"/>
    <s v="FB"/>
    <s v="Sahil Mansuri "/>
    <s v="Dhanera"/>
    <x v="0"/>
    <m/>
    <n v="108000"/>
    <n v="1071659"/>
    <s v=""/>
    <s v="Not Found"/>
    <m/>
    <s v=""/>
    <s v="Starter"/>
    <s v="May"/>
    <s v="Q2"/>
  </r>
  <r>
    <s v="EOS1661"/>
    <d v="2026-05-06T00:00:00"/>
    <s v="FB"/>
    <s v="Vinod Chaudhary_"/>
    <s v="Ahmedabad"/>
    <x v="0"/>
    <m/>
    <n v="108000"/>
    <n v="1071660"/>
    <s v=""/>
    <s v="Not Found"/>
    <m/>
    <s v=""/>
    <s v="Starter"/>
    <s v="May"/>
    <s v="Q2"/>
  </r>
  <r>
    <s v="EOS1662"/>
    <d v="2026-05-06T00:00:00"/>
    <s v="FB"/>
    <s v="Parth Borad"/>
    <s v="Porbandra "/>
    <x v="0"/>
    <m/>
    <n v="108000"/>
    <n v="1071661"/>
    <s v=""/>
    <s v="Not Found"/>
    <m/>
    <s v=""/>
    <s v="Starter"/>
    <s v="May"/>
    <s v="Q2"/>
  </r>
  <r>
    <s v="EOS1663"/>
    <d v="2026-05-06T00:00:00"/>
    <s v="FB"/>
    <s v="DIVYESH NATHA"/>
    <s v="Bharuch"/>
    <x v="0"/>
    <m/>
    <n v="177000"/>
    <n v="1071662"/>
    <s v=""/>
    <s v="Not Found"/>
    <m/>
    <s v=""/>
    <s v="Growth"/>
    <s v="May"/>
    <s v="Q2"/>
  </r>
  <r>
    <s v="EOS1664"/>
    <d v="2026-05-06T00:00:00"/>
    <s v="FB"/>
    <s v="Devesh solanki "/>
    <s v="Ahmedabad"/>
    <x v="0"/>
    <m/>
    <n v="130000"/>
    <n v="1071663"/>
    <s v=""/>
    <s v="Not Found"/>
    <m/>
    <s v=""/>
    <s v="Starter"/>
    <s v="May"/>
    <s v="Q2"/>
  </r>
  <r>
    <s v="EOS1665"/>
    <d v="2026-05-07T00:00:00"/>
    <s v="FB"/>
    <s v="Amit Prajapati "/>
    <s v="Deesa"/>
    <x v="0"/>
    <m/>
    <n v="130000"/>
    <n v="1071664"/>
    <s v=""/>
    <s v="Not Found"/>
    <m/>
    <s v=""/>
    <s v="Starter"/>
    <s v="May"/>
    <s v="Q2"/>
  </r>
  <r>
    <s v="EOS1666"/>
    <d v="2026-05-07T00:00:00"/>
    <s v="FB"/>
    <s v="Magdumhusen MunirAhmad Kuresh"/>
    <s v="Limbdi"/>
    <x v="0"/>
    <m/>
    <n v="130000"/>
    <n v="1071665"/>
    <s v=""/>
    <s v="Not Found"/>
    <m/>
    <s v=""/>
    <s v="Starter"/>
    <s v="May"/>
    <s v="Q2"/>
  </r>
  <r>
    <s v="EOS1667"/>
    <d v="2026-05-07T00:00:00"/>
    <s v="FB"/>
    <s v="Parth Mehta "/>
    <s v="Veraval"/>
    <x v="0"/>
    <m/>
    <n v="130000"/>
    <n v="1071666"/>
    <s v=""/>
    <s v="Not Found"/>
    <m/>
    <s v=""/>
    <s v="Starter"/>
    <s v="May"/>
    <s v="Q2"/>
  </r>
  <r>
    <s v="EOS1668"/>
    <d v="2026-05-07T00:00:00"/>
    <s v="FB"/>
    <s v="Praful Giri Aparnath"/>
    <s v="Ahmedabad"/>
    <x v="0"/>
    <m/>
    <n v="130000"/>
    <n v="1071667"/>
    <s v=""/>
    <s v="Not Found"/>
    <m/>
    <s v=""/>
    <s v="Starter"/>
    <s v="May"/>
    <s v="Q2"/>
  </r>
  <r>
    <s v="EOS1669"/>
    <d v="2026-05-07T00:00:00"/>
    <s v="FB"/>
    <s v="Chauhan Nilkanth babubha"/>
    <s v="Adipur"/>
    <x v="0"/>
    <m/>
    <n v="130000"/>
    <n v="1071668"/>
    <s v=""/>
    <s v="Not Found"/>
    <m/>
    <s v=""/>
    <s v="Starter"/>
    <s v="May"/>
    <s v="Q2"/>
  </r>
  <r>
    <s v="EOS1670"/>
    <d v="2026-05-07T00:00:00"/>
    <s v="FB"/>
    <s v="Sabir Shekh"/>
    <s v="Ahmedabad"/>
    <x v="0"/>
    <m/>
    <n v="108000"/>
    <n v="1071669"/>
    <s v=""/>
    <s v="Not Found"/>
    <m/>
    <s v=""/>
    <s v="Starter"/>
    <s v="May"/>
    <s v="Q2"/>
  </r>
  <r>
    <s v="EOS1671"/>
    <d v="2026-05-07T00:00:00"/>
    <s v="FB"/>
    <s v="Nikhil Yadav "/>
    <s v="Bhadran"/>
    <x v="0"/>
    <m/>
    <n v="108000"/>
    <n v="1071670"/>
    <s v=""/>
    <s v="Not Found"/>
    <m/>
    <s v=""/>
    <s v="Starter"/>
    <s v="May"/>
    <s v="Q2"/>
  </r>
  <r>
    <s v="EOS1672"/>
    <d v="2026-05-08T00:00:00"/>
    <s v="FB"/>
    <s v="Dinesh Solanki "/>
    <s v="Dhrol"/>
    <x v="0"/>
    <m/>
    <n v="130000"/>
    <n v="1071671"/>
    <s v=""/>
    <s v="Not Found"/>
    <m/>
    <s v=""/>
    <s v="Starter"/>
    <s v="May"/>
    <s v="Q2"/>
  </r>
  <r>
    <s v="EOS1673"/>
    <d v="2026-05-08T00:00:00"/>
    <s v="FB"/>
    <s v="ketan ganatra "/>
    <s v="Lunavada"/>
    <x v="0"/>
    <m/>
    <n v="108000"/>
    <n v="1071672"/>
    <s v=""/>
    <s v="Not Found"/>
    <m/>
    <s v=""/>
    <s v="Starter"/>
    <s v="May"/>
    <s v="Q2"/>
  </r>
  <r>
    <s v="EOS1674"/>
    <d v="2026-05-08T00:00:00"/>
    <s v="FB"/>
    <s v="Saurabh Patel "/>
    <s v="ahmednagar"/>
    <x v="5"/>
    <m/>
    <n v="130000"/>
    <n v="1071673"/>
    <s v=""/>
    <s v="Not Found"/>
    <m/>
    <s v=""/>
    <s v="Starter"/>
    <s v="May"/>
    <s v="Q2"/>
  </r>
  <r>
    <s v="EOS1675"/>
    <d v="2026-05-09T00:00:00"/>
    <s v="FB"/>
    <s v="Ashok Kotkar"/>
    <s v="Vadodara"/>
    <x v="0"/>
    <m/>
    <n v="130000"/>
    <n v="1071674"/>
    <s v=""/>
    <s v="Not Found"/>
    <m/>
    <s v=""/>
    <s v="Starter"/>
    <s v="May"/>
    <s v="Q2"/>
  </r>
  <r>
    <s v="EOS1676"/>
    <d v="2026-05-09T00:00:00"/>
    <s v="FB"/>
    <s v="Jignesh "/>
    <s v="Himatnagar"/>
    <x v="0"/>
    <m/>
    <n v="130000"/>
    <n v="1071675"/>
    <s v=""/>
    <s v="Not Found"/>
    <m/>
    <s v=""/>
    <s v="Starter"/>
    <s v="May"/>
    <s v="Q2"/>
  </r>
  <r>
    <s v="EOS1677"/>
    <d v="2026-05-11T00:00:00"/>
    <s v="FB"/>
    <s v="Vinay Patel "/>
    <s v="Satana"/>
    <x v="4"/>
    <m/>
    <n v="108000"/>
    <n v="1071676"/>
    <s v=""/>
    <s v="Not Found"/>
    <m/>
    <s v=""/>
    <s v="Starter"/>
    <s v="May"/>
    <s v="Q2"/>
  </r>
  <r>
    <s v="EOS1678"/>
    <d v="2026-05-11T00:00:00"/>
    <s v="FB"/>
    <s v="Pravin "/>
    <s v="Indore"/>
    <x v="4"/>
    <m/>
    <n v="108000"/>
    <n v="1071677"/>
    <s v=""/>
    <s v="Not Found"/>
    <m/>
    <s v=""/>
    <s v="Starter"/>
    <s v="May"/>
    <s v="Q2"/>
  </r>
  <r>
    <s v="EOS1679"/>
    <d v="2026-05-11T00:00:00"/>
    <s v="FB"/>
    <s v="Pawan Yadav"/>
    <s v="Allahabad"/>
    <x v="16"/>
    <m/>
    <n v="130000"/>
    <n v="1071678"/>
    <s v=""/>
    <s v="Not Found"/>
    <m/>
    <s v=""/>
    <s v="Starter"/>
    <s v="May"/>
    <s v="Q2"/>
  </r>
  <r>
    <s v="EOS1680"/>
    <d v="2026-05-11T00:00:00"/>
    <s v="FB"/>
    <s v="Sarthak pratap Singh"/>
    <s v="Aligarh"/>
    <x v="16"/>
    <m/>
    <n v="108000"/>
    <n v="1071679"/>
    <s v=""/>
    <s v="Not Found"/>
    <m/>
    <s v=""/>
    <s v="Starter"/>
    <s v="May"/>
    <s v="Q2"/>
  </r>
  <r>
    <s v="EOS1681"/>
    <d v="2026-05-11T00:00:00"/>
    <s v="FB"/>
    <m/>
    <s v="Diyodar"/>
    <x v="0"/>
    <m/>
    <n v="130000"/>
    <n v="1071680"/>
    <s v=""/>
    <s v="Not Found"/>
    <m/>
    <s v=""/>
    <s v="Starter"/>
    <s v="May"/>
    <s v="Q2"/>
  </r>
  <r>
    <s v="EOS1682"/>
    <d v="2026-05-12T00:00:00"/>
    <s v="FB"/>
    <s v="Vipulkumar Ramnikbhai Soni"/>
    <s v="Surat "/>
    <x v="0"/>
    <m/>
    <n v="130000"/>
    <n v="1071681"/>
    <s v=""/>
    <s v="Not Found"/>
    <m/>
    <s v=""/>
    <s v="Starter"/>
    <s v="May"/>
    <s v="Q2"/>
  </r>
  <r>
    <s v="EOS1683"/>
    <d v="2026-05-12T00:00:00"/>
    <s v="FB"/>
    <s v="Amit kumar "/>
    <s v="jogeshwari "/>
    <x v="5"/>
    <m/>
    <n v="108000"/>
    <n v="1071682"/>
    <s v=""/>
    <s v="Not Found"/>
    <m/>
    <s v=""/>
    <s v="Starter"/>
    <s v="May"/>
    <s v="Q2"/>
  </r>
  <r>
    <s v="EOS1684"/>
    <d v="2026-05-13T00:00:00"/>
    <s v="FB"/>
    <s v="Faiz Ahmad"/>
    <s v="Baisi"/>
    <x v="7"/>
    <m/>
    <n v="108000"/>
    <n v="1071683"/>
    <s v=""/>
    <s v="Not Found"/>
    <m/>
    <s v=""/>
    <s v="Starter"/>
    <s v="May"/>
    <s v="Q2"/>
  </r>
  <r>
    <s v="EOS1685"/>
    <d v="2026-05-13T00:00:00"/>
    <s v="FB"/>
    <s v="Nishar Amani"/>
    <s v="Jankinagar"/>
    <x v="7"/>
    <m/>
    <n v="108000"/>
    <n v="1071684"/>
    <s v=""/>
    <s v="Not Found"/>
    <m/>
    <s v=""/>
    <s v="Starter"/>
    <s v="May"/>
    <s v="Q2"/>
  </r>
  <r>
    <s v="EOS1686"/>
    <d v="2026-05-14T00:00:00"/>
    <s v="FB"/>
    <s v="Nitesh Kumar"/>
    <s v="Ahmadabad "/>
    <x v="0"/>
    <m/>
    <n v="108000"/>
    <n v="1071685"/>
    <s v=""/>
    <s v="Not Found"/>
    <m/>
    <s v=""/>
    <s v="Starter"/>
    <s v="May"/>
    <s v="Q2"/>
  </r>
  <r>
    <s v="EOS1687"/>
    <d v="2026-05-14T00:00:00"/>
    <s v="FB"/>
    <s v="moindiwan"/>
    <s v="Jeypore"/>
    <x v="12"/>
    <m/>
    <n v="108000"/>
    <n v="1071686"/>
    <s v=""/>
    <s v="Not Found"/>
    <m/>
    <s v=""/>
    <s v="Starter"/>
    <s v="May"/>
    <s v="Q2"/>
  </r>
  <r>
    <s v="EOS1688"/>
    <d v="2026-05-14T00:00:00"/>
    <s v="FB"/>
    <s v="Aditya narayan nanda"/>
    <s v="Varanasi"/>
    <x v="16"/>
    <m/>
    <n v="130000"/>
    <n v="1071687"/>
    <s v=""/>
    <s v="Not Found"/>
    <m/>
    <s v=""/>
    <s v="Starter"/>
    <s v="May"/>
    <s v="Q2"/>
  </r>
  <r>
    <s v="EOS1689"/>
    <d v="2026-05-14T00:00:00"/>
    <s v="FB"/>
    <s v="Akash "/>
    <s v="Shahjahanpur"/>
    <x v="16"/>
    <m/>
    <n v="108000"/>
    <n v="1071688"/>
    <s v=""/>
    <s v="Not Found"/>
    <m/>
    <s v=""/>
    <s v="Starter"/>
    <s v="May"/>
    <s v="Q2"/>
  </r>
  <r>
    <s v="EOS1690"/>
    <d v="2026-05-15T00:00:00"/>
    <s v="FB"/>
    <s v="vineet "/>
    <s v="Pipili"/>
    <x v="12"/>
    <m/>
    <n v="108000"/>
    <n v="1071689"/>
    <s v=""/>
    <s v="Not Found"/>
    <m/>
    <s v=""/>
    <s v="Starter"/>
    <s v="May"/>
    <s v="Q2"/>
  </r>
  <r>
    <s v="EOS1691"/>
    <d v="2026-05-15T00:00:00"/>
    <s v="FB"/>
    <s v="Suraj Khan"/>
    <s v="Ahmedabad"/>
    <x v="0"/>
    <m/>
    <n v="130000"/>
    <n v="1071690"/>
    <s v=""/>
    <s v="Not Found"/>
    <m/>
    <s v=""/>
    <s v="Starter"/>
    <s v="May"/>
    <s v="Q2"/>
  </r>
  <r>
    <s v="EOS1692"/>
    <d v="2026-05-15T00:00:00"/>
    <s v="FB"/>
    <s v="Yogesh Ambani"/>
    <s v="Mapusa"/>
    <x v="22"/>
    <m/>
    <n v="130000"/>
    <n v="1071691"/>
    <s v=""/>
    <s v="Not Found"/>
    <m/>
    <s v=""/>
    <s v="Starter"/>
    <s v="May"/>
    <s v="Q2"/>
  </r>
  <r>
    <s v="EOS1693"/>
    <d v="2026-05-15T00:00:00"/>
    <s v="FB"/>
    <s v="Vivan kudneka"/>
    <s v="Satlasan"/>
    <x v="0"/>
    <m/>
    <n v="108000"/>
    <n v="1071692"/>
    <s v=""/>
    <s v="Not Found"/>
    <m/>
    <s v=""/>
    <s v="Starter"/>
    <s v="May"/>
    <s v="Q2"/>
  </r>
  <r>
    <s v="EOS1694"/>
    <d v="2026-05-16T00:00:00"/>
    <s v="FB"/>
    <s v="Aavej "/>
    <s v="Thard"/>
    <x v="0"/>
    <m/>
    <n v="108000"/>
    <n v="1071693"/>
    <s v=""/>
    <s v="Not Found"/>
    <m/>
    <s v=""/>
    <s v="Starter"/>
    <s v="May"/>
    <s v="Q2"/>
  </r>
  <r>
    <s v="EOS1695"/>
    <d v="2026-05-16T00:00:00"/>
    <s v="FB"/>
    <s v="D K Rajput"/>
    <s v="Bulandshahr"/>
    <x v="16"/>
    <m/>
    <n v="130000"/>
    <n v="1071694"/>
    <s v=""/>
    <s v="Not Found"/>
    <m/>
    <s v=""/>
    <s v="Starter"/>
    <s v="May"/>
    <s v="Q2"/>
  </r>
  <r>
    <s v="EOS1696"/>
    <d v="2026-05-16T00:00:00"/>
    <s v="FB"/>
    <s v="Syed Mohd Kashif"/>
    <s v="IslaMadhya Pradeshur"/>
    <x v="9"/>
    <m/>
    <n v="108000"/>
    <n v="1071695"/>
    <s v=""/>
    <s v="Not Found"/>
    <m/>
    <s v=""/>
    <s v="Starter"/>
    <s v="May"/>
    <s v="Q2"/>
  </r>
  <r>
    <s v="EOS1697"/>
    <d v="2026-05-16T00:00:00"/>
    <s v="FB"/>
    <s v="Subham Chowdhury Charl"/>
    <s v="bhavngar"/>
    <x v="0"/>
    <m/>
    <n v="130000"/>
    <n v="1071696"/>
    <s v=""/>
    <s v="Not Found"/>
    <m/>
    <s v=""/>
    <s v="Starter"/>
    <s v="May"/>
    <s v="Q2"/>
  </r>
  <r>
    <s v="EOS1698"/>
    <d v="2026-05-22T00:00:00"/>
    <s v="FB"/>
    <m/>
    <s v="Ahmedabad"/>
    <x v="0"/>
    <m/>
    <n v="108000"/>
    <n v="1071697"/>
    <s v=""/>
    <s v="Not Found"/>
    <m/>
    <s v=""/>
    <s v="Starter"/>
    <s v="May"/>
    <s v="Q2"/>
  </r>
  <r>
    <s v="EOS1699"/>
    <d v="2026-05-18T00:00:00"/>
    <s v="FB"/>
    <s v="Rudra "/>
    <s v="Ahmedabad"/>
    <x v="0"/>
    <m/>
    <n v="130000"/>
    <n v="1071698"/>
    <s v=""/>
    <s v="Not Found"/>
    <m/>
    <s v=""/>
    <s v="Starter"/>
    <s v="May"/>
    <s v="Q2"/>
  </r>
  <r>
    <s v="EOS1700"/>
    <d v="2026-05-18T00:00:00"/>
    <s v="FB"/>
    <s v="Shubham Dubey"/>
    <s v="Junagadh"/>
    <x v="0"/>
    <m/>
    <n v="108000"/>
    <n v="1071699"/>
    <s v=""/>
    <s v="Not Found"/>
    <m/>
    <s v=""/>
    <s v="Starter"/>
    <s v="May"/>
    <s v="Q2"/>
  </r>
  <r>
    <s v="EOS1701"/>
    <d v="2026-05-18T00:00:00"/>
    <s v="FB"/>
    <s v="Bharat Duva"/>
    <s v="Dharashiv"/>
    <x v="5"/>
    <m/>
    <n v="108000"/>
    <n v="1071700"/>
    <s v=""/>
    <s v="Not Found"/>
    <m/>
    <s v=""/>
    <s v="Starter"/>
    <s v="May"/>
    <s v="Q2"/>
  </r>
  <r>
    <s v="EOS1702"/>
    <d v="2026-05-18T00:00:00"/>
    <s v="FB"/>
    <s v="Arjun Deshmukh"/>
    <s v="Lucknow"/>
    <x v="0"/>
    <m/>
    <n v="108000"/>
    <n v="1071701"/>
    <s v=""/>
    <s v="Not Found"/>
    <m/>
    <s v=""/>
    <s v="Starter"/>
    <s v="May"/>
    <s v="Q2"/>
  </r>
  <r>
    <s v="EOS1703"/>
    <d v="2026-05-18T00:00:00"/>
    <s v="FB"/>
    <s v="Amit Singh"/>
    <s v="Hamirpur"/>
    <x v="16"/>
    <m/>
    <n v="108000"/>
    <n v="1071702"/>
    <s v=""/>
    <s v="Not Found"/>
    <m/>
    <s v=""/>
    <s v="Starter"/>
    <s v="May"/>
    <s v="Q2"/>
  </r>
  <r>
    <s v="EOS1704"/>
    <d v="2026-05-18T00:00:00"/>
    <s v="FB"/>
    <s v="ankit tiwari"/>
    <s v="Vadodara"/>
    <x v="0"/>
    <m/>
    <n v="130000"/>
    <n v="1071703"/>
    <s v=""/>
    <s v="Not Found"/>
    <m/>
    <s v=""/>
    <s v="Starter"/>
    <s v="May"/>
    <s v="Q2"/>
  </r>
  <r>
    <s v="EOS1705"/>
    <d v="2026-05-21T00:00:00"/>
    <s v="FB"/>
    <s v="keyur patel "/>
    <s v="Valsad"/>
    <x v="0"/>
    <m/>
    <n v="108000"/>
    <n v="1071704"/>
    <s v=""/>
    <s v="Not Found"/>
    <m/>
    <s v=""/>
    <s v="Starter"/>
    <s v="May"/>
    <s v="Q2"/>
  </r>
  <r>
    <s v="EOS1706"/>
    <d v="2026-05-21T00:00:00"/>
    <s v="FB"/>
    <s v="Manish "/>
    <m/>
    <x v="0"/>
    <m/>
    <n v="108000"/>
    <n v="1071705"/>
    <s v=""/>
    <s v="Not Found"/>
    <m/>
    <s v=""/>
    <s v="Starter"/>
    <s v="May"/>
    <s v="Q2"/>
  </r>
  <r>
    <s v="EOS1707"/>
    <d v="2026-05-21T00:00:00"/>
    <s v="FB"/>
    <s v="Bamba Vikram"/>
    <s v="Vadodara"/>
    <x v="0"/>
    <m/>
    <n v="177000"/>
    <n v="1071706"/>
    <s v=""/>
    <s v="Not Found"/>
    <m/>
    <s v=""/>
    <s v="Growth"/>
    <s v="May"/>
    <s v="Q2"/>
  </r>
  <r>
    <s v="EOS1708"/>
    <d v="2026-05-21T00:00:00"/>
    <s v="FB"/>
    <s v="Vishalkumar Shah"/>
    <s v="Ankleshwar"/>
    <x v="0"/>
    <m/>
    <n v="130000"/>
    <n v="1071707"/>
    <s v=""/>
    <s v="Not Found"/>
    <m/>
    <s v=""/>
    <s v="Starter"/>
    <s v="May"/>
    <s v="Q2"/>
  </r>
  <r>
    <s v="EOS1709"/>
    <d v="2026-05-21T00:00:00"/>
    <s v="FB"/>
    <s v="Padhiyar Mehul"/>
    <s v="Bareja"/>
    <x v="0"/>
    <m/>
    <n v="108000"/>
    <n v="1071708"/>
    <s v=""/>
    <s v="Not Found"/>
    <m/>
    <s v=""/>
    <s v="Starter"/>
    <s v="May"/>
    <s v="Q2"/>
  </r>
  <r>
    <s v="EOS1710"/>
    <d v="2026-05-21T00:00:00"/>
    <s v="FB"/>
    <s v="Dharmendra Agravat"/>
    <s v="Nadiad"/>
    <x v="0"/>
    <m/>
    <n v="108000"/>
    <n v="1071709"/>
    <s v=""/>
    <s v="Not Found"/>
    <m/>
    <s v=""/>
    <s v="Starter"/>
    <s v="May"/>
    <s v="Q2"/>
  </r>
  <r>
    <s v="EOS1711"/>
    <d v="2026-05-21T00:00:00"/>
    <s v="FB"/>
    <s v="Shivam Patel "/>
    <s v="Rajkot"/>
    <x v="0"/>
    <m/>
    <n v="177000"/>
    <n v="1071710"/>
    <s v=""/>
    <s v="Not Found"/>
    <m/>
    <s v=""/>
    <s v="Growth"/>
    <s v="May"/>
    <s v="Q2"/>
  </r>
  <r>
    <s v="EOS1712"/>
    <d v="2026-05-21T00:00:00"/>
    <s v="FB"/>
    <s v="Vikani Tejas"/>
    <m/>
    <x v="0"/>
    <m/>
    <n v="130000"/>
    <n v="1071711"/>
    <s v=""/>
    <s v="Not Found"/>
    <m/>
    <s v=""/>
    <s v="Starter"/>
    <s v="May"/>
    <s v="Q2"/>
  </r>
  <r>
    <s v="EOS1713"/>
    <d v="2026-05-21T00:00:00"/>
    <s v="FB"/>
    <s v="Pradeepsinh Zala "/>
    <s v="Bareja"/>
    <x v="0"/>
    <m/>
    <n v="108000"/>
    <n v="1071712"/>
    <s v=""/>
    <s v="Not Found"/>
    <m/>
    <s v=""/>
    <s v="Starter"/>
    <s v="May"/>
    <s v="Q2"/>
  </r>
  <r>
    <s v="EOS1714"/>
    <d v="2026-05-21T00:00:00"/>
    <s v="FB"/>
    <s v="Laxmikant Patel "/>
    <s v="Bhavnagar"/>
    <x v="0"/>
    <m/>
    <n v="108000"/>
    <n v="1071713"/>
    <s v=""/>
    <s v="Not Found"/>
    <m/>
    <s v=""/>
    <s v="Starter"/>
    <s v="May"/>
    <s v="Q2"/>
  </r>
  <r>
    <s v="EOS1715"/>
    <d v="2026-05-21T00:00:00"/>
    <s v="FB"/>
    <s v="Rathod Virendra"/>
    <s v="Ahemdabad"/>
    <x v="0"/>
    <m/>
    <n v="108000"/>
    <n v="1071714"/>
    <s v=""/>
    <s v="Not Found"/>
    <m/>
    <s v=""/>
    <s v="Starter"/>
    <s v="May"/>
    <s v="Q2"/>
  </r>
  <r>
    <s v="EOS1716"/>
    <d v="2026-05-21T00:00:00"/>
    <s v="FB"/>
    <s v="Raj Gohil"/>
    <s v="Surendranagar"/>
    <x v="0"/>
    <m/>
    <n v="130000"/>
    <n v="1071715"/>
    <s v=""/>
    <s v="Not Found"/>
    <m/>
    <s v=""/>
    <s v="Starter"/>
    <s v="May"/>
    <s v="Q2"/>
  </r>
  <r>
    <s v="EOS1717"/>
    <d v="2026-05-21T00:00:00"/>
    <s v="FB"/>
    <s v="Vimal Patel "/>
    <s v="Banas Kantha"/>
    <x v="0"/>
    <m/>
    <n v="308000"/>
    <n v="1071716"/>
    <s v=""/>
    <s v="Not Found"/>
    <m/>
    <s v=""/>
    <s v="Premium"/>
    <s v="May"/>
    <s v="Q2"/>
  </r>
  <r>
    <s v="EOS1718"/>
    <d v="2026-05-21T00:00:00"/>
    <s v="FB"/>
    <s v="Sravnji Thakor "/>
    <s v="mau "/>
    <x v="16"/>
    <m/>
    <n v="130000"/>
    <n v="1071717"/>
    <s v=""/>
    <s v="Not Found"/>
    <m/>
    <s v=""/>
    <s v="Starter"/>
    <s v="May"/>
    <s v="Q2"/>
  </r>
  <r>
    <s v="EOS1719"/>
    <d v="2026-05-21T00:00:00"/>
    <s v="FB"/>
    <s v="Sandeep Patel "/>
    <s v="Junagada"/>
    <x v="0"/>
    <m/>
    <n v="108000"/>
    <n v="1071718"/>
    <s v=""/>
    <s v="Not Found"/>
    <m/>
    <s v=""/>
    <s v="Starter"/>
    <s v="May"/>
    <s v="Q2"/>
  </r>
  <r>
    <s v="EOS1720"/>
    <d v="2026-05-21T00:00:00"/>
    <s v="FB"/>
    <s v="Ahir Rajashi"/>
    <s v="Surat"/>
    <x v="0"/>
    <m/>
    <n v="130000"/>
    <n v="1071719"/>
    <s v=""/>
    <s v="Not Found"/>
    <m/>
    <s v=""/>
    <s v="Starter"/>
    <s v="May"/>
    <s v="Q2"/>
  </r>
  <r>
    <s v="EOS1721"/>
    <d v="2026-05-21T00:00:00"/>
    <s v="FB"/>
    <s v="vicky chaudhari"/>
    <s v="ahmedabad"/>
    <x v="0"/>
    <m/>
    <n v="130000"/>
    <n v="1071720"/>
    <s v=""/>
    <s v="Not Found"/>
    <m/>
    <s v=""/>
    <s v="Starter"/>
    <s v="May"/>
    <s v="Q2"/>
  </r>
  <r>
    <s v="EOS1722"/>
    <d v="2026-05-21T00:00:00"/>
    <s v="FB"/>
    <s v="Rakesh Parmar"/>
    <s v="Ahmedabad"/>
    <x v="0"/>
    <m/>
    <n v="108000"/>
    <n v="1071721"/>
    <s v=""/>
    <s v="Not Found"/>
    <m/>
    <s v=""/>
    <s v="Starter"/>
    <s v="May"/>
    <s v="Q2"/>
  </r>
  <r>
    <s v="EOS1723"/>
    <d v="2026-05-21T00:00:00"/>
    <s v="FB"/>
    <s v="Vipul Desai"/>
    <s v="Vadodara"/>
    <x v="0"/>
    <m/>
    <n v="130000"/>
    <n v="1071722"/>
    <s v=""/>
    <s v="Not Found"/>
    <m/>
    <s v=""/>
    <s v="Starter"/>
    <s v="May"/>
    <s v="Q2"/>
  </r>
  <r>
    <s v="EOS1724"/>
    <d v="2026-05-21T00:00:00"/>
    <s v="FB"/>
    <s v="Hemant Solanki"/>
    <s v="Vadodara"/>
    <x v="0"/>
    <m/>
    <n v="108000"/>
    <n v="1071723"/>
    <s v=""/>
    <s v="Not Found"/>
    <m/>
    <s v=""/>
    <s v="Starter"/>
    <s v="May"/>
    <s v="Q2"/>
  </r>
  <r>
    <s v="EOS1725"/>
    <d v="2026-05-21T00:00:00"/>
    <s v="FB"/>
    <s v="ronak parma"/>
    <s v="Petlad"/>
    <x v="0"/>
    <m/>
    <n v="177000"/>
    <n v="1071724"/>
    <s v=""/>
    <s v="Not Found"/>
    <m/>
    <s v=""/>
    <s v="Growth"/>
    <s v="May"/>
    <s v="Q2"/>
  </r>
  <r>
    <s v="EOS1726"/>
    <d v="2026-05-21T00:00:00"/>
    <s v="FB"/>
    <s v="Malek Raees"/>
    <s v="Jamnagar"/>
    <x v="0"/>
    <m/>
    <n v="130000"/>
    <n v="1071725"/>
    <s v=""/>
    <s v="Not Found"/>
    <m/>
    <s v=""/>
    <s v="Starter"/>
    <s v="May"/>
    <s v="Q2"/>
  </r>
  <r>
    <s v="EOS1727"/>
    <d v="2026-05-22T00:00:00"/>
    <s v="FB"/>
    <s v="Yasin Mema"/>
    <s v="Unjha"/>
    <x v="0"/>
    <m/>
    <n v="108000"/>
    <n v="1071726"/>
    <s v=""/>
    <s v="Not Found"/>
    <m/>
    <s v=""/>
    <s v="Starter"/>
    <s v="May"/>
    <s v="Q2"/>
  </r>
  <r>
    <s v="EOS1728"/>
    <d v="2026-05-22T00:00:00"/>
    <s v="FB"/>
    <s v="sachin prajapat"/>
    <s v="Jambusar"/>
    <x v="0"/>
    <m/>
    <n v="108000"/>
    <n v="1071727"/>
    <s v=""/>
    <s v="Not Found"/>
    <m/>
    <s v=""/>
    <s v="Starter"/>
    <s v="May"/>
    <s v="Q2"/>
  </r>
  <r>
    <s v="EOS1729"/>
    <d v="2026-05-22T00:00:00"/>
    <s v="FB"/>
    <s v="Ravin Nargawa"/>
    <s v="Gandhinagar"/>
    <x v="0"/>
    <m/>
    <n v="108000"/>
    <n v="1071728"/>
    <s v=""/>
    <s v="Not Found"/>
    <m/>
    <s v=""/>
    <s v="Starter"/>
    <s v="May"/>
    <s v="Q2"/>
  </r>
  <r>
    <s v="EOS1730"/>
    <d v="2026-05-22T00:00:00"/>
    <s v="FB"/>
    <s v="Amit Shah"/>
    <s v="vadodara"/>
    <x v="0"/>
    <m/>
    <n v="130000"/>
    <n v="1071729"/>
    <s v=""/>
    <s v="Not Found"/>
    <m/>
    <s v=""/>
    <s v="Starter"/>
    <s v="May"/>
    <s v="Q2"/>
  </r>
  <r>
    <s v="EOS1731"/>
    <d v="2026-05-22T00:00:00"/>
    <s v="FB"/>
    <s v="Swetanshu Joshi"/>
    <s v="Surat"/>
    <x v="0"/>
    <m/>
    <n v="177000"/>
    <n v="1071730"/>
    <s v=""/>
    <s v="Not Found"/>
    <m/>
    <s v=""/>
    <s v="Growth"/>
    <s v="May"/>
    <s v="Q2"/>
  </r>
  <r>
    <s v="EOS1732"/>
    <d v="2026-05-22T00:00:00"/>
    <s v="FB"/>
    <s v="vijay patel"/>
    <s v="Rajkot"/>
    <x v="0"/>
    <m/>
    <n v="130000"/>
    <n v="1071731"/>
    <s v=""/>
    <s v="Not Found"/>
    <m/>
    <s v=""/>
    <s v="Starter"/>
    <s v="May"/>
    <s v="Q2"/>
  </r>
  <r>
    <s v="EOS1733"/>
    <d v="2026-05-22T00:00:00"/>
    <s v="FB"/>
    <s v="Kishan bhai"/>
    <s v="jetpur"/>
    <x v="0"/>
    <m/>
    <n v="108000"/>
    <n v="1071732"/>
    <s v=""/>
    <s v="Not Found"/>
    <m/>
    <s v=""/>
    <s v="Starter"/>
    <s v="May"/>
    <s v="Q2"/>
  </r>
  <r>
    <s v="EOS1734"/>
    <d v="2026-05-22T00:00:00"/>
    <s v="FB"/>
    <s v="Gopal Goswami "/>
    <s v="Kalol"/>
    <x v="0"/>
    <m/>
    <n v="130000"/>
    <n v="1071733"/>
    <s v=""/>
    <s v="Not Found"/>
    <m/>
    <s v=""/>
    <s v="Starter"/>
    <s v="May"/>
    <s v="Q2"/>
  </r>
  <r>
    <s v="EOS1735"/>
    <d v="2026-05-22T00:00:00"/>
    <s v="FB"/>
    <s v="Oves Raliya"/>
    <s v="Ahmedabad"/>
    <x v="0"/>
    <m/>
    <n v="108000"/>
    <n v="1071734"/>
    <s v=""/>
    <s v="Not Found"/>
    <m/>
    <s v=""/>
    <s v="Starter"/>
    <s v="May"/>
    <s v="Q2"/>
  </r>
  <r>
    <s v="EOS1736"/>
    <d v="2026-05-23T00:00:00"/>
    <s v="FB"/>
    <s v="Nikita Bhojani"/>
    <s v="Ahemdabad"/>
    <x v="0"/>
    <m/>
    <n v="130000"/>
    <n v="1071735"/>
    <s v=""/>
    <s v="Not Found"/>
    <m/>
    <s v=""/>
    <s v="Starter"/>
    <s v="May"/>
    <s v="Q2"/>
  </r>
  <r>
    <s v="EOS1737"/>
    <d v="2026-05-23T00:00:00"/>
    <s v="FB"/>
    <s v="Manish VALBU"/>
    <s v="Surat"/>
    <x v="0"/>
    <m/>
    <n v="108000"/>
    <n v="1071736"/>
    <s v=""/>
    <s v="Not Found"/>
    <m/>
    <s v=""/>
    <s v="Starter"/>
    <s v="May"/>
    <s v="Q2"/>
  </r>
  <r>
    <s v="EOS1738"/>
    <d v="2026-05-23T00:00:00"/>
    <s v="FB"/>
    <s v="TushAr Chaudhari"/>
    <s v="Srinagar"/>
    <x v="0"/>
    <m/>
    <n v="108000"/>
    <n v="1071737"/>
    <s v=""/>
    <s v="Not Found"/>
    <m/>
    <s v=""/>
    <s v="Starter"/>
    <s v="May"/>
    <s v="Q2"/>
  </r>
  <r>
    <s v="EOS1739"/>
    <d v="2026-05-23T00:00:00"/>
    <s v="FB"/>
    <s v="Rishabh Tiwari"/>
    <s v="Junagadh"/>
    <x v="0"/>
    <m/>
    <n v="130000"/>
    <n v="1071738"/>
    <s v=""/>
    <s v="Not Found"/>
    <m/>
    <s v=""/>
    <s v="Starter"/>
    <s v="May"/>
    <s v="Q2"/>
  </r>
  <r>
    <s v="EOS1740"/>
    <d v="2026-05-23T00:00:00"/>
    <s v="FB"/>
    <s v="hitesh Purohit "/>
    <s v="Vyara"/>
    <x v="0"/>
    <m/>
    <n v="308000"/>
    <n v="1071739"/>
    <s v=""/>
    <s v="Not Found"/>
    <m/>
    <s v=""/>
    <s v="Premium"/>
    <s v="May"/>
    <s v="Q2"/>
  </r>
  <r>
    <s v="EOS1741"/>
    <d v="2026-05-23T00:00:00"/>
    <s v="FB"/>
    <s v="Dhaval Pate"/>
    <s v="Dwarka"/>
    <x v="0"/>
    <m/>
    <n v="108000"/>
    <n v="1071740"/>
    <s v=""/>
    <s v="Not Found"/>
    <m/>
    <s v=""/>
    <s v="Starter"/>
    <s v="May"/>
    <s v="Q2"/>
  </r>
  <r>
    <s v="EOS1742"/>
    <d v="2026-05-23T00:00:00"/>
    <s v="FB"/>
    <s v="Manek Bharat"/>
    <s v="Anand"/>
    <x v="0"/>
    <m/>
    <n v="108000"/>
    <n v="1071741"/>
    <s v=""/>
    <s v="Not Found"/>
    <m/>
    <s v=""/>
    <s v="Starter"/>
    <s v="May"/>
    <s v="Q2"/>
  </r>
  <r>
    <s v="EOS1743"/>
    <d v="2026-05-23T00:00:00"/>
    <s v="FB"/>
    <s v="Yug Patel "/>
    <s v="Sitamarhi"/>
    <x v="7"/>
    <m/>
    <n v="130000"/>
    <n v="1071742"/>
    <s v=""/>
    <s v="Not Found"/>
    <m/>
    <s v=""/>
    <s v="Starter"/>
    <s v="May"/>
    <s v="Q2"/>
  </r>
  <r>
    <s v="EOS1744"/>
    <d v="2026-05-25T00:00:00"/>
    <s v="FB"/>
    <s v="Rahul Shroff"/>
    <s v="Baloda Bazaar"/>
    <x v="3"/>
    <m/>
    <n v="130000"/>
    <n v="1071743"/>
    <s v=""/>
    <s v="Not Found"/>
    <m/>
    <s v=""/>
    <s v="Starter"/>
    <s v="May"/>
    <s v="Q2"/>
  </r>
  <r>
    <s v="EOS1745"/>
    <d v="2026-05-25T00:00:00"/>
    <s v="FB"/>
    <s v="Mahesh Rajak"/>
    <s v="Bhavnagar"/>
    <x v="0"/>
    <m/>
    <n v="108000"/>
    <n v="1071744"/>
    <s v=""/>
    <s v="Not Found"/>
    <m/>
    <s v=""/>
    <s v="Starter"/>
    <s v="May"/>
    <s v="Q2"/>
  </r>
  <r>
    <s v="EOS1746"/>
    <d v="2026-05-25T00:00:00"/>
    <s v="FB"/>
    <s v="Snehal Patel "/>
    <s v="Surat"/>
    <x v="0"/>
    <m/>
    <n v="130000"/>
    <n v="1071745"/>
    <s v=""/>
    <s v="Not Found"/>
    <m/>
    <s v=""/>
    <s v="Starter"/>
    <s v="May"/>
    <s v="Q2"/>
  </r>
  <r>
    <s v="EOS1747"/>
    <d v="2026-05-25T00:00:00"/>
    <s v="FB"/>
    <s v="viral tank"/>
    <s v="Ahmedabad "/>
    <x v="0"/>
    <m/>
    <n v="108000"/>
    <n v="1071746"/>
    <s v=""/>
    <s v="Not Found"/>
    <m/>
    <s v=""/>
    <s v="Starter"/>
    <s v="May"/>
    <s v="Q2"/>
  </r>
  <r>
    <s v="EOS1748"/>
    <d v="2026-05-25T00:00:00"/>
    <s v="FB"/>
    <s v="Metar Irfan"/>
    <s v="pataudi"/>
    <x v="20"/>
    <m/>
    <n v="130000"/>
    <n v="1071747"/>
    <s v=""/>
    <s v="Not Found"/>
    <m/>
    <s v=""/>
    <s v="Starter"/>
    <s v="May"/>
    <s v="Q2"/>
  </r>
  <r>
    <s v="EOS1749"/>
    <d v="2026-05-25T00:00:00"/>
    <s v="FB"/>
    <s v="Rao Sahab"/>
    <s v="Jamshedpur"/>
    <x v="10"/>
    <m/>
    <n v="130000"/>
    <n v="1071748"/>
    <s v=""/>
    <s v="Not Found"/>
    <m/>
    <s v=""/>
    <s v="Starter"/>
    <s v="May"/>
    <s v="Q2"/>
  </r>
  <r>
    <s v="EOS1750"/>
    <d v="2026-05-25T00:00:00"/>
    <s v="FB"/>
    <s v="binod kumar"/>
    <s v="Seoni"/>
    <x v="4"/>
    <m/>
    <n v="108000"/>
    <n v="1071749"/>
    <s v=""/>
    <s v="Not Found"/>
    <m/>
    <s v=""/>
    <s v="Starter"/>
    <s v="May"/>
    <s v="Q2"/>
  </r>
  <r>
    <s v="EOS1751"/>
    <d v="2026-05-25T00:00:00"/>
    <s v="FB"/>
    <s v="Alok Thakur"/>
    <s v="Bishnupur"/>
    <x v="23"/>
    <m/>
    <n v="108000"/>
    <n v="1071750"/>
    <s v=""/>
    <s v="Not Found"/>
    <m/>
    <s v=""/>
    <s v="Starter"/>
    <s v="May"/>
    <s v="Q2"/>
  </r>
  <r>
    <s v="EOS1752"/>
    <d v="2026-05-25T00:00:00"/>
    <s v="FB"/>
    <s v="Ningthoujam Ratan Singh"/>
    <s v="Ajmer"/>
    <x v="2"/>
    <m/>
    <n v="130000"/>
    <n v="1071751"/>
    <s v=""/>
    <s v="Not Found"/>
    <m/>
    <s v=""/>
    <s v="Starter"/>
    <s v="May"/>
    <s v="Q2"/>
  </r>
  <r>
    <s v="EOS1753"/>
    <d v="2026-05-25T00:00:00"/>
    <s v="FB"/>
    <s v="Radhey Bana "/>
    <s v="Bharatpur"/>
    <x v="2"/>
    <m/>
    <n v="130000"/>
    <n v="1071752"/>
    <s v=""/>
    <s v="Not Found"/>
    <m/>
    <s v=""/>
    <s v="Starter"/>
    <s v="May"/>
    <s v="Q2"/>
  </r>
  <r>
    <s v="EOS1754"/>
    <d v="2026-05-25T00:00:00"/>
    <s v="FB"/>
    <s v="Rs Pooniya "/>
    <s v="Sardarshahr"/>
    <x v="2"/>
    <m/>
    <n v="108000"/>
    <n v="1071753"/>
    <s v=""/>
    <s v="Not Found"/>
    <m/>
    <s v=""/>
    <s v="Starter"/>
    <s v="May"/>
    <s v="Q2"/>
  </r>
  <r>
    <s v="EOS1755"/>
    <d v="2026-05-25T00:00:00"/>
    <s v="FB"/>
    <s v="Vinod Gadhawal"/>
    <s v="Pukhrayan "/>
    <x v="16"/>
    <m/>
    <n v="130000"/>
    <n v="1071754"/>
    <s v=""/>
    <s v="Not Found"/>
    <m/>
    <s v=""/>
    <s v="Starter"/>
    <s v="May"/>
    <s v="Q2"/>
  </r>
  <r>
    <s v="EOS1756"/>
    <d v="2026-05-25T00:00:00"/>
    <s v="FB"/>
    <s v="kaiful hasan "/>
    <s v="Noida"/>
    <x v="16"/>
    <m/>
    <n v="108000"/>
    <n v="1071755"/>
    <s v=""/>
    <s v="Not Found"/>
    <m/>
    <s v=""/>
    <s v="Starter"/>
    <s v="May"/>
    <s v="Q2"/>
  </r>
  <r>
    <s v="EOS1757"/>
    <d v="2026-05-25T00:00:00"/>
    <s v="FB"/>
    <s v="Vicky "/>
    <s v="Delhi "/>
    <x v="6"/>
    <m/>
    <n v="108000"/>
    <n v="1071756"/>
    <s v=""/>
    <s v="Not Found"/>
    <m/>
    <s v=""/>
    <s v="Starter"/>
    <s v="May"/>
    <s v="Q2"/>
  </r>
  <r>
    <s v="EOS1758"/>
    <d v="2026-05-25T00:00:00"/>
    <s v="FB"/>
    <s v="Arpiit upadhyay "/>
    <s v="Bihar"/>
    <x v="7"/>
    <m/>
    <n v="108000"/>
    <n v="1071757"/>
    <s v=""/>
    <s v="Not Found"/>
    <m/>
    <s v=""/>
    <s v="Starter"/>
    <s v="May"/>
    <s v="Q2"/>
  </r>
  <r>
    <s v="EOS1759"/>
    <d v="2026-05-25T00:00:00"/>
    <s v="FB"/>
    <s v="kaushal kishor"/>
    <m/>
    <x v="0"/>
    <m/>
    <n v="130000"/>
    <n v="1071758"/>
    <s v=""/>
    <s v="Not Found"/>
    <m/>
    <s v=""/>
    <s v="Starter"/>
    <s v="May"/>
    <s v="Q2"/>
  </r>
  <r>
    <s v="EOS1760"/>
    <d v="2026-05-25T00:00:00"/>
    <s v="FB"/>
    <s v="Atik  Ajm`eri "/>
    <s v="Koderma"/>
    <x v="10"/>
    <m/>
    <n v="108000"/>
    <n v="1071759"/>
    <s v=""/>
    <s v="Not Found"/>
    <m/>
    <s v=""/>
    <s v="Starter"/>
    <s v="May"/>
    <s v="Q2"/>
  </r>
  <r>
    <s v="EOS1761"/>
    <d v="2026-05-25T00:00:00"/>
    <s v="FB"/>
    <s v="Anup Barnwal"/>
    <s v="Jaipur"/>
    <x v="2"/>
    <m/>
    <n v="130000"/>
    <n v="1071760"/>
    <s v=""/>
    <s v="Not Found"/>
    <m/>
    <s v=""/>
    <s v="Starter"/>
    <s v="May"/>
    <s v="Q2"/>
  </r>
  <r>
    <s v="EOS1762"/>
    <d v="2026-05-25T00:00:00"/>
    <s v="FB"/>
    <s v="Rajkumar Saini "/>
    <s v="Dahod"/>
    <x v="0"/>
    <m/>
    <n v="108000"/>
    <n v="1071761"/>
    <s v=""/>
    <s v="Not Found"/>
    <m/>
    <s v=""/>
    <s v="Starter"/>
    <s v="May"/>
    <s v="Q2"/>
  </r>
  <r>
    <s v="EOS1763"/>
    <d v="2026-05-28T00:00:00"/>
    <s v="FB"/>
    <s v="Subhash Alan"/>
    <s v="Ahmedabad"/>
    <x v="0"/>
    <m/>
    <n v="177000"/>
    <n v="1071762"/>
    <s v=""/>
    <s v="Not Found"/>
    <m/>
    <s v=""/>
    <s v="Growth"/>
    <s v="May"/>
    <s v="Q2"/>
  </r>
  <r>
    <s v="EOS1764"/>
    <d v="2026-05-29T00:00:00"/>
    <s v="FB"/>
    <s v="Gaurav R Rathod"/>
    <s v="Bhuj(kutch)"/>
    <x v="0"/>
    <m/>
    <n v="108000"/>
    <n v="1071763"/>
    <s v=""/>
    <s v="Not Found"/>
    <m/>
    <s v=""/>
    <s v="Starter"/>
    <s v="May"/>
    <s v="Q2"/>
  </r>
  <r>
    <s v="EOS1765"/>
    <d v="2026-05-29T00:00:00"/>
    <s v="FB"/>
    <s v="om gor"/>
    <s v="Jetpur"/>
    <x v="0"/>
    <m/>
    <n v="130000"/>
    <n v="1071764"/>
    <s v=""/>
    <s v="Not Found"/>
    <m/>
    <s v=""/>
    <s v="Starter"/>
    <s v="May"/>
    <s v="Q2"/>
  </r>
  <r>
    <s v="EOS1766"/>
    <d v="2026-05-29T00:00:00"/>
    <s v="FB"/>
    <s v="FIROJ "/>
    <s v="Gopalganj"/>
    <x v="18"/>
    <m/>
    <n v="130000"/>
    <n v="1071765"/>
    <s v=""/>
    <s v="Not Found"/>
    <m/>
    <s v=""/>
    <s v="Starter"/>
    <s v="May"/>
    <s v="Q2"/>
  </r>
  <r>
    <s v="EOS1767"/>
    <d v="2026-05-29T00:00:00"/>
    <s v="FB"/>
    <s v="Syedur Rahman"/>
    <s v="khambhaliya"/>
    <x v="0"/>
    <m/>
    <n v="108000"/>
    <n v="1071766"/>
    <s v=""/>
    <s v="Not Found"/>
    <m/>
    <s v=""/>
    <s v="Starter"/>
    <s v="May"/>
    <s v="Q2"/>
  </r>
  <r>
    <s v="EOS1768"/>
    <d v="2026-05-29T00:00:00"/>
    <s v="FB"/>
    <s v="Varun Trivedi"/>
    <s v="Talaja"/>
    <x v="0"/>
    <m/>
    <n v="177000"/>
    <n v="1071767"/>
    <s v=""/>
    <s v="Not Found"/>
    <m/>
    <s v=""/>
    <s v="Growth"/>
    <s v="May"/>
    <s v="Q2"/>
  </r>
  <r>
    <s v="EOS1769"/>
    <d v="2026-05-29T00:00:00"/>
    <s v="FB"/>
    <s v="Ramgiri Bapu"/>
    <m/>
    <x v="13"/>
    <m/>
    <n v="130000"/>
    <n v="1071768"/>
    <s v=""/>
    <s v="Not Found"/>
    <m/>
    <s v=""/>
    <s v="Starter"/>
    <s v="May"/>
    <s v="Q2"/>
  </r>
  <r>
    <s v="EOS1770"/>
    <d v="2026-06-03T00:00:00"/>
    <s v="FB"/>
    <s v="sanjay"/>
    <m/>
    <x v="1"/>
    <m/>
    <n v="108000"/>
    <n v="1071769"/>
    <s v=""/>
    <s v="Not Found"/>
    <m/>
    <s v=""/>
    <s v="Starter"/>
    <s v="June"/>
    <s v="Q2"/>
  </r>
  <r>
    <s v="EOS1771"/>
    <d v="2026-06-03T00:00:00"/>
    <s v="FB"/>
    <s v="Nishant jain"/>
    <m/>
    <x v="1"/>
    <m/>
    <n v="130000"/>
    <n v="1071770"/>
    <s v=""/>
    <s v="Not Found"/>
    <m/>
    <s v=""/>
    <s v="Starter"/>
    <s v="June"/>
    <s v="Q2"/>
  </r>
  <r>
    <s v="EOS1772"/>
    <d v="2026-06-03T00:00:00"/>
    <s v="FB"/>
    <s v="Bhavesh Patel"/>
    <m/>
    <x v="0"/>
    <m/>
    <n v="108000"/>
    <n v="1071771"/>
    <s v=""/>
    <s v="Not Found"/>
    <m/>
    <s v=""/>
    <s v="Starter"/>
    <s v="June"/>
    <s v="Q2"/>
  </r>
  <r>
    <s v="EOS1773"/>
    <d v="2026-03-03T00:00:00"/>
    <s v="WP"/>
    <s v="Hitesh Prajapati"/>
    <s v="Anand "/>
    <x v="0"/>
    <m/>
    <n v="508000"/>
    <n v="1071772"/>
    <s v="Deal Done"/>
    <s v="Converted"/>
    <d v="2026-03-21T00:00:00"/>
    <n v="18"/>
    <s v="Premium"/>
    <s v="March"/>
    <s v="Q1"/>
  </r>
  <r>
    <s v="EOS1774"/>
    <d v="2026-03-25T00:00:00"/>
    <s v="FB"/>
    <s v="Manish Kumar Pandey"/>
    <s v="Shahdol"/>
    <x v="4"/>
    <m/>
    <n v="177000"/>
    <n v="1071773"/>
    <s v="Deal Done"/>
    <s v="Converted"/>
    <d v="2026-04-01T00:00:00"/>
    <n v="7"/>
    <s v="Growth"/>
    <s v="March"/>
    <s v="Q1"/>
  </r>
  <r>
    <s v="EOS1775"/>
    <d v="2026-04-04T00:00:00"/>
    <s v="WP"/>
    <s v="Mayur Thakor"/>
    <s v="Vadodara"/>
    <x v="0"/>
    <m/>
    <n v="130000"/>
    <n v="1071774"/>
    <s v="Deal Done"/>
    <s v="Converted"/>
    <d v="2026-04-24T00:00:00"/>
    <n v="20"/>
    <s v="Starter"/>
    <s v="April"/>
    <s v="Q2"/>
  </r>
  <r>
    <s v="EOS1776"/>
    <d v="2026-04-22T00:00:00"/>
    <s v="Google 4"/>
    <s v="Yuvraj Sinh "/>
    <s v="Rajkot"/>
    <x v="0"/>
    <m/>
    <n v="308000"/>
    <n v="1071775"/>
    <s v="Deal Done"/>
    <s v="Converted"/>
    <d v="2026-04-26T00:00:00"/>
    <n v="4"/>
    <s v="Premium"/>
    <s v="April"/>
    <s v="Q2"/>
  </r>
  <r>
    <s v="EOS1777"/>
    <d v="2026-05-25T00:00:00"/>
    <s v="Google 4"/>
    <s v="Pritam Sethy"/>
    <s v="Bhubaneshwar"/>
    <x v="12"/>
    <m/>
    <n v="130000"/>
    <n v="1071776"/>
    <s v="Deal Done"/>
    <s v="Converted"/>
    <d v="2026-06-03T00:00:00"/>
    <n v="9"/>
    <s v="Starter"/>
    <s v="May"/>
    <s v="Q2"/>
  </r>
  <r>
    <s v="EOS1778"/>
    <d v="2026-04-06T00:00:00"/>
    <s v="FB5"/>
    <s v="Vijay Parmar"/>
    <s v="Ahmedabad"/>
    <x v="0"/>
    <m/>
    <n v="130000"/>
    <n v="1071777"/>
    <s v="Deal Done"/>
    <s v="Converted"/>
    <d v="2026-06-06T00:00:00"/>
    <n v="61"/>
    <s v="Starter"/>
    <s v="April"/>
    <s v="Q2"/>
  </r>
  <r>
    <m/>
    <m/>
    <m/>
    <m/>
    <m/>
    <x v="13"/>
    <m/>
    <m/>
    <m/>
    <m/>
    <m/>
    <m/>
    <s v="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9">
  <r>
    <s v="EOS0001"/>
    <d v="2025-06-09T00:00:00"/>
    <s v="FB"/>
    <s v="FB"/>
    <s v="Rathod Kuldipsinh"/>
    <s v="Kodinar"/>
    <s v="Gujarat"/>
    <s v="Rejected"/>
    <n v="130000"/>
    <n v="107000"/>
    <s v="Rejected"/>
    <x v="0"/>
    <m/>
    <s v=""/>
    <x v="0"/>
    <x v="0"/>
    <s v="Q2"/>
    <x v="0"/>
  </r>
  <r>
    <s v="EOS0002"/>
    <d v="2025-06-09T00:00:00"/>
    <s v="FB"/>
    <s v="FB"/>
    <s v="Kiran Lashkari"/>
    <s v=" Bhavnagar"/>
    <s v="Gujarat"/>
    <s v="Rejected"/>
    <n v="108000"/>
    <n v="107001"/>
    <s v="Rejected"/>
    <x v="0"/>
    <m/>
    <s v=""/>
    <x v="0"/>
    <x v="0"/>
    <s v="Q2"/>
    <x v="0"/>
  </r>
  <r>
    <s v="EOS0003"/>
    <d v="2025-06-09T00:00:00"/>
    <s v="FB"/>
    <s v="FB"/>
    <s v="Abhay Naik"/>
    <s v="Bardoli"/>
    <s v="Gujarat"/>
    <s v="Rejected"/>
    <n v="108000"/>
    <n v="107002"/>
    <s v="Rejected"/>
    <x v="0"/>
    <m/>
    <s v=""/>
    <x v="0"/>
    <x v="0"/>
    <s v="Q2"/>
    <x v="0"/>
  </r>
  <r>
    <s v="EOS0004"/>
    <d v="2025-06-09T00:00:00"/>
    <s v="FB"/>
    <s v="FB"/>
    <s v="Kunalpatel"/>
    <s v="Ahmedabad"/>
    <s v="Gujarat"/>
    <s v="Rejected"/>
    <n v="177000"/>
    <n v="107003"/>
    <s v="Rejected"/>
    <x v="0"/>
    <m/>
    <s v=""/>
    <x v="1"/>
    <x v="0"/>
    <s v="Q2"/>
    <x v="0"/>
  </r>
  <r>
    <s v="EOS0005"/>
    <d v="2025-06-09T00:00:00"/>
    <s v="FB"/>
    <s v="FB"/>
    <s v="Kartik Kesarwani"/>
    <s v="Allahabad"/>
    <s v="Uttar Pradesh"/>
    <s v="Rejected"/>
    <n v="177000"/>
    <n v="107004"/>
    <s v="Rejected"/>
    <x v="0"/>
    <m/>
    <s v=""/>
    <x v="1"/>
    <x v="0"/>
    <s v="Q2"/>
    <x v="1"/>
  </r>
  <r>
    <s v="EOS0006"/>
    <d v="2025-06-09T00:00:00"/>
    <s v="FB"/>
    <s v="FB"/>
    <s v="Golu_Dwivedi"/>
    <s v="Gonda"/>
    <s v="Uttar Pradesh"/>
    <s v="Rejected"/>
    <n v="308000"/>
    <n v="107005"/>
    <s v="Rejected"/>
    <x v="0"/>
    <m/>
    <s v=""/>
    <x v="2"/>
    <x v="0"/>
    <s v="Q2"/>
    <x v="1"/>
  </r>
  <r>
    <s v="EOS0007"/>
    <d v="2025-06-09T00:00:00"/>
    <s v="FB"/>
    <s v="FB"/>
    <s v="સહજાનંદી સિંહ ધુ્વિક પટેલ"/>
    <s v="Padra"/>
    <s v="Gujarat"/>
    <s v="Rejected"/>
    <n v="108000"/>
    <n v="107006"/>
    <s v="Rejected"/>
    <x v="0"/>
    <m/>
    <s v=""/>
    <x v="0"/>
    <x v="0"/>
    <s v="Q2"/>
    <x v="0"/>
  </r>
  <r>
    <s v="EOS0008"/>
    <d v="2025-06-09T00:00:00"/>
    <s v="FB"/>
    <s v="FB"/>
    <s v="Het Thacker"/>
    <s v="Bhuj"/>
    <s v="Gujarat"/>
    <s v="Rejected"/>
    <n v="130000"/>
    <n v="107007"/>
    <s v="Rejected"/>
    <x v="0"/>
    <m/>
    <s v=""/>
    <x v="0"/>
    <x v="0"/>
    <s v="Q2"/>
    <x v="0"/>
  </r>
  <r>
    <s v="EOS0009"/>
    <d v="2025-06-09T00:00:00"/>
    <s v="FB"/>
    <s v="FB"/>
    <s v="Chintan Patel"/>
    <s v="Ahmedabad"/>
    <s v="Gujarat"/>
    <s v="Rejected"/>
    <n v="108000"/>
    <n v="107008"/>
    <s v="Rejected"/>
    <x v="0"/>
    <m/>
    <s v=""/>
    <x v="0"/>
    <x v="0"/>
    <s v="Q2"/>
    <x v="0"/>
  </r>
  <r>
    <s v="EOS0010"/>
    <d v="2025-06-09T00:00:00"/>
    <s v="FB"/>
    <s v="FB"/>
    <s v="Rohit"/>
    <s v="Baroda"/>
    <s v="Gujarat"/>
    <s v="Rejected"/>
    <n v="130000"/>
    <n v="107009"/>
    <s v="Rejected"/>
    <x v="0"/>
    <m/>
    <s v=""/>
    <x v="0"/>
    <x v="0"/>
    <s v="Q2"/>
    <x v="0"/>
  </r>
  <r>
    <s v="EOS0011"/>
    <d v="2025-06-09T00:00:00"/>
    <s v="FB"/>
    <s v="FB"/>
    <s v="Balvantsinh Zala"/>
    <s v="Somnath"/>
    <s v="Gujarat"/>
    <s v="Rejected"/>
    <n v="108000"/>
    <n v="107010"/>
    <s v="Rejected"/>
    <x v="0"/>
    <m/>
    <s v=""/>
    <x v="0"/>
    <x v="0"/>
    <s v="Q2"/>
    <x v="0"/>
  </r>
  <r>
    <s v="EOS0012"/>
    <d v="2025-06-09T00:00:00"/>
    <s v="FB"/>
    <s v="FB"/>
    <s v="Rohit Yadav"/>
    <s v="Kota"/>
    <s v="Rajasthan"/>
    <s v="Rejected"/>
    <n v="130000"/>
    <n v="107011"/>
    <s v="Rejected"/>
    <x v="0"/>
    <m/>
    <s v=""/>
    <x v="0"/>
    <x v="0"/>
    <s v="Q2"/>
    <x v="0"/>
  </r>
  <r>
    <s v="EOS0013"/>
    <d v="2025-06-09T00:00:00"/>
    <s v="FB"/>
    <s v="FB"/>
    <s v="Adnan Shaikh"/>
    <s v="Bharuch"/>
    <s v="Gujarat"/>
    <s v="Rejected"/>
    <n v="108000"/>
    <n v="107012"/>
    <s v="Rejected"/>
    <x v="0"/>
    <m/>
    <s v=""/>
    <x v="0"/>
    <x v="0"/>
    <s v="Q2"/>
    <x v="0"/>
  </r>
  <r>
    <s v="EOS0014"/>
    <d v="2025-06-09T00:00:00"/>
    <s v="FB"/>
    <s v="FB"/>
    <s v="Chavda Kamlesh"/>
    <s v="Limdi"/>
    <s v="Gujarat"/>
    <s v="Rejected"/>
    <n v="108000"/>
    <n v="107013"/>
    <s v="Rejected"/>
    <x v="0"/>
    <m/>
    <s v=""/>
    <x v="0"/>
    <x v="0"/>
    <s v="Q2"/>
    <x v="0"/>
  </r>
  <r>
    <s v="EOS0015"/>
    <d v="2025-06-09T00:00:00"/>
    <s v="FB"/>
    <s v="FB"/>
    <s v="Khushal Soni"/>
    <s v="Jamnagar"/>
    <s v="Gujarat"/>
    <s v="Rejected"/>
    <n v="177000"/>
    <n v="107014"/>
    <s v="Rejected"/>
    <x v="0"/>
    <m/>
    <s v=""/>
    <x v="1"/>
    <x v="0"/>
    <s v="Q2"/>
    <x v="0"/>
  </r>
  <r>
    <s v="EOS0016"/>
    <d v="2025-06-09T00:00:00"/>
    <s v="FB"/>
    <s v="FB"/>
    <s v="Sufiyan Kathiwala"/>
    <s v="Visnagar"/>
    <s v="Gujarat"/>
    <s v="Rejected"/>
    <n v="108000"/>
    <n v="107015"/>
    <s v="Rejected"/>
    <x v="0"/>
    <m/>
    <s v=""/>
    <x v="0"/>
    <x v="0"/>
    <s v="Q2"/>
    <x v="0"/>
  </r>
  <r>
    <s v="EOS0017"/>
    <d v="2025-06-09T00:00:00"/>
    <s v="FB"/>
    <s v="FB"/>
    <s v="Kunal Dafda"/>
    <s v="Rajkot"/>
    <s v="Gujarat"/>
    <s v="Rejected"/>
    <n v="108000"/>
    <n v="107016"/>
    <s v="Rejected"/>
    <x v="0"/>
    <m/>
    <s v=""/>
    <x v="0"/>
    <x v="0"/>
    <s v="Q2"/>
    <x v="0"/>
  </r>
  <r>
    <s v="EOS0018"/>
    <d v="2025-06-09T00:00:00"/>
    <s v="FB"/>
    <s v="FB"/>
    <s v="Jignesh Parekh"/>
    <s v="borsad"/>
    <s v="Gujarat"/>
    <s v="Deal"/>
    <n v="108000"/>
    <n v="107017"/>
    <s v="Deal"/>
    <x v="1"/>
    <d v="2025-06-16T00:00:00"/>
    <n v="7"/>
    <x v="0"/>
    <x v="0"/>
    <s v="Q2"/>
    <x v="0"/>
  </r>
  <r>
    <s v="EOS0019"/>
    <d v="2025-06-09T00:00:00"/>
    <s v="FB"/>
    <s v="FB"/>
    <s v="Mushtaq kapadia"/>
    <s v="Surat"/>
    <s v="Gujarat"/>
    <s v="Rejected"/>
    <n v="177000"/>
    <n v="107018"/>
    <s v="Rejected"/>
    <x v="0"/>
    <m/>
    <s v=""/>
    <x v="1"/>
    <x v="0"/>
    <s v="Q2"/>
    <x v="0"/>
  </r>
  <r>
    <s v="EOS0020"/>
    <d v="2025-06-09T00:00:00"/>
    <s v="FB"/>
    <s v="FB"/>
    <s v="Ravi Bhetariya"/>
    <s v="Jamnagar"/>
    <s v="Gujarat"/>
    <s v="Rejected"/>
    <n v="108000"/>
    <n v="107019"/>
    <s v="Rejected"/>
    <x v="0"/>
    <m/>
    <s v=""/>
    <x v="0"/>
    <x v="0"/>
    <s v="Q2"/>
    <x v="0"/>
  </r>
  <r>
    <s v="EOS0021"/>
    <d v="2025-06-09T00:00:00"/>
    <s v="FB"/>
    <s v="FB"/>
    <s v="Patel Meet"/>
    <s v="Bavla"/>
    <s v="Gujarat"/>
    <s v="Rejected"/>
    <n v="108000"/>
    <n v="107020"/>
    <s v="Deal"/>
    <x v="1"/>
    <m/>
    <s v=""/>
    <x v="0"/>
    <x v="0"/>
    <s v="Q2"/>
    <x v="0"/>
  </r>
  <r>
    <s v="EOS0022"/>
    <d v="2025-06-09T00:00:00"/>
    <s v="FB"/>
    <s v="FB"/>
    <s v="Jagrut Jadeja"/>
    <s v="Bantwa"/>
    <s v="Gujarat"/>
    <s v="Rejected"/>
    <n v="108000"/>
    <n v="107021"/>
    <s v="Rejected"/>
    <x v="0"/>
    <m/>
    <s v=""/>
    <x v="0"/>
    <x v="0"/>
    <s v="Q2"/>
    <x v="0"/>
  </r>
  <r>
    <s v="EOS0023"/>
    <d v="2025-06-09T00:00:00"/>
    <s v="FB"/>
    <s v="FB"/>
    <s v="Gulamabbas Meghani"/>
    <s v=" Bhavnagar"/>
    <s v="Gujarat"/>
    <s v="Rejected"/>
    <n v="130000"/>
    <n v="107022"/>
    <s v="Rejected"/>
    <x v="0"/>
    <m/>
    <s v=""/>
    <x v="0"/>
    <x v="0"/>
    <s v="Q2"/>
    <x v="0"/>
  </r>
  <r>
    <s v="EOS0024"/>
    <d v="2025-06-09T00:00:00"/>
    <s v="FB"/>
    <s v="FB"/>
    <s v="𝕯ɪʟɪᴘ Ⱥᴄʜᴀʀʏᴀ"/>
    <s v="Tharad"/>
    <s v="Gujarat"/>
    <s v="Rejected"/>
    <n v="108000"/>
    <n v="107023"/>
    <s v="Rejected"/>
    <x v="0"/>
    <m/>
    <s v=""/>
    <x v="0"/>
    <x v="0"/>
    <s v="Q2"/>
    <x v="0"/>
  </r>
  <r>
    <s v="EOS0025"/>
    <d v="2025-06-09T00:00:00"/>
    <s v="FB"/>
    <s v="FB"/>
    <s v="mayur_ahir_3543"/>
    <s v="Rajkot"/>
    <s v="Gujarat"/>
    <s v="Rejected"/>
    <n v="108000"/>
    <n v="107024"/>
    <s v="Rejected"/>
    <x v="0"/>
    <m/>
    <s v=""/>
    <x v="0"/>
    <x v="0"/>
    <s v="Q2"/>
    <x v="0"/>
  </r>
  <r>
    <s v="EOS0026"/>
    <d v="2025-06-09T00:00:00"/>
    <s v="FB"/>
    <s v="FB"/>
    <s v="Patel Jay"/>
    <s v="Khambhat"/>
    <s v="Gujarat"/>
    <s v="Rejected"/>
    <n v="108000"/>
    <n v="107025"/>
    <s v="Rejected"/>
    <x v="0"/>
    <m/>
    <s v=""/>
    <x v="0"/>
    <x v="0"/>
    <s v="Q2"/>
    <x v="0"/>
  </r>
  <r>
    <s v="EOS0027"/>
    <d v="2025-06-09T00:00:00"/>
    <s v="FB"/>
    <s v="FB"/>
    <s v="Keval Makwana"/>
    <s v="Rajkot"/>
    <s v="Gujarat"/>
    <s v="Rejected"/>
    <n v="108000"/>
    <n v="107026"/>
    <s v="Rejected"/>
    <x v="0"/>
    <m/>
    <s v=""/>
    <x v="0"/>
    <x v="0"/>
    <s v="Q2"/>
    <x v="0"/>
  </r>
  <r>
    <s v="EOS0028"/>
    <d v="2025-06-09T00:00:00"/>
    <s v="FB"/>
    <s v="FB"/>
    <s v="Mehul"/>
    <s v="Mota chiloda"/>
    <s v="Gujarat"/>
    <s v="Rejected"/>
    <n v="130000"/>
    <n v="107027"/>
    <s v="Rejected"/>
    <x v="0"/>
    <m/>
    <s v=""/>
    <x v="0"/>
    <x v="0"/>
    <s v="Q2"/>
    <x v="0"/>
  </r>
  <r>
    <s v="EOS0029"/>
    <d v="2025-06-09T00:00:00"/>
    <s v="FB"/>
    <s v="FB"/>
    <s v="Shànú Pàrmàr"/>
    <s v="Mehsana"/>
    <s v="Gujarat"/>
    <s v="Rejected"/>
    <n v="130000"/>
    <n v="107028"/>
    <s v="Rejected"/>
    <x v="0"/>
    <m/>
    <s v=""/>
    <x v="0"/>
    <x v="0"/>
    <s v="Q2"/>
    <x v="0"/>
  </r>
  <r>
    <s v="EOS0030"/>
    <d v="2025-06-09T00:00:00"/>
    <s v="FB"/>
    <s v="FB"/>
    <s v="ak_dhapa_2287"/>
    <s v="Jamnagar"/>
    <s v="Gujarat"/>
    <s v="Rejected"/>
    <n v="108000"/>
    <n v="107029"/>
    <s v="Rejected"/>
    <x v="0"/>
    <m/>
    <s v=""/>
    <x v="0"/>
    <x v="0"/>
    <s v="Q2"/>
    <x v="0"/>
  </r>
  <r>
    <s v="EOS0031"/>
    <d v="2025-06-09T00:00:00"/>
    <s v="FB"/>
    <s v="FB"/>
    <s v="Rakesh Yogi"/>
    <s v="Patan"/>
    <s v="Gujarat"/>
    <s v="Rejected"/>
    <n v="108000"/>
    <n v="107030"/>
    <s v="Rejected"/>
    <x v="0"/>
    <m/>
    <s v=""/>
    <x v="0"/>
    <x v="0"/>
    <s v="Q2"/>
    <x v="0"/>
  </r>
  <r>
    <s v="EOS0032"/>
    <d v="2025-06-09T00:00:00"/>
    <s v="FB"/>
    <s v="FB"/>
    <s v="Vijay Patel"/>
    <s v="Nadiad"/>
    <s v="Gujarat"/>
    <s v="Rejected"/>
    <n v="108000"/>
    <n v="107031"/>
    <s v="Rejected"/>
    <x v="0"/>
    <m/>
    <s v=""/>
    <x v="0"/>
    <x v="0"/>
    <s v="Q2"/>
    <x v="0"/>
  </r>
  <r>
    <s v="EOS0033"/>
    <d v="2025-06-09T00:00:00"/>
    <s v="FB"/>
    <s v="FB"/>
    <s v="$oyeb"/>
    <s v="Halol"/>
    <s v="Gujarat"/>
    <s v="Rejected"/>
    <n v="177000"/>
    <n v="107032"/>
    <s v="Rejected"/>
    <x v="0"/>
    <m/>
    <s v=""/>
    <x v="1"/>
    <x v="0"/>
    <s v="Q2"/>
    <x v="0"/>
  </r>
  <r>
    <s v="EOS0034"/>
    <d v="2025-06-09T00:00:00"/>
    <s v="FB"/>
    <s v="FB"/>
    <s v="Neel Gohel"/>
    <s v=" Bhavnagar"/>
    <s v="Gujarat"/>
    <s v="Rejected"/>
    <n v="130000"/>
    <n v="107033"/>
    <s v="Rejected"/>
    <x v="0"/>
    <m/>
    <s v=""/>
    <x v="0"/>
    <x v="0"/>
    <s v="Q2"/>
    <x v="0"/>
  </r>
  <r>
    <s v="EOS0035"/>
    <d v="2025-06-09T00:00:00"/>
    <s v="FB"/>
    <s v="FB"/>
    <s v="Kamal Sinha"/>
    <s v="dhamtari"/>
    <s v="Chattisgarh"/>
    <s v="Rejected"/>
    <n v="108000"/>
    <n v="107034"/>
    <s v="Rejected"/>
    <x v="0"/>
    <m/>
    <s v=""/>
    <x v="0"/>
    <x v="0"/>
    <s v="Q2"/>
    <x v="2"/>
  </r>
  <r>
    <s v="EOS0036"/>
    <d v="2025-06-09T00:00:00"/>
    <s v="FB"/>
    <s v="FB"/>
    <s v="Zala Divyrajsinh Bharad"/>
    <s v="Surendranagar"/>
    <s v="Gujarat"/>
    <s v="Rejected"/>
    <n v="108000"/>
    <n v="107035"/>
    <s v="Rejected"/>
    <x v="0"/>
    <m/>
    <s v=""/>
    <x v="0"/>
    <x v="0"/>
    <s v="Q2"/>
    <x v="0"/>
  </r>
  <r>
    <s v="EOS0037"/>
    <d v="2025-06-09T00:00:00"/>
    <s v="FB"/>
    <s v="FB"/>
    <s v="THE_SATISH___7___||"/>
    <s v="Surendranagar"/>
    <s v="Gujarat"/>
    <s v="Rejected"/>
    <n v="108000"/>
    <n v="107036"/>
    <s v="Rejected"/>
    <x v="0"/>
    <m/>
    <s v=""/>
    <x v="0"/>
    <x v="0"/>
    <s v="Q2"/>
    <x v="0"/>
  </r>
  <r>
    <s v="EOS0038"/>
    <d v="2025-06-09T00:00:00"/>
    <s v="FB"/>
    <s v="FB"/>
    <s v="Bhargav Mulchandani"/>
    <s v="Gandhidham"/>
    <s v="Gujarat"/>
    <s v="Rejected"/>
    <n v="130000"/>
    <n v="107037"/>
    <s v="Rejected"/>
    <x v="0"/>
    <m/>
    <s v=""/>
    <x v="0"/>
    <x v="0"/>
    <s v="Q2"/>
    <x v="0"/>
  </r>
  <r>
    <s v="EOS0039"/>
    <d v="2025-06-09T00:00:00"/>
    <s v="FB"/>
    <s v="FB"/>
    <s v="HARSH"/>
    <s v="Ahmedabad"/>
    <s v="Gujarat"/>
    <s v="Deal"/>
    <n v="108000"/>
    <n v="107038"/>
    <s v="Deal"/>
    <x v="1"/>
    <m/>
    <s v=""/>
    <x v="0"/>
    <x v="0"/>
    <s v="Q2"/>
    <x v="0"/>
  </r>
  <r>
    <s v="EOS0040"/>
    <d v="2025-06-09T00:00:00"/>
    <s v="FB"/>
    <s v="FB"/>
    <s v="𝐹𝑎𝑟ℎ𝑎𝑑 𝑉ℎ𝑜𝑟𝑎"/>
    <s v="Ahmedabad"/>
    <s v="Gujarat"/>
    <s v="Rejected"/>
    <n v="108000"/>
    <n v="107039"/>
    <s v="Rejected"/>
    <x v="0"/>
    <m/>
    <s v=""/>
    <x v="0"/>
    <x v="0"/>
    <s v="Q2"/>
    <x v="0"/>
  </r>
  <r>
    <s v="EOS0041"/>
    <d v="2025-06-11T00:00:00"/>
    <s v="FB"/>
    <s v="FB"/>
    <s v="Nancy"/>
    <s v="Panipat"/>
    <s v="Gujarat"/>
    <s v="Rejected"/>
    <n v="130000"/>
    <n v="107040"/>
    <s v="Rejected"/>
    <x v="0"/>
    <m/>
    <s v=""/>
    <x v="0"/>
    <x v="0"/>
    <s v="Q2"/>
    <x v="0"/>
  </r>
  <r>
    <s v="EOS0042"/>
    <d v="2025-06-11T00:00:00"/>
    <s v="FB"/>
    <s v="FB"/>
    <s v="Ankit"/>
    <s v="Allahabad"/>
    <s v="Uttar Pradesh"/>
    <s v="Rejected"/>
    <n v="130000"/>
    <n v="107041"/>
    <s v="Rejected"/>
    <x v="0"/>
    <m/>
    <s v=""/>
    <x v="0"/>
    <x v="0"/>
    <s v="Q2"/>
    <x v="1"/>
  </r>
  <r>
    <s v="EOS0043"/>
    <d v="2025-06-11T00:00:00"/>
    <s v="FB"/>
    <s v="FB"/>
    <s v="Mitul mevada"/>
    <s v="Ahmedabad"/>
    <s v="Gujarat"/>
    <s v="Rejected"/>
    <n v="108000"/>
    <n v="107042"/>
    <s v="Rejected"/>
    <x v="0"/>
    <m/>
    <s v=""/>
    <x v="0"/>
    <x v="0"/>
    <s v="Q2"/>
    <x v="0"/>
  </r>
  <r>
    <s v="EOS0044"/>
    <d v="2025-06-11T00:00:00"/>
    <s v="FB"/>
    <s v="FB"/>
    <s v="𝕯𝖊𝖛𝖊𝖓𝖉𝖗𝖆 𝕾𝖎𝖓𝖌𝖍 𝕾𝖊𝖓𝖉𝖍𝖆𝖛"/>
    <s v="Dewas"/>
    <s v="Madhya Pradesh"/>
    <s v="Rejected"/>
    <n v="130000"/>
    <n v="107043"/>
    <s v="Rejected"/>
    <x v="0"/>
    <m/>
    <s v=""/>
    <x v="0"/>
    <x v="0"/>
    <s v="Q2"/>
    <x v="2"/>
  </r>
  <r>
    <s v="EOS0045"/>
    <d v="2025-06-11T00:00:00"/>
    <s v="FB"/>
    <s v="FB"/>
    <s v="Hitesh Parmar"/>
    <s v="Ahmedabad"/>
    <s v="Gujarat"/>
    <s v="Rejected"/>
    <n v="130000"/>
    <n v="107044"/>
    <s v="Rejected"/>
    <x v="0"/>
    <m/>
    <s v=""/>
    <x v="0"/>
    <x v="0"/>
    <s v="Q2"/>
    <x v="0"/>
  </r>
  <r>
    <s v="EOS0046"/>
    <d v="2025-06-11T00:00:00"/>
    <s v="FB"/>
    <s v="FB"/>
    <n v="0"/>
    <s v="Kheralu"/>
    <s v="Gujarat"/>
    <s v="Rejected"/>
    <n v="108000"/>
    <n v="107045"/>
    <s v="Rejected"/>
    <x v="0"/>
    <m/>
    <s v=""/>
    <x v="0"/>
    <x v="0"/>
    <s v="Q2"/>
    <x v="0"/>
  </r>
  <r>
    <s v="EOS0047"/>
    <d v="2025-06-11T00:00:00"/>
    <s v="FB"/>
    <s v="FB"/>
    <s v="karmrajsinh vadher"/>
    <s v="Jamnagar"/>
    <s v="Gujarat"/>
    <s v="Rejected"/>
    <n v="108000"/>
    <n v="107046"/>
    <s v="Rejected"/>
    <x v="0"/>
    <m/>
    <s v=""/>
    <x v="0"/>
    <x v="0"/>
    <s v="Q2"/>
    <x v="0"/>
  </r>
  <r>
    <s v="EOS0048"/>
    <d v="2025-06-11T00:00:00"/>
    <s v="FB"/>
    <s v="FB"/>
    <s v="Vivek Diyora"/>
    <s v="Surat"/>
    <s v="Gujarat"/>
    <s v="Rejected"/>
    <n v="130000"/>
    <n v="107047"/>
    <s v="Rejected"/>
    <x v="0"/>
    <m/>
    <s v=""/>
    <x v="0"/>
    <x v="0"/>
    <s v="Q2"/>
    <x v="0"/>
  </r>
  <r>
    <s v="EOS0049"/>
    <d v="2025-06-11T00:00:00"/>
    <s v="FB"/>
    <s v="FB"/>
    <s v="Rajendrasinh Parmar"/>
    <s v="Gandhinagar"/>
    <s v="Gujarat"/>
    <s v="Rejected"/>
    <n v="108000"/>
    <n v="107048"/>
    <s v="Rejected"/>
    <x v="0"/>
    <m/>
    <s v=""/>
    <x v="0"/>
    <x v="0"/>
    <s v="Q2"/>
    <x v="0"/>
  </r>
  <r>
    <s v="EOS0050"/>
    <d v="2025-06-11T00:00:00"/>
    <s v="FB"/>
    <s v="FB"/>
    <s v="Gunjan // gp..."/>
    <s v="Patan"/>
    <s v="Gujarat"/>
    <s v="Rejected"/>
    <n v="308000"/>
    <n v="107049"/>
    <s v="Rejected"/>
    <x v="0"/>
    <m/>
    <s v=""/>
    <x v="2"/>
    <x v="0"/>
    <s v="Q2"/>
    <x v="0"/>
  </r>
  <r>
    <s v="EOS0051"/>
    <d v="2025-06-11T00:00:00"/>
    <s v="FB"/>
    <s v="FB"/>
    <s v="𝐏 𝐀 𝐑 𝐓 𝐇"/>
    <s v="Surendranagar"/>
    <s v="Gujarat"/>
    <s v="Rejected"/>
    <n v="130000"/>
    <n v="107050"/>
    <s v="Rejected"/>
    <x v="0"/>
    <m/>
    <s v=""/>
    <x v="0"/>
    <x v="0"/>
    <s v="Q2"/>
    <x v="0"/>
  </r>
  <r>
    <s v="EOS0052"/>
    <d v="2025-06-11T00:00:00"/>
    <s v="FB"/>
    <s v="FB"/>
    <s v="D.m. Ahir"/>
    <s v="Khambhalia"/>
    <s v="Gujarat"/>
    <s v="Rejected"/>
    <n v="177000"/>
    <n v="107051"/>
    <s v="Rejected"/>
    <x v="0"/>
    <m/>
    <s v=""/>
    <x v="1"/>
    <x v="0"/>
    <s v="Q2"/>
    <x v="0"/>
  </r>
  <r>
    <s v="EOS0053"/>
    <d v="2025-06-11T00:00:00"/>
    <s v="FB"/>
    <s v="FB"/>
    <s v="Sandip Solanki "/>
    <s v="Borsad"/>
    <s v="Gujarat"/>
    <s v="Rejected"/>
    <n v="108000"/>
    <n v="107052"/>
    <s v="Rejected"/>
    <x v="0"/>
    <m/>
    <s v=""/>
    <x v="0"/>
    <x v="0"/>
    <s v="Q2"/>
    <x v="0"/>
  </r>
  <r>
    <s v="EOS0054"/>
    <d v="2025-06-11T00:00:00"/>
    <s v="FB"/>
    <s v="FB"/>
    <s v="Ammar Vahora"/>
    <s v="Anand"/>
    <s v="Gujarat"/>
    <s v="Rejected"/>
    <n v="108000"/>
    <n v="107053"/>
    <s v="Rejected"/>
    <x v="0"/>
    <m/>
    <s v=""/>
    <x v="0"/>
    <x v="0"/>
    <s v="Q2"/>
    <x v="0"/>
  </r>
  <r>
    <s v="EOS0055"/>
    <d v="2025-06-11T00:00:00"/>
    <s v="FB"/>
    <s v="FB"/>
    <s v="Kartik Patel"/>
    <s v="Patan"/>
    <s v="Gujarat"/>
    <s v="Rejected"/>
    <n v="130000"/>
    <n v="107054"/>
    <s v="Rejected"/>
    <x v="0"/>
    <m/>
    <s v=""/>
    <x v="0"/>
    <x v="0"/>
    <s v="Q2"/>
    <x v="0"/>
  </r>
  <r>
    <s v="EOS0056"/>
    <d v="2025-06-11T00:00:00"/>
    <s v="FB"/>
    <s v="FB"/>
    <s v="🆂🅳🅷 🅽🅸🆁🆄🅳🅷🆂🅸🅽🅷 🅳"/>
    <s v="Mundra"/>
    <s v="Gujarat"/>
    <s v="Rejected"/>
    <n v="177000"/>
    <n v="107055"/>
    <s v="Rejected"/>
    <x v="0"/>
    <m/>
    <s v=""/>
    <x v="1"/>
    <x v="0"/>
    <s v="Q2"/>
    <x v="0"/>
  </r>
  <r>
    <s v="EOS0057"/>
    <d v="2025-06-11T00:00:00"/>
    <s v="FB"/>
    <s v="FB"/>
    <n v="0"/>
    <s v="Talala"/>
    <s v="Gujarat"/>
    <s v="Rejected"/>
    <n v="108000"/>
    <n v="107056"/>
    <s v="Rejected"/>
    <x v="0"/>
    <m/>
    <s v=""/>
    <x v="0"/>
    <x v="0"/>
    <s v="Q2"/>
    <x v="0"/>
  </r>
  <r>
    <s v="EOS0058"/>
    <d v="2025-06-11T00:00:00"/>
    <s v="FB"/>
    <s v="FB"/>
    <s v="Asfak Parasara"/>
    <s v="Wankaner"/>
    <s v="Gujarat"/>
    <s v="Rejected"/>
    <n v="130000"/>
    <n v="107057"/>
    <s v="Rejected"/>
    <x v="0"/>
    <m/>
    <s v=""/>
    <x v="0"/>
    <x v="0"/>
    <s v="Q2"/>
    <x v="0"/>
  </r>
  <r>
    <s v="EOS0059"/>
    <d v="2025-06-11T00:00:00"/>
    <s v="FB"/>
    <s v="FB"/>
    <s v="Vaibhav Pandey"/>
    <s v="Karwi"/>
    <s v="Uttar Pradesh"/>
    <s v="Deal"/>
    <n v="130000"/>
    <n v="107058"/>
    <s v="Deal"/>
    <x v="1"/>
    <m/>
    <s v=""/>
    <x v="0"/>
    <x v="0"/>
    <s v="Q2"/>
    <x v="1"/>
  </r>
  <r>
    <s v="EOS0060"/>
    <d v="2025-06-11T00:00:00"/>
    <s v="FB"/>
    <s v="FB"/>
    <s v="AVDEEP"/>
    <s v="Rajkot"/>
    <s v="Gujarat"/>
    <s v="Rejected"/>
    <n v="177000"/>
    <n v="107059"/>
    <s v="Rejected"/>
    <x v="0"/>
    <m/>
    <s v=""/>
    <x v="1"/>
    <x v="0"/>
    <s v="Q2"/>
    <x v="0"/>
  </r>
  <r>
    <s v="EOS0061"/>
    <d v="2025-06-11T00:00:00"/>
    <s v="FB"/>
    <s v="FB"/>
    <s v="Saumil Mistry"/>
    <s v="Ahmedabad"/>
    <s v="Gujarat"/>
    <s v="Rejected"/>
    <n v="108000"/>
    <n v="107060"/>
    <s v="Rejected"/>
    <x v="0"/>
    <m/>
    <s v=""/>
    <x v="0"/>
    <x v="0"/>
    <s v="Q2"/>
    <x v="0"/>
  </r>
  <r>
    <s v="EOS0062"/>
    <d v="2025-06-11T00:00:00"/>
    <s v="FB"/>
    <s v="FB"/>
    <s v="M. P. Joshi Bhudev"/>
    <s v="Tharad"/>
    <s v="Gujarat"/>
    <s v="Rejected"/>
    <n v="108000"/>
    <n v="107061"/>
    <s v="Rejected"/>
    <x v="0"/>
    <m/>
    <s v=""/>
    <x v="0"/>
    <x v="0"/>
    <s v="Q2"/>
    <x v="0"/>
  </r>
  <r>
    <s v="EOS0063"/>
    <d v="2025-06-11T00:00:00"/>
    <s v="FB"/>
    <s v="FB"/>
    <s v="રણા વિશ્વજીતસિંહ સુરપાલસિંહ"/>
    <s v="Motisarsan"/>
    <s v="Gujarat"/>
    <s v="Rejected"/>
    <n v="130000"/>
    <n v="107062"/>
    <s v="Rejected"/>
    <x v="0"/>
    <m/>
    <s v=""/>
    <x v="0"/>
    <x v="0"/>
    <s v="Q2"/>
    <x v="0"/>
  </r>
  <r>
    <s v="EOS0064"/>
    <d v="2025-06-11T00:00:00"/>
    <s v="FB"/>
    <s v="FB"/>
    <s v="PATHAN"/>
    <s v="Ahmedabad"/>
    <s v="Gujarat"/>
    <s v="Rejected"/>
    <n v="108000"/>
    <n v="107063"/>
    <s v="Rejected"/>
    <x v="0"/>
    <m/>
    <s v=""/>
    <x v="0"/>
    <x v="0"/>
    <s v="Q2"/>
    <x v="0"/>
  </r>
  <r>
    <s v="EOS0065"/>
    <d v="2025-06-11T00:00:00"/>
    <s v="FB"/>
    <s v="FB"/>
    <s v="Narendrasinh Parmar"/>
    <s v="Banaskantha"/>
    <s v="Gujarat"/>
    <s v="Rejected"/>
    <n v="130000"/>
    <n v="107064"/>
    <s v="Rejected"/>
    <x v="0"/>
    <m/>
    <s v=""/>
    <x v="0"/>
    <x v="0"/>
    <s v="Q2"/>
    <x v="0"/>
  </r>
  <r>
    <s v="EOS0066"/>
    <d v="2025-06-11T00:00:00"/>
    <s v="FB"/>
    <s v="FB"/>
    <s v="Dev Gandhi"/>
    <s v="Ahmedabad"/>
    <s v="Gujarat"/>
    <s v="Rejected"/>
    <n v="108000"/>
    <n v="107065"/>
    <s v="Rejected"/>
    <x v="0"/>
    <m/>
    <s v=""/>
    <x v="0"/>
    <x v="0"/>
    <s v="Q2"/>
    <x v="0"/>
  </r>
  <r>
    <s v="EOS0067"/>
    <d v="2025-06-11T00:00:00"/>
    <s v="FB"/>
    <s v="FB"/>
    <s v="Safdar Shaikh"/>
    <s v="MANGROL"/>
    <s v="Gujarat"/>
    <s v="Rejected"/>
    <n v="130000"/>
    <n v="107066"/>
    <s v="Rejected"/>
    <x v="0"/>
    <m/>
    <s v=""/>
    <x v="0"/>
    <x v="0"/>
    <s v="Q2"/>
    <x v="0"/>
  </r>
  <r>
    <s v="EOS0068"/>
    <d v="2025-06-11T00:00:00"/>
    <s v="FB"/>
    <s v="FB"/>
    <s v="himanshu Amin"/>
    <s v="Ahmedabad"/>
    <s v="Gujarat"/>
    <s v="Rejected"/>
    <n v="130000"/>
    <n v="107067"/>
    <s v="Rejected"/>
    <x v="0"/>
    <m/>
    <s v=""/>
    <x v="0"/>
    <x v="0"/>
    <s v="Q2"/>
    <x v="0"/>
  </r>
  <r>
    <s v="EOS0069"/>
    <s v="16/06/2025"/>
    <s v="FB"/>
    <s v="FB"/>
    <s v="Kaushik Ahir"/>
    <s v="Daman"/>
    <s v="Gujarat"/>
    <s v="Rejected"/>
    <n v="108000"/>
    <n v="107068"/>
    <s v="Rejected"/>
    <x v="0"/>
    <m/>
    <s v=""/>
    <x v="0"/>
    <x v="0"/>
    <s v="Q2"/>
    <x v="0"/>
  </r>
  <r>
    <s v="EOS0070"/>
    <s v="16/06/2025"/>
    <s v="FB"/>
    <s v="FB"/>
    <s v="𝙏𝙃𝙀 𝗩𝗔𝗚𝗛𝗘𝗟𝗔 𝗞𝗜𝗦𝗛𝗔𝗡 𝗢𝗙𝗙𝗜𝗖𝗜𝗔𝗟"/>
    <s v="Ahmedabad"/>
    <s v="Gujarat"/>
    <s v="Rejected"/>
    <n v="108000"/>
    <n v="107069"/>
    <s v="Rejected"/>
    <x v="0"/>
    <m/>
    <s v=""/>
    <x v="0"/>
    <x v="0"/>
    <s v="Q2"/>
    <x v="0"/>
  </r>
  <r>
    <s v="EOS0071"/>
    <s v="16/06/2025"/>
    <s v="FB"/>
    <s v="FB"/>
    <s v="Nilesh ramavat"/>
    <s v="damnagar"/>
    <s v="Gujarat"/>
    <s v="Rejected"/>
    <n v="108000"/>
    <n v="107070"/>
    <s v="Rejected"/>
    <x v="0"/>
    <m/>
    <s v=""/>
    <x v="0"/>
    <x v="0"/>
    <s v="Q2"/>
    <x v="0"/>
  </r>
  <r>
    <s v="EOS0072"/>
    <s v="16/06/2025"/>
    <s v="FB"/>
    <s v="FB"/>
    <s v="Yunus"/>
    <s v="Okha"/>
    <s v="Gujarat"/>
    <s v="Rejected"/>
    <n v="108000"/>
    <n v="107071"/>
    <s v="Rejected"/>
    <x v="0"/>
    <m/>
    <s v=""/>
    <x v="0"/>
    <x v="0"/>
    <s v="Q2"/>
    <x v="0"/>
  </r>
  <r>
    <s v="EOS0073"/>
    <s v="16/06/2025"/>
    <s v="FB"/>
    <s v="FB"/>
    <s v="SMIT_____ox"/>
    <s v="Unai"/>
    <s v="Gujarat"/>
    <s v="Rejected"/>
    <n v="108000"/>
    <n v="107072"/>
    <s v="Rejected"/>
    <x v="0"/>
    <m/>
    <s v=""/>
    <x v="0"/>
    <x v="0"/>
    <s v="Q2"/>
    <x v="0"/>
  </r>
  <r>
    <s v="EOS0074"/>
    <s v="16/06/2025"/>
    <s v="FB"/>
    <s v="FB"/>
    <s v="Viju sankhat"/>
    <s v="Mahuva"/>
    <s v="Gujarat"/>
    <s v="Rejected"/>
    <n v="130000"/>
    <n v="107073"/>
    <s v="Rejected"/>
    <x v="0"/>
    <m/>
    <s v=""/>
    <x v="0"/>
    <x v="0"/>
    <s v="Q2"/>
    <x v="0"/>
  </r>
  <r>
    <s v="EOS0075"/>
    <s v="16/06/2025"/>
    <s v="FB"/>
    <s v="FB"/>
    <s v="Jadeja Harshdipsinhji"/>
    <s v=" Bhavnagar"/>
    <s v="Gujarat"/>
    <s v="Rejected"/>
    <n v="108000"/>
    <n v="107074"/>
    <s v="Rejected"/>
    <x v="0"/>
    <m/>
    <s v=""/>
    <x v="0"/>
    <x v="0"/>
    <s v="Q2"/>
    <x v="0"/>
  </r>
  <r>
    <s v="EOS0076"/>
    <s v="17/06/2025"/>
    <s v="FB"/>
    <s v="FB"/>
    <s v="FeNeel Patel &amp; Co."/>
    <s v="Surat"/>
    <s v="Gujarat"/>
    <s v="Rejected"/>
    <n v="130000"/>
    <n v="107075"/>
    <s v="Rejected"/>
    <x v="0"/>
    <m/>
    <s v=""/>
    <x v="0"/>
    <x v="0"/>
    <s v="Q2"/>
    <x v="0"/>
  </r>
  <r>
    <s v="EOS0077"/>
    <s v="17/06/2025"/>
    <s v="FB"/>
    <s v="FB"/>
    <s v="Manish Kantibhai Patel"/>
    <s v="Bharuch"/>
    <s v="Gujarat"/>
    <s v="Rejected"/>
    <n v="108000"/>
    <n v="107076"/>
    <s v="Rejected"/>
    <x v="0"/>
    <m/>
    <s v=""/>
    <x v="0"/>
    <x v="0"/>
    <s v="Q2"/>
    <x v="0"/>
  </r>
  <r>
    <s v="EOS0078"/>
    <s v="17/06/2025"/>
    <s v="FB"/>
    <s v="FB"/>
    <s v="Akash Kapatel"/>
    <s v="Anand"/>
    <s v="Gujarat"/>
    <s v="Rejected"/>
    <n v="108000"/>
    <n v="107077"/>
    <s v="Rejected"/>
    <x v="0"/>
    <m/>
    <s v=""/>
    <x v="0"/>
    <x v="0"/>
    <s v="Q2"/>
    <x v="0"/>
  </r>
  <r>
    <s v="EOS0079"/>
    <s v="17/06/2025"/>
    <s v="FB"/>
    <s v="FB"/>
    <s v="Dhaval"/>
    <s v="Valsad"/>
    <s v="Gujarat"/>
    <s v="Rejected"/>
    <n v="130000"/>
    <n v="107078"/>
    <s v="Rejected"/>
    <x v="0"/>
    <m/>
    <s v=""/>
    <x v="0"/>
    <x v="0"/>
    <s v="Q2"/>
    <x v="0"/>
  </r>
  <r>
    <s v="EOS0080"/>
    <s v="17/06/2025"/>
    <s v="FB"/>
    <s v="FB"/>
    <s v="คʀຮhคd 𝐅ɑ𝐫ᵤⲕǐ"/>
    <s v="Patan"/>
    <s v="Gujarat"/>
    <s v="Rejected"/>
    <n v="177000"/>
    <n v="107079"/>
    <s v="Rejected"/>
    <x v="0"/>
    <m/>
    <s v=""/>
    <x v="1"/>
    <x v="0"/>
    <s v="Q2"/>
    <x v="0"/>
  </r>
  <r>
    <s v="EOS0081"/>
    <s v="18/06/2025"/>
    <s v="FB"/>
    <s v="FB"/>
    <s v="Omkar Dudharejiya"/>
    <s v="Surat"/>
    <s v="Gujarat"/>
    <s v="Rejected"/>
    <n v="108000"/>
    <n v="107080"/>
    <s v="Rejected"/>
    <x v="0"/>
    <m/>
    <s v=""/>
    <x v="0"/>
    <x v="0"/>
    <s v="Q2"/>
    <x v="0"/>
  </r>
  <r>
    <s v="EOS0082"/>
    <s v="18/06/2025"/>
    <s v="FB"/>
    <s v="FB"/>
    <s v="Karan Khatri"/>
    <s v="Surat"/>
    <s v="Gujarat"/>
    <s v="Rejected"/>
    <n v="130000"/>
    <n v="107081"/>
    <s v="Rejected"/>
    <x v="0"/>
    <m/>
    <s v=""/>
    <x v="0"/>
    <x v="0"/>
    <s v="Q2"/>
    <x v="0"/>
  </r>
  <r>
    <s v="EOS0083"/>
    <s v="18/06/2025"/>
    <s v="FB"/>
    <s v="FB"/>
    <s v="Nikhil"/>
    <s v="Rajkot"/>
    <s v="Gujarat"/>
    <s v="Rejected"/>
    <n v="130000"/>
    <n v="107082"/>
    <s v="Deal"/>
    <x v="1"/>
    <m/>
    <s v=""/>
    <x v="0"/>
    <x v="0"/>
    <s v="Q2"/>
    <x v="0"/>
  </r>
  <r>
    <s v="EOS0084"/>
    <s v="18/06/2025"/>
    <s v="FB"/>
    <s v="FB"/>
    <s v="Salim bhai"/>
    <s v="Rapar"/>
    <s v="Gujarat"/>
    <s v="Rejected"/>
    <n v="108000"/>
    <n v="107083"/>
    <s v="Rejected"/>
    <x v="0"/>
    <m/>
    <s v=""/>
    <x v="0"/>
    <x v="0"/>
    <s v="Q2"/>
    <x v="0"/>
  </r>
  <r>
    <s v="EOS0085"/>
    <s v="18/06/2025"/>
    <s v="FB"/>
    <s v="FB"/>
    <s v="yagnik"/>
    <s v="Mehsana"/>
    <s v="Gujarat"/>
    <s v="Rejected"/>
    <n v="130000"/>
    <n v="107084"/>
    <s v="Rejected"/>
    <x v="0"/>
    <m/>
    <s v=""/>
    <x v="0"/>
    <x v="0"/>
    <s v="Q2"/>
    <x v="0"/>
  </r>
  <r>
    <s v="EOS0086"/>
    <s v="18/06/2025"/>
    <s v="FB"/>
    <s v="FB"/>
    <s v="Raj"/>
    <s v="Palghar"/>
    <s v="Maharashtra"/>
    <s v="Rejected"/>
    <n v="130000"/>
    <n v="107085"/>
    <s v="Rejected"/>
    <x v="0"/>
    <m/>
    <s v=""/>
    <x v="0"/>
    <x v="0"/>
    <s v="Q2"/>
    <x v="0"/>
  </r>
  <r>
    <s v="EOS0087"/>
    <d v="2025-06-07T00:00:00"/>
    <s v="FB"/>
    <s v="FB"/>
    <s v="chaudhary nik"/>
    <s v="Gandhinagar"/>
    <s v="Gujarat"/>
    <s v="Rejected"/>
    <n v="130000"/>
    <n v="107086"/>
    <s v="Rejected"/>
    <x v="0"/>
    <m/>
    <s v=""/>
    <x v="0"/>
    <x v="0"/>
    <s v="Q2"/>
    <x v="0"/>
  </r>
  <r>
    <s v="EOS0088"/>
    <d v="2025-06-07T00:00:00"/>
    <s v="FB"/>
    <s v="FB"/>
    <s v="Kaushik"/>
    <s v="Ahmedabad"/>
    <s v="Gujarat"/>
    <s v="Rejected"/>
    <n v="108000"/>
    <n v="107087"/>
    <s v="Rejected"/>
    <x v="0"/>
    <m/>
    <s v=""/>
    <x v="0"/>
    <x v="0"/>
    <s v="Q2"/>
    <x v="0"/>
  </r>
  <r>
    <s v="EOS0089"/>
    <d v="2025-06-07T00:00:00"/>
    <s v="FB"/>
    <s v="FB"/>
    <s v="Parth Patel"/>
    <s v="Surat"/>
    <s v="Gujarat"/>
    <s v="Rejected"/>
    <n v="108000"/>
    <n v="107088"/>
    <s v="Deal"/>
    <x v="1"/>
    <m/>
    <s v=""/>
    <x v="0"/>
    <x v="0"/>
    <s v="Q2"/>
    <x v="0"/>
  </r>
  <r>
    <s v="EOS0090"/>
    <d v="2025-06-09T00:00:00"/>
    <s v="FB"/>
    <s v="FB"/>
    <s v="RAJPUROHIT LOONSINGH"/>
    <s v="Vadodara"/>
    <s v="Gujarat"/>
    <s v="Rejected"/>
    <n v="130000"/>
    <n v="107089"/>
    <s v="Rejected"/>
    <x v="0"/>
    <m/>
    <s v=""/>
    <x v="0"/>
    <x v="0"/>
    <s v="Q2"/>
    <x v="0"/>
  </r>
  <r>
    <s v="EOS0091"/>
    <d v="2025-06-11T00:00:00"/>
    <s v="FB"/>
    <s v="FB"/>
    <n v="0"/>
    <s v="Porbandar"/>
    <s v="Gujarat"/>
    <s v="Rejected"/>
    <n v="108000"/>
    <n v="107090"/>
    <s v="Rejected"/>
    <x v="0"/>
    <m/>
    <s v=""/>
    <x v="0"/>
    <x v="0"/>
    <s v="Q2"/>
    <x v="0"/>
  </r>
  <r>
    <s v="EOS0092"/>
    <d v="2025-06-11T00:00:00"/>
    <s v="FB"/>
    <s v="FB"/>
    <s v="Vikram Rabari"/>
    <s v="Vinchhiya"/>
    <s v="Gujarat"/>
    <s v="Rejected"/>
    <n v="130000"/>
    <n v="107091"/>
    <s v="Rejected"/>
    <x v="0"/>
    <m/>
    <s v=""/>
    <x v="0"/>
    <x v="0"/>
    <s v="Q2"/>
    <x v="0"/>
  </r>
  <r>
    <s v="EOS0093"/>
    <d v="2025-06-11T00:00:00"/>
    <s v="FB"/>
    <s v="FB"/>
    <s v="Mr. Collection"/>
    <s v="Vadodara"/>
    <s v="Gujarat"/>
    <s v="Rejected"/>
    <n v="130000"/>
    <n v="107092"/>
    <s v="Rejected"/>
    <x v="0"/>
    <m/>
    <s v=""/>
    <x v="0"/>
    <x v="0"/>
    <s v="Q2"/>
    <x v="0"/>
  </r>
  <r>
    <s v="EOS0094"/>
    <d v="2025-06-12T00:00:00"/>
    <s v="FB"/>
    <s v="FB"/>
    <s v="ibrahim_shekha"/>
    <s v="surat"/>
    <s v="Gujarat"/>
    <s v="Rejected"/>
    <n v="130000"/>
    <n v="107093"/>
    <s v="Rejected"/>
    <x v="0"/>
    <m/>
    <s v=""/>
    <x v="0"/>
    <x v="0"/>
    <s v="Q2"/>
    <x v="0"/>
  </r>
  <r>
    <s v="EOS0095"/>
    <s v="13/06/2025"/>
    <s v="FB"/>
    <s v="FB"/>
    <s v="Sandhya Prajapati"/>
    <s v="Ahmedabad"/>
    <s v="Gujarat"/>
    <s v="Rejected"/>
    <n v="108000"/>
    <n v="107094"/>
    <s v="Rejected"/>
    <x v="0"/>
    <m/>
    <s v=""/>
    <x v="0"/>
    <x v="0"/>
    <s v="Q2"/>
    <x v="0"/>
  </r>
  <r>
    <s v="EOS0096"/>
    <s v="13/06/2025"/>
    <s v="FB"/>
    <s v="FB"/>
    <s v="Montu Rathod"/>
    <s v="Jetpur"/>
    <s v="Gujarat"/>
    <s v="Rejected"/>
    <n v="130000"/>
    <n v="107095"/>
    <s v="Rejected"/>
    <x v="0"/>
    <m/>
    <s v=""/>
    <x v="0"/>
    <x v="0"/>
    <s v="Q2"/>
    <x v="0"/>
  </r>
  <r>
    <s v="EOS0097"/>
    <s v="14/06/2025"/>
    <s v="FB"/>
    <s v="FB"/>
    <s v="Raeesh Shaikh"/>
    <s v="Rajkot"/>
    <s v="Gujarat"/>
    <s v="Rejected"/>
    <n v="130000"/>
    <n v="107096"/>
    <s v="Rejected"/>
    <x v="0"/>
    <m/>
    <s v=""/>
    <x v="0"/>
    <x v="0"/>
    <s v="Q2"/>
    <x v="0"/>
  </r>
  <r>
    <s v="EOS0098"/>
    <s v="14/06/2025"/>
    <s v="FB"/>
    <s v="FB"/>
    <s v="Jaydeep Devda"/>
    <s v="Fatepura"/>
    <s v="Gujarat"/>
    <s v="Rejected"/>
    <n v="108000"/>
    <n v="107097"/>
    <s v="Rejected"/>
    <x v="0"/>
    <m/>
    <s v=""/>
    <x v="0"/>
    <x v="0"/>
    <s v="Q2"/>
    <x v="0"/>
  </r>
  <r>
    <s v="EOS0099"/>
    <s v="14/06/2025"/>
    <s v="FB"/>
    <s v="FB"/>
    <s v="Sohil Barchha"/>
    <s v="Rajkot"/>
    <s v="Gujarat"/>
    <s v="Rejected"/>
    <n v="130000"/>
    <n v="107098"/>
    <s v="Rejected"/>
    <x v="0"/>
    <m/>
    <s v=""/>
    <x v="0"/>
    <x v="0"/>
    <s v="Q2"/>
    <x v="0"/>
  </r>
  <r>
    <s v="EOS0100"/>
    <s v="16/06/2025"/>
    <s v="FB"/>
    <s v="FB"/>
    <s v="Mihir P Machhi"/>
    <s v="Rajpipla"/>
    <s v="Gujarat"/>
    <s v="Rejected"/>
    <n v="130000"/>
    <n v="107099"/>
    <s v="Rejected"/>
    <x v="0"/>
    <m/>
    <s v=""/>
    <x v="0"/>
    <x v="0"/>
    <s v="Q2"/>
    <x v="0"/>
  </r>
  <r>
    <s v="EOS0101"/>
    <s v="16/06/2025"/>
    <s v="FB"/>
    <s v="FB"/>
    <s v="Timir Shah"/>
    <s v="Bhuj"/>
    <s v="Gujarat"/>
    <s v="Rejected"/>
    <n v="130000"/>
    <n v="107100"/>
    <s v="Rejected"/>
    <x v="0"/>
    <m/>
    <s v=""/>
    <x v="0"/>
    <x v="0"/>
    <s v="Q2"/>
    <x v="0"/>
  </r>
  <r>
    <s v="EOS0102"/>
    <s v="16/06/2025"/>
    <s v="FB"/>
    <s v="FB"/>
    <s v="Ahir Umesh Barad"/>
    <s v="Rajkot"/>
    <s v="Gujarat"/>
    <s v="Rejected"/>
    <n v="108000"/>
    <n v="107101"/>
    <s v="Rejected"/>
    <x v="0"/>
    <m/>
    <s v=""/>
    <x v="0"/>
    <x v="0"/>
    <s v="Q2"/>
    <x v="0"/>
  </r>
  <r>
    <s v="EOS0103"/>
    <s v="18/06/2025"/>
    <s v="FB"/>
    <s v="FB"/>
    <s v="નટખટ મારો કાનો"/>
    <s v="Surat"/>
    <s v="Gujarat"/>
    <s v="Rejected"/>
    <n v="130000"/>
    <n v="107102"/>
    <s v="Rejected"/>
    <x v="0"/>
    <m/>
    <s v=""/>
    <x v="0"/>
    <x v="0"/>
    <s v="Q2"/>
    <x v="0"/>
  </r>
  <r>
    <s v="EOS0104"/>
    <s v="18/06/2025"/>
    <s v="FB"/>
    <s v="FB"/>
    <s v="bhagirath Singh Rathore"/>
    <s v="sankhara"/>
    <s v="Rajasthan"/>
    <s v="Rejected"/>
    <n v="108000"/>
    <n v="107103"/>
    <s v="Rejected"/>
    <x v="0"/>
    <m/>
    <s v=""/>
    <x v="0"/>
    <x v="0"/>
    <s v="Q2"/>
    <x v="0"/>
  </r>
  <r>
    <s v="EOS0105"/>
    <s v="18/06/2025"/>
    <s v="FB"/>
    <s v="FB"/>
    <s v="Mihir"/>
    <s v="Porbandar"/>
    <s v="Gujarat"/>
    <s v="Rejected"/>
    <n v="130000"/>
    <n v="107104"/>
    <s v="Rejected"/>
    <x v="0"/>
    <m/>
    <s v=""/>
    <x v="0"/>
    <x v="0"/>
    <s v="Q2"/>
    <x v="0"/>
  </r>
  <r>
    <s v="EOS0106"/>
    <s v="18/06/2025"/>
    <s v="FB"/>
    <s v="FB"/>
    <s v="Amit Patel"/>
    <s v="Narsinghpur"/>
    <s v="Madhya Pradesh"/>
    <s v="Rejected"/>
    <n v="108000"/>
    <n v="107105"/>
    <s v="Rejected"/>
    <x v="0"/>
    <m/>
    <s v=""/>
    <x v="0"/>
    <x v="0"/>
    <s v="Q2"/>
    <x v="2"/>
  </r>
  <r>
    <s v="EOS0107"/>
    <s v="18/06/2025"/>
    <s v="FB"/>
    <s v="FB"/>
    <s v="Noor alam"/>
    <s v="Bahraich"/>
    <s v="Uttar Pradesh"/>
    <s v="Rejected"/>
    <n v="130000"/>
    <n v="107106"/>
    <s v="Rejected"/>
    <x v="0"/>
    <m/>
    <s v=""/>
    <x v="0"/>
    <x v="0"/>
    <s v="Q2"/>
    <x v="1"/>
  </r>
  <r>
    <s v="EOS0108"/>
    <s v="18/06/2025"/>
    <s v="FB"/>
    <s v="FB"/>
    <s v="Harsh"/>
    <s v="Prayagaraj"/>
    <s v="Uttar Pradesh"/>
    <s v="Rejected"/>
    <n v="130000"/>
    <n v="107107"/>
    <s v="Rejected"/>
    <x v="0"/>
    <m/>
    <s v=""/>
    <x v="0"/>
    <x v="0"/>
    <s v="Q2"/>
    <x v="1"/>
  </r>
  <r>
    <s v="EOS0109"/>
    <s v="18/06/2025"/>
    <s v="FB"/>
    <s v="FB"/>
    <s v="Rajesh Rabari"/>
    <s v="Gandhidham"/>
    <s v="Gujarat"/>
    <s v="Rejected"/>
    <n v="130000"/>
    <n v="107108"/>
    <s v="Rejected"/>
    <x v="0"/>
    <m/>
    <s v=""/>
    <x v="0"/>
    <x v="0"/>
    <s v="Q2"/>
    <x v="0"/>
  </r>
  <r>
    <s v="EOS0110"/>
    <s v="18/06/2025"/>
    <s v="FB"/>
    <s v="FB"/>
    <s v="Boghara parth"/>
    <s v="Surat"/>
    <s v="Gujarat"/>
    <s v="Rejected"/>
    <n v="130000"/>
    <n v="107109"/>
    <s v="Rejected"/>
    <x v="0"/>
    <m/>
    <s v=""/>
    <x v="0"/>
    <x v="0"/>
    <s v="Q2"/>
    <x v="0"/>
  </r>
  <r>
    <s v="EOS0111"/>
    <s v="18/06/2025"/>
    <s v="FB"/>
    <s v="FB"/>
    <s v="Aakash Caterers"/>
    <s v="Jamnagar"/>
    <s v="Gujarat"/>
    <s v="Rejected"/>
    <n v="108000"/>
    <n v="107110"/>
    <s v="Rejected"/>
    <x v="0"/>
    <m/>
    <s v=""/>
    <x v="0"/>
    <x v="0"/>
    <s v="Q2"/>
    <x v="0"/>
  </r>
  <r>
    <s v="EOS0112"/>
    <s v="18/06/2025"/>
    <s v="FB"/>
    <s v="FB"/>
    <s v="𝐕𝐚𝐠𝐡𝐞𝐥𝐚 𝐘𝐚𝐬𝐡𝐫𝐚𝐣𝐬𝐢𝐧𝐡"/>
    <s v="Sanand"/>
    <s v="Gujarat"/>
    <s v="Rejected"/>
    <n v="130000"/>
    <n v="107111"/>
    <s v="Rejected"/>
    <x v="0"/>
    <m/>
    <s v=""/>
    <x v="0"/>
    <x v="0"/>
    <s v="Q2"/>
    <x v="0"/>
  </r>
  <r>
    <s v="EOS0113"/>
    <s v="18/06/2025"/>
    <s v="FB"/>
    <s v="FB"/>
    <s v="Vishal Rajgor"/>
    <s v="Rajkot"/>
    <s v="Gujarat"/>
    <s v="Rejected"/>
    <n v="130000"/>
    <n v="107112"/>
    <s v="Rejected"/>
    <x v="0"/>
    <m/>
    <s v=""/>
    <x v="0"/>
    <x v="0"/>
    <s v="Q2"/>
    <x v="0"/>
  </r>
  <r>
    <s v="EOS0114"/>
    <s v="18/06/2025"/>
    <s v="FB"/>
    <s v="FB"/>
    <s v="દિવ્યરાજસિંહ વાઘેલા"/>
    <s v="Jamnagar"/>
    <s v="Gujarat"/>
    <s v="Rejected"/>
    <n v="130000"/>
    <n v="107113"/>
    <s v="Rejected"/>
    <x v="0"/>
    <m/>
    <s v=""/>
    <x v="0"/>
    <x v="0"/>
    <s v="Q2"/>
    <x v="0"/>
  </r>
  <r>
    <s v="EOS0115"/>
    <s v="18/06/2025"/>
    <s v="FB"/>
    <s v="FB"/>
    <s v="𝐌𝐚𝐧𝐢𝐬𝐡 𝐜𝐡𝐚𝐮𝐡𝐚𝐧"/>
    <s v="Noida"/>
    <s v="Uttar Pradesh"/>
    <s v="Rejected"/>
    <n v="108000"/>
    <n v="107114"/>
    <s v="Rejected"/>
    <x v="0"/>
    <m/>
    <s v=""/>
    <x v="0"/>
    <x v="0"/>
    <s v="Q2"/>
    <x v="1"/>
  </r>
  <r>
    <s v="EOS0116"/>
    <s v="18/06/2025"/>
    <s v="FB"/>
    <s v="FB"/>
    <s v="Mahesh Sahu"/>
    <s v="Mau Ranipur"/>
    <s v="Uttar Pradesh"/>
    <s v="Rejected"/>
    <n v="130000"/>
    <n v="107115"/>
    <s v="Rejected"/>
    <x v="0"/>
    <m/>
    <s v=""/>
    <x v="0"/>
    <x v="0"/>
    <s v="Q2"/>
    <x v="1"/>
  </r>
  <r>
    <s v="EOS0117"/>
    <s v="18/06/2025"/>
    <s v="FB"/>
    <s v="FB"/>
    <s v="M Arsh"/>
    <s v="Delhi"/>
    <s v="Delhi"/>
    <s v="Rejected"/>
    <n v="130000"/>
    <n v="107116"/>
    <s v="Rejected"/>
    <x v="0"/>
    <m/>
    <s v=""/>
    <x v="0"/>
    <x v="0"/>
    <s v="Q2"/>
    <x v="1"/>
  </r>
  <r>
    <s v="EOS0118"/>
    <s v="18/06/2025"/>
    <s v="FB"/>
    <s v="FB"/>
    <s v="Manoj Malik"/>
    <s v="Ghaziabad"/>
    <s v="Uttar Pradesh"/>
    <s v="Rejected"/>
    <n v="108000"/>
    <n v="107117"/>
    <s v="Rejected"/>
    <x v="0"/>
    <m/>
    <s v=""/>
    <x v="0"/>
    <x v="0"/>
    <s v="Q2"/>
    <x v="1"/>
  </r>
  <r>
    <s v="EOS0119"/>
    <s v="18/06/2025"/>
    <s v="FB"/>
    <s v="FB"/>
    <s v="𝚁𝚘𝚗𝚒𝚝 𝙲𝚑𝚊𝚗𝚍el"/>
    <s v="Meerut"/>
    <s v="Uttar Pradesh"/>
    <s v="Rejected"/>
    <n v="130000"/>
    <n v="107118"/>
    <s v="Rejected"/>
    <x v="0"/>
    <m/>
    <s v=""/>
    <x v="0"/>
    <x v="0"/>
    <s v="Q2"/>
    <x v="1"/>
  </r>
  <r>
    <s v="EOS0120"/>
    <s v="18/06/2025"/>
    <s v="FB"/>
    <s v="FB"/>
    <s v="Rangesh Kumar"/>
    <s v="Khagaria"/>
    <s v="Bihar"/>
    <s v="Rejected"/>
    <n v="130000"/>
    <n v="107119"/>
    <s v="Rejected"/>
    <x v="0"/>
    <m/>
    <s v=""/>
    <x v="0"/>
    <x v="0"/>
    <s v="Q2"/>
    <x v="3"/>
  </r>
  <r>
    <s v="EOS0121"/>
    <s v="18/06/2025"/>
    <s v="FB"/>
    <s v="FB"/>
    <s v="Meet Patadiya"/>
    <s v="Ahmedabad"/>
    <s v="Gujarat"/>
    <s v="Rejected"/>
    <n v="108000"/>
    <n v="107120"/>
    <s v="Rejected"/>
    <x v="0"/>
    <m/>
    <s v=""/>
    <x v="0"/>
    <x v="0"/>
    <s v="Q2"/>
    <x v="0"/>
  </r>
  <r>
    <s v="EOS0122"/>
    <s v="18/06/2025"/>
    <s v="FB"/>
    <s v="FB"/>
    <s v="chauhan jayant"/>
    <s v="Rajkot"/>
    <s v="Gujarat"/>
    <s v="Rejected"/>
    <n v="130000"/>
    <n v="107121"/>
    <s v="Deal"/>
    <x v="1"/>
    <m/>
    <s v=""/>
    <x v="0"/>
    <x v="0"/>
    <s v="Q2"/>
    <x v="0"/>
  </r>
  <r>
    <s v="EOS0123"/>
    <s v="18/06/2025"/>
    <s v="FB"/>
    <s v="FB"/>
    <s v="Akash Aggarwal"/>
    <s v="Ghaziabad"/>
    <s v="Uttar Pradesh"/>
    <s v="Rejected"/>
    <n v="108000"/>
    <n v="107122"/>
    <s v="Rejected"/>
    <x v="0"/>
    <m/>
    <s v=""/>
    <x v="0"/>
    <x v="0"/>
    <s v="Q2"/>
    <x v="1"/>
  </r>
  <r>
    <s v="EOS0124"/>
    <s v="18/06/2025"/>
    <s v="FB"/>
    <s v="FB"/>
    <s v="Arshad Khan"/>
    <s v="Baikunthpur"/>
    <s v="Chattisgarh"/>
    <s v="Rejected"/>
    <n v="108000"/>
    <n v="107123"/>
    <s v="Rejected"/>
    <x v="0"/>
    <m/>
    <s v=""/>
    <x v="0"/>
    <x v="0"/>
    <s v="Q2"/>
    <x v="2"/>
  </r>
  <r>
    <s v="EOS0125"/>
    <s v="18/06/2025"/>
    <s v="FB"/>
    <s v="FB"/>
    <s v="Samad"/>
    <s v="Kanpur"/>
    <s v="Uttar Pradesh"/>
    <s v="Deal"/>
    <n v="130000"/>
    <n v="107124"/>
    <s v="Deal"/>
    <x v="1"/>
    <d v="2025-06-28T00:00:00"/>
    <n v="10"/>
    <x v="0"/>
    <x v="0"/>
    <s v="Q2"/>
    <x v="1"/>
  </r>
  <r>
    <s v="EOS0126"/>
    <s v="18/06/2025"/>
    <s v="FB"/>
    <s v="FB"/>
    <s v="Avakesh Vaghela"/>
    <s v="Gandhinagar"/>
    <s v="Gujarat"/>
    <s v="Rejected"/>
    <n v="108000"/>
    <n v="107125"/>
    <s v="Rejected"/>
    <x v="0"/>
    <m/>
    <s v=""/>
    <x v="0"/>
    <x v="0"/>
    <s v="Q2"/>
    <x v="0"/>
  </r>
  <r>
    <s v="EOS0127"/>
    <s v="19/06/2025"/>
    <s v="FB"/>
    <s v="FB"/>
    <s v="Ranjitsinh Thakor"/>
    <s v="Vadnagar"/>
    <s v="Gujarat"/>
    <s v="Rejected"/>
    <n v="108000"/>
    <n v="107126"/>
    <s v="Rejected"/>
    <x v="0"/>
    <m/>
    <s v=""/>
    <x v="0"/>
    <x v="0"/>
    <s v="Q2"/>
    <x v="0"/>
  </r>
  <r>
    <s v="EOS0128"/>
    <s v="19/06/2025"/>
    <s v="FB"/>
    <s v="FB"/>
    <s v="Pravinsinh"/>
    <s v="Chadasna"/>
    <s v="Gujarat"/>
    <s v="Rejected"/>
    <n v="130000"/>
    <n v="107127"/>
    <s v="Rejected"/>
    <x v="0"/>
    <m/>
    <s v=""/>
    <x v="0"/>
    <x v="0"/>
    <s v="Q2"/>
    <x v="0"/>
  </r>
  <r>
    <s v="EOS0129"/>
    <s v="19/06/2025"/>
    <s v="FB"/>
    <s v="FB"/>
    <s v="Rajesh"/>
    <s v=" Bhavnagar"/>
    <s v="Gujarat"/>
    <s v="Rejected"/>
    <n v="108000"/>
    <n v="107128"/>
    <s v="Rejected"/>
    <x v="0"/>
    <m/>
    <s v=""/>
    <x v="0"/>
    <x v="0"/>
    <s v="Q2"/>
    <x v="0"/>
  </r>
  <r>
    <s v="EOS0130"/>
    <s v="19/06/2025"/>
    <s v="FB"/>
    <s v="FB"/>
    <s v="Dev Jariwala"/>
    <s v="Surat"/>
    <s v="Gujarat"/>
    <s v="Rejected"/>
    <n v="130000"/>
    <n v="107129"/>
    <s v="Rejected"/>
    <x v="0"/>
    <m/>
    <s v=""/>
    <x v="0"/>
    <x v="0"/>
    <s v="Q2"/>
    <x v="0"/>
  </r>
  <r>
    <s v="EOS0131"/>
    <s v="20/06/2025"/>
    <s v="FB"/>
    <s v="FB"/>
    <s v="Nikunj Patel"/>
    <s v="VALSAD"/>
    <s v="Gujarat"/>
    <s v="Rejected"/>
    <n v="130000"/>
    <n v="107130"/>
    <s v="Rejected"/>
    <x v="0"/>
    <m/>
    <s v=""/>
    <x v="0"/>
    <x v="0"/>
    <s v="Q2"/>
    <x v="0"/>
  </r>
  <r>
    <s v="EOS0132"/>
    <s v="20/06/2025"/>
    <s v="FB"/>
    <s v="FB"/>
    <s v="ↁ卄尺ㄩƔ P A T E L"/>
    <s v="Nadiad"/>
    <s v="Gujarat"/>
    <s v="Rejected"/>
    <n v="108000"/>
    <n v="107131"/>
    <s v="Rejected"/>
    <x v="0"/>
    <m/>
    <s v=""/>
    <x v="0"/>
    <x v="0"/>
    <s v="Q2"/>
    <x v="0"/>
  </r>
  <r>
    <s v="EOS0133"/>
    <s v="23/06/2025"/>
    <s v="FB"/>
    <s v="FB"/>
    <s v="MD AMIR HAMZA"/>
    <m/>
    <s v="Assam"/>
    <s v="Rejected"/>
    <n v="130000"/>
    <n v="107132"/>
    <s v="Rejected"/>
    <x v="0"/>
    <m/>
    <s v=""/>
    <x v="0"/>
    <x v="0"/>
    <s v="Q2"/>
    <x v="3"/>
  </r>
  <r>
    <s v="EOS0134"/>
    <s v="23/06/2025"/>
    <s v="FB"/>
    <s v="FB"/>
    <s v="monu kumar"/>
    <s v="Bettiah"/>
    <s v="Bihar"/>
    <s v="Rejected"/>
    <n v="130000"/>
    <n v="107133"/>
    <s v="Rejected"/>
    <x v="0"/>
    <m/>
    <s v=""/>
    <x v="0"/>
    <x v="0"/>
    <s v="Q2"/>
    <x v="3"/>
  </r>
  <r>
    <s v="EOS0135"/>
    <s v="23/06/2025"/>
    <s v="FB"/>
    <s v="FB"/>
    <s v="RAHUL_PINJANI_24"/>
    <s v=" Bhavnagar"/>
    <s v="Gujarat"/>
    <s v="Rejected"/>
    <n v="177000"/>
    <n v="107134"/>
    <s v="Rejected"/>
    <x v="0"/>
    <m/>
    <s v=""/>
    <x v="1"/>
    <x v="0"/>
    <s v="Q2"/>
    <x v="0"/>
  </r>
  <r>
    <s v="EOS0136"/>
    <s v="23/06/2025"/>
    <s v="FB"/>
    <s v="FB"/>
    <s v="☬꧂ ɢǟʊʀǟʋ քʀǟʝǟքǟȶɨ ☬꧂"/>
    <s v="Rajkot"/>
    <s v="Gujarat"/>
    <s v="Rejected"/>
    <n v="130000"/>
    <n v="107135"/>
    <s v="Rejected"/>
    <x v="0"/>
    <m/>
    <s v=""/>
    <x v="0"/>
    <x v="0"/>
    <s v="Q2"/>
    <x v="0"/>
  </r>
  <r>
    <s v="EOS0137"/>
    <s v="23/06/2025"/>
    <s v="FB"/>
    <s v="FB"/>
    <s v="Vivek_vadodariya2601"/>
    <s v="Surat"/>
    <s v="Gujarat"/>
    <s v="Rejected"/>
    <n v="108000"/>
    <n v="107136"/>
    <s v="Rejected"/>
    <x v="0"/>
    <m/>
    <s v=""/>
    <x v="0"/>
    <x v="0"/>
    <s v="Q2"/>
    <x v="0"/>
  </r>
  <r>
    <s v="EOS0138"/>
    <s v="23/06/2025"/>
    <s v="FB"/>
    <s v="FB"/>
    <s v="Dharmesh Zakheliya"/>
    <s v="Rajkot"/>
    <s v="Gujarat"/>
    <s v="Rejected"/>
    <n v="177000"/>
    <n v="107137"/>
    <s v="Rejected"/>
    <x v="0"/>
    <m/>
    <s v=""/>
    <x v="1"/>
    <x v="0"/>
    <s v="Q2"/>
    <x v="0"/>
  </r>
  <r>
    <s v="EOS0139"/>
    <s v="23/06/2025"/>
    <s v="FB"/>
    <s v="FB"/>
    <s v="Sun Shaine Imran Lihar"/>
    <s v="Modasa"/>
    <s v="Gujarat"/>
    <s v="Rejected"/>
    <n v="108000"/>
    <n v="107138"/>
    <s v="Rejected"/>
    <x v="0"/>
    <m/>
    <s v=""/>
    <x v="0"/>
    <x v="0"/>
    <s v="Q2"/>
    <x v="0"/>
  </r>
  <r>
    <s v="EOS0140"/>
    <s v="23/06/2025"/>
    <s v="FB"/>
    <s v="FB"/>
    <s v="jayesh gauswami"/>
    <s v="Adipur"/>
    <s v="Gujarat"/>
    <s v="Rejected"/>
    <n v="108000"/>
    <n v="107139"/>
    <s v="Rejected"/>
    <x v="0"/>
    <m/>
    <s v=""/>
    <x v="0"/>
    <x v="0"/>
    <s v="Q2"/>
    <x v="0"/>
  </r>
  <r>
    <s v="EOS0141"/>
    <s v="23/06/2025"/>
    <s v="FB"/>
    <s v="FB"/>
    <s v="Danidhariya Vipul"/>
    <s v=" Bhavnagar"/>
    <s v="Gujarat"/>
    <s v="Rejected"/>
    <n v="130000"/>
    <n v="107140"/>
    <s v="Rejected"/>
    <x v="0"/>
    <m/>
    <s v=""/>
    <x v="0"/>
    <x v="0"/>
    <s v="Q2"/>
    <x v="0"/>
  </r>
  <r>
    <s v="EOS0142"/>
    <s v="23/06/2025"/>
    <s v="FB"/>
    <s v="FB"/>
    <s v="ʀ ᴀ ʜ ᴜ ʟ ࿇ м ᴀ ᴋ ᴠ ᴀ ɴ ᴀ"/>
    <s v="Surat"/>
    <s v="Gujarat"/>
    <s v="Rejected"/>
    <n v="130000"/>
    <n v="107141"/>
    <s v="Rejected"/>
    <x v="0"/>
    <m/>
    <s v=""/>
    <x v="0"/>
    <x v="0"/>
    <s v="Q2"/>
    <x v="0"/>
  </r>
  <r>
    <s v="EOS0143"/>
    <s v="23/06/2025"/>
    <s v="FB"/>
    <s v="FB"/>
    <s v="Jinesh Joshi"/>
    <s v="Rajkot"/>
    <s v="Gujarat"/>
    <s v="Rejected"/>
    <n v="130000"/>
    <n v="107142"/>
    <s v="Rejected"/>
    <x v="0"/>
    <m/>
    <s v=""/>
    <x v="0"/>
    <x v="0"/>
    <s v="Q2"/>
    <x v="0"/>
  </r>
  <r>
    <s v="EOS0144"/>
    <s v="23/06/2025"/>
    <s v="FB"/>
    <s v="FB"/>
    <s v="Prajapati Yogesh"/>
    <s v="Ankleshwar"/>
    <s v="Gujarat"/>
    <s v="Rejected"/>
    <n v="130000"/>
    <n v="107143"/>
    <s v="Rejected"/>
    <x v="0"/>
    <m/>
    <s v=""/>
    <x v="0"/>
    <x v="0"/>
    <s v="Q2"/>
    <x v="0"/>
  </r>
  <r>
    <s v="EOS0145"/>
    <s v="23/06/2025"/>
    <s v="FB"/>
    <s v="FB"/>
    <s v="Modan Bhaijan Modan"/>
    <s v=" Bhavnagar"/>
    <s v="Gujarat"/>
    <s v="Rejected"/>
    <n v="108000"/>
    <n v="107144"/>
    <s v="Rejected"/>
    <x v="0"/>
    <m/>
    <s v=""/>
    <x v="0"/>
    <x v="0"/>
    <s v="Q2"/>
    <x v="0"/>
  </r>
  <r>
    <s v="EOS0146"/>
    <s v="23/06/2025"/>
    <s v="FB"/>
    <s v="FB"/>
    <s v="Dhruv 1137"/>
    <s v="Mehsana"/>
    <s v="Gujarat"/>
    <s v="Rejected"/>
    <n v="130000"/>
    <n v="107145"/>
    <s v="Rejected"/>
    <x v="0"/>
    <m/>
    <s v=""/>
    <x v="0"/>
    <x v="0"/>
    <s v="Q2"/>
    <x v="0"/>
  </r>
  <r>
    <s v="EOS0147"/>
    <s v="23/06/2025"/>
    <s v="FB"/>
    <s v="FB"/>
    <s v="Gopal Sadhu"/>
    <s v="SURAT"/>
    <s v="Gujarat"/>
    <s v="Rejected"/>
    <n v="130000"/>
    <n v="107146"/>
    <s v="Rejected"/>
    <x v="0"/>
    <m/>
    <s v=""/>
    <x v="0"/>
    <x v="0"/>
    <s v="Q2"/>
    <x v="0"/>
  </r>
  <r>
    <s v="EOS0148"/>
    <s v="23/06/2025"/>
    <s v="FB"/>
    <s v="FB"/>
    <n v="1"/>
    <s v="Jhalod"/>
    <s v="Gujarat"/>
    <s v="Rejected"/>
    <n v="130000"/>
    <n v="107147"/>
    <s v="Rejected"/>
    <x v="0"/>
    <m/>
    <s v=""/>
    <x v="0"/>
    <x v="0"/>
    <s v="Q2"/>
    <x v="0"/>
  </r>
  <r>
    <s v="EOS0149"/>
    <s v="23/06/2025"/>
    <s v="FB"/>
    <s v="FB"/>
    <s v="Mahir Andheri"/>
    <s v="Nadiad"/>
    <s v="Gujarat"/>
    <s v="Rejected"/>
    <n v="130000"/>
    <n v="107148"/>
    <s v="Deal"/>
    <x v="1"/>
    <m/>
    <s v=""/>
    <x v="0"/>
    <x v="0"/>
    <s v="Q2"/>
    <x v="0"/>
  </r>
  <r>
    <s v="EOS0150"/>
    <s v="23/06/2025"/>
    <s v="FB"/>
    <s v="FB"/>
    <s v="……."/>
    <s v="Jamnagar"/>
    <s v="Gujarat"/>
    <s v="Rejected"/>
    <n v="130000"/>
    <n v="107149"/>
    <s v="Deal"/>
    <x v="1"/>
    <m/>
    <s v=""/>
    <x v="0"/>
    <x v="0"/>
    <s v="Q2"/>
    <x v="0"/>
  </r>
  <r>
    <s v="EOS0151"/>
    <s v="23/06/2025"/>
    <s v="FB"/>
    <s v="FB"/>
    <s v="SANDIPSINH RAJPUT"/>
    <s v="Vav"/>
    <s v="Gujarat"/>
    <s v="Rejected"/>
    <n v="130000"/>
    <n v="107150"/>
    <s v="Rejected"/>
    <x v="0"/>
    <m/>
    <s v=""/>
    <x v="0"/>
    <x v="0"/>
    <s v="Q2"/>
    <x v="0"/>
  </r>
  <r>
    <s v="EOS0152"/>
    <s v="23/06/2025"/>
    <s v="FB"/>
    <s v="FB"/>
    <s v="JATIN GUJARIYA"/>
    <s v="Mahuva Bandar"/>
    <s v="Gujarat"/>
    <s v="Rejected"/>
    <n v="108000"/>
    <n v="107151"/>
    <s v="Rejected"/>
    <x v="0"/>
    <m/>
    <s v=""/>
    <x v="0"/>
    <x v="0"/>
    <s v="Q2"/>
    <x v="0"/>
  </r>
  <r>
    <s v="EOS0153"/>
    <s v="23/06/2025"/>
    <s v="FB"/>
    <s v="FB"/>
    <s v="P N Jadeja"/>
    <s v="Gandhidham"/>
    <s v="Gujarat"/>
    <s v="Deal"/>
    <n v="108000"/>
    <n v="107152"/>
    <s v="Deal"/>
    <x v="1"/>
    <d v="2025-07-05T00:00:00"/>
    <n v="12"/>
    <x v="0"/>
    <x v="0"/>
    <s v="Q2"/>
    <x v="0"/>
  </r>
  <r>
    <s v="EOS0154"/>
    <s v="23/06/2025"/>
    <s v="FB"/>
    <s v="FB"/>
    <s v="Riyaz Pathan"/>
    <s v="Veraval"/>
    <s v="Gujarat"/>
    <s v="Rejected"/>
    <n v="108000"/>
    <n v="107153"/>
    <s v="Rejected"/>
    <x v="0"/>
    <m/>
    <s v=""/>
    <x v="0"/>
    <x v="0"/>
    <s v="Q2"/>
    <x v="0"/>
  </r>
  <r>
    <s v="EOS0155"/>
    <s v="23/06/2025"/>
    <s v="FB"/>
    <s v="FB"/>
    <s v="SOLANKI MITESH"/>
    <s v="Dhangdhra"/>
    <s v="Gujarat"/>
    <s v="Rejected"/>
    <n v="108000"/>
    <n v="107154"/>
    <s v="Rejected"/>
    <x v="0"/>
    <m/>
    <s v=""/>
    <x v="0"/>
    <x v="0"/>
    <s v="Q2"/>
    <x v="0"/>
  </r>
  <r>
    <s v="EOS0156"/>
    <s v="23/06/2025"/>
    <s v="FB"/>
    <s v="FB"/>
    <s v="Shishupal Bishnoi"/>
    <s v="Ahmedabad"/>
    <s v="Gujarat"/>
    <s v="Rejected"/>
    <n v="130000"/>
    <n v="107155"/>
    <s v="Rejected"/>
    <x v="0"/>
    <m/>
    <s v=""/>
    <x v="0"/>
    <x v="0"/>
    <s v="Q2"/>
    <x v="0"/>
  </r>
  <r>
    <s v="EOS0157"/>
    <s v="23/06/2025"/>
    <s v="FB"/>
    <s v="FB"/>
    <s v="Jigar Ramanbhai Patel"/>
    <s v="Mehsana"/>
    <s v="Gujarat"/>
    <s v="Rejected"/>
    <n v="177000"/>
    <n v="107156"/>
    <s v="Rejected"/>
    <x v="0"/>
    <m/>
    <s v=""/>
    <x v="1"/>
    <x v="0"/>
    <s v="Q2"/>
    <x v="0"/>
  </r>
  <r>
    <s v="EOS0158"/>
    <s v="23/06/2025"/>
    <s v="FB"/>
    <s v="FB"/>
    <s v="Sahebaz Shaikh"/>
    <s v="Nadiad"/>
    <s v="Gujarat"/>
    <s v="Rejected"/>
    <n v="108000"/>
    <n v="107157"/>
    <s v="Rejected"/>
    <x v="0"/>
    <m/>
    <s v=""/>
    <x v="0"/>
    <x v="0"/>
    <s v="Q2"/>
    <x v="0"/>
  </r>
  <r>
    <s v="EOS0159"/>
    <s v="23/06/2025"/>
    <s v="FB"/>
    <s v="FB"/>
    <s v="Khalid Mandha"/>
    <s v="Jamnagar"/>
    <s v="Gujarat"/>
    <s v="Rejected"/>
    <n v="130000"/>
    <n v="107158"/>
    <s v="Rejected"/>
    <x v="0"/>
    <m/>
    <s v=""/>
    <x v="0"/>
    <x v="0"/>
    <s v="Q2"/>
    <x v="0"/>
  </r>
  <r>
    <s v="EOS0160"/>
    <s v="23/06/2025"/>
    <s v="FB"/>
    <s v="FB"/>
    <s v="BhaRat ChauDhary"/>
    <s v="Dhanera"/>
    <s v="Gujarat"/>
    <s v="Rejected"/>
    <n v="130000"/>
    <n v="107159"/>
    <s v="Rejected"/>
    <x v="0"/>
    <m/>
    <s v=""/>
    <x v="0"/>
    <x v="0"/>
    <s v="Q2"/>
    <x v="0"/>
  </r>
  <r>
    <s v="EOS0161"/>
    <s v="23/06/2025"/>
    <s v="FB"/>
    <s v="FB"/>
    <s v="Hiren"/>
    <s v="Ankleshwar"/>
    <s v="Gujarat"/>
    <s v="Deal"/>
    <n v="130000"/>
    <n v="107160"/>
    <s v="Deal"/>
    <x v="1"/>
    <d v="2025-06-30T00:00:00"/>
    <n v="7"/>
    <x v="0"/>
    <x v="0"/>
    <s v="Q2"/>
    <x v="0"/>
  </r>
  <r>
    <s v="EOS0162"/>
    <s v="23/06/2025"/>
    <s v="FB"/>
    <s v="FB"/>
    <s v="Rakesh Parmar"/>
    <s v="Ahmedabad"/>
    <s v="Gujarat"/>
    <s v="Rejected"/>
    <n v="130000"/>
    <n v="107161"/>
    <s v="Rejected"/>
    <x v="0"/>
    <m/>
    <s v=""/>
    <x v="0"/>
    <x v="0"/>
    <s v="Q2"/>
    <x v="0"/>
  </r>
  <r>
    <s v="EOS0163"/>
    <d v="2025-06-26T00:00:00"/>
    <s v="FB"/>
    <s v="FB"/>
    <s v="jatin "/>
    <s v="Mahuva "/>
    <s v="Gujarat"/>
    <s v="Deal"/>
    <n v="130000"/>
    <n v="107162"/>
    <s v="Deal"/>
    <x v="1"/>
    <d v="2025-07-01T00:00:00"/>
    <n v="5"/>
    <x v="0"/>
    <x v="0"/>
    <s v="Q2"/>
    <x v="0"/>
  </r>
  <r>
    <s v="EOS0164"/>
    <s v="26/06/2025"/>
    <s v="FB"/>
    <s v="FB"/>
    <s v="Udaysinh"/>
    <s v="Rajkot"/>
    <s v="Gujarat"/>
    <s v="Rejected"/>
    <n v="130000"/>
    <n v="107163"/>
    <s v="Rejected"/>
    <x v="0"/>
    <m/>
    <s v=""/>
    <x v="0"/>
    <x v="0"/>
    <s v="Q2"/>
    <x v="0"/>
  </r>
  <r>
    <s v="EOS0165"/>
    <s v="26/06/2025"/>
    <s v="FB"/>
    <s v="FB"/>
    <s v="Vikram Rajput"/>
    <s v="Vadodara"/>
    <s v="Gujarat"/>
    <s v="Rejected"/>
    <n v="177000"/>
    <n v="107164"/>
    <s v="Rejected"/>
    <x v="0"/>
    <m/>
    <s v=""/>
    <x v="1"/>
    <x v="0"/>
    <s v="Q2"/>
    <x v="0"/>
  </r>
  <r>
    <s v="EOS0166"/>
    <s v="26/06/2025"/>
    <s v="FB"/>
    <s v="FB"/>
    <s v="Rajsee Pandey"/>
    <s v="Lucknow"/>
    <s v="Uttar Pradesh"/>
    <s v="Rejected"/>
    <n v="130000"/>
    <n v="107165"/>
    <s v="Rejected"/>
    <x v="0"/>
    <m/>
    <s v=""/>
    <x v="0"/>
    <x v="0"/>
    <s v="Q2"/>
    <x v="1"/>
  </r>
  <r>
    <s v="EOS0167"/>
    <s v="26/06/2025"/>
    <s v="FB"/>
    <s v="FB"/>
    <s v="Anowar Hossain"/>
    <s v=" Cooch behar"/>
    <s v="West Bengal"/>
    <s v="Rejected"/>
    <n v="130000"/>
    <n v="107166"/>
    <s v="Rejected"/>
    <x v="0"/>
    <m/>
    <s v=""/>
    <x v="0"/>
    <x v="0"/>
    <s v="Q2"/>
    <x v="3"/>
  </r>
  <r>
    <s v="EOS0168"/>
    <s v="26/06/2025"/>
    <s v="FB"/>
    <s v="FB"/>
    <s v="Alok"/>
    <s v="Surat"/>
    <s v="Gujarat"/>
    <s v="Rejected"/>
    <n v="130000"/>
    <n v="107167"/>
    <s v="Rejected"/>
    <x v="0"/>
    <m/>
    <s v=""/>
    <x v="0"/>
    <x v="0"/>
    <s v="Q2"/>
    <x v="0"/>
  </r>
  <r>
    <s v="EOS0169"/>
    <s v="27/06/2025"/>
    <s v="FB"/>
    <s v="FB"/>
    <s v="ꜱᴏʜɪʟ ʙɪʟᴀᴋʜɪʏᴀ"/>
    <s v="Palitana"/>
    <s v="Gujarat"/>
    <s v="Rejected"/>
    <n v="130000"/>
    <n v="107168"/>
    <s v="Rejected"/>
    <x v="0"/>
    <m/>
    <s v=""/>
    <x v="0"/>
    <x v="0"/>
    <s v="Q2"/>
    <x v="0"/>
  </r>
  <r>
    <s v="EOS0170"/>
    <s v="27/06/2025"/>
    <s v="FB"/>
    <s v="FB"/>
    <s v="Amit Rana"/>
    <s v="surat"/>
    <s v="Gujarat"/>
    <s v="Rejected"/>
    <n v="130000"/>
    <n v="107169"/>
    <s v="Rejected"/>
    <x v="0"/>
    <m/>
    <s v=""/>
    <x v="0"/>
    <x v="0"/>
    <s v="Q2"/>
    <x v="0"/>
  </r>
  <r>
    <s v="EOS0171"/>
    <s v="27/06/2025"/>
    <s v="FB"/>
    <s v="FB"/>
    <s v="Vaibhav Joshi"/>
    <s v="surat"/>
    <s v="Gujarat"/>
    <s v="Rejected"/>
    <n v="108000"/>
    <n v="107170"/>
    <s v="Rejected"/>
    <x v="0"/>
    <m/>
    <s v=""/>
    <x v="0"/>
    <x v="0"/>
    <s v="Q2"/>
    <x v="0"/>
  </r>
  <r>
    <s v="EOS0172"/>
    <s v="27/06/2025"/>
    <s v="FB"/>
    <s v="FB"/>
    <s v="Narendrasinh Zala"/>
    <s v=" Bhavnagar"/>
    <s v="Gujarat"/>
    <s v="Rejected"/>
    <n v="130000"/>
    <n v="107171"/>
    <s v="Rejected"/>
    <x v="0"/>
    <m/>
    <s v=""/>
    <x v="0"/>
    <x v="0"/>
    <s v="Q2"/>
    <x v="0"/>
  </r>
  <r>
    <s v="EOS0173"/>
    <s v="27/06/2025"/>
    <s v="FB"/>
    <s v="FB"/>
    <s v="Thakkar Mahesh Anubhai"/>
    <s v="Nadiad"/>
    <s v="Gujarat"/>
    <s v="Rejected"/>
    <n v="177000"/>
    <n v="107172"/>
    <s v="Rejected"/>
    <x v="0"/>
    <m/>
    <s v=""/>
    <x v="1"/>
    <x v="0"/>
    <s v="Q2"/>
    <x v="0"/>
  </r>
  <r>
    <s v="EOS0174"/>
    <s v="27/06/2025"/>
    <s v="FB"/>
    <s v="FB"/>
    <s v="Galathiya Parth"/>
    <s v="Savarkundla"/>
    <s v="Gujarat"/>
    <s v="Rejected"/>
    <n v="177000"/>
    <n v="107173"/>
    <s v="Rejected"/>
    <x v="0"/>
    <m/>
    <s v=""/>
    <x v="1"/>
    <x v="0"/>
    <s v="Q2"/>
    <x v="0"/>
  </r>
  <r>
    <s v="EOS0175"/>
    <s v="27/06/2025"/>
    <s v="FB"/>
    <s v="FB"/>
    <s v="Kritika singh"/>
    <s v="Beohari"/>
    <s v="Madhya Pradesh"/>
    <s v="Rejected"/>
    <n v="108000"/>
    <n v="107174"/>
    <s v="Rejected"/>
    <x v="0"/>
    <m/>
    <s v=""/>
    <x v="0"/>
    <x v="0"/>
    <s v="Q2"/>
    <x v="2"/>
  </r>
  <r>
    <s v="EOS0176"/>
    <s v="28/06/2025"/>
    <s v="FB"/>
    <s v="FB"/>
    <s v="Samad Agwan."/>
    <s v="veraval"/>
    <s v="Gujarat"/>
    <s v="Rejected"/>
    <n v="108000"/>
    <n v="107175"/>
    <s v="Rejected"/>
    <x v="0"/>
    <m/>
    <s v=""/>
    <x v="0"/>
    <x v="0"/>
    <s v="Q2"/>
    <x v="0"/>
  </r>
  <r>
    <s v="EOS0177"/>
    <s v="28/06/2025"/>
    <s v="FB"/>
    <s v="FB"/>
    <s v="𝐀𝐕𝐄𝐒𝐇 𝐕𝐀𝐃𝐀𝐃𝐀𝐑𝐈𝐘𝐀"/>
    <s v="Surendranagar"/>
    <s v="Gujarat"/>
    <s v="Rejected"/>
    <n v="130000"/>
    <n v="107176"/>
    <s v="Rejected"/>
    <x v="0"/>
    <m/>
    <s v=""/>
    <x v="0"/>
    <x v="0"/>
    <s v="Q2"/>
    <x v="0"/>
  </r>
  <r>
    <s v="EOS0178"/>
    <s v="28/06/2025"/>
    <s v="FB"/>
    <s v="FB"/>
    <s v="Raju Kumar Sah"/>
    <s v="Godda"/>
    <s v="jharkhand"/>
    <s v="Rejected"/>
    <n v="130000"/>
    <n v="107177"/>
    <s v="Rejected"/>
    <x v="0"/>
    <m/>
    <s v=""/>
    <x v="0"/>
    <x v="0"/>
    <s v="Q2"/>
    <x v="3"/>
  </r>
  <r>
    <s v="EOS0179"/>
    <s v="28/06/2025"/>
    <s v="FB"/>
    <s v="FB"/>
    <s v="Tanmay adhikari"/>
    <m/>
    <s v="West Bengal"/>
    <s v="Rejected"/>
    <n v="130000"/>
    <n v="107178"/>
    <s v="Rejected"/>
    <x v="0"/>
    <m/>
    <s v=""/>
    <x v="0"/>
    <x v="0"/>
    <s v="Q2"/>
    <x v="3"/>
  </r>
  <r>
    <s v="EOS0180"/>
    <s v="28/06/2025"/>
    <s v="FB"/>
    <s v="FB"/>
    <s v="GOPAL"/>
    <s v="Rajkot"/>
    <s v="Gujarat"/>
    <s v="Rejected"/>
    <n v="108000"/>
    <n v="107179"/>
    <s v="Rejected"/>
    <x v="0"/>
    <m/>
    <s v=""/>
    <x v="0"/>
    <x v="0"/>
    <s v="Q2"/>
    <x v="0"/>
  </r>
  <r>
    <s v="EOS0181"/>
    <s v="29/06/2025"/>
    <s v="FB"/>
    <s v="FB"/>
    <s v="Mayur"/>
    <s v="Rajkot"/>
    <s v="Gujarat"/>
    <s v="Rejected"/>
    <n v="108000"/>
    <n v="107180"/>
    <s v="Rejected"/>
    <x v="0"/>
    <m/>
    <s v=""/>
    <x v="0"/>
    <x v="0"/>
    <s v="Q2"/>
    <x v="0"/>
  </r>
  <r>
    <s v="EOS0182"/>
    <s v="29/06/2025"/>
    <s v="FB"/>
    <s v="FB"/>
    <s v="Gita.k"/>
    <s v="Lakhamipur"/>
    <s v="Bihar"/>
    <s v="Rejected"/>
    <n v="108000"/>
    <n v="107181"/>
    <s v="Rejected"/>
    <x v="0"/>
    <m/>
    <s v=""/>
    <x v="0"/>
    <x v="0"/>
    <s v="Q2"/>
    <x v="3"/>
  </r>
  <r>
    <s v="EOS0183"/>
    <s v="29/06/2025"/>
    <s v="FB"/>
    <s v="FB"/>
    <s v="Ravi Prajapati"/>
    <s v="Wankaner"/>
    <s v="Gujarat"/>
    <s v="Rejected"/>
    <n v="130000"/>
    <n v="107182"/>
    <s v="Rejected"/>
    <x v="0"/>
    <m/>
    <s v=""/>
    <x v="0"/>
    <x v="0"/>
    <s v="Q2"/>
    <x v="0"/>
  </r>
  <r>
    <s v="EOS0184"/>
    <s v="29/06/2025"/>
    <s v="FB"/>
    <s v="FB"/>
    <s v="Raviraj Bhagat"/>
    <s v="Thangadh"/>
    <s v="Gujarat"/>
    <s v="Rejected"/>
    <n v="130000"/>
    <n v="107183"/>
    <s v="Rejected"/>
    <x v="0"/>
    <m/>
    <s v=""/>
    <x v="0"/>
    <x v="0"/>
    <s v="Q2"/>
    <x v="0"/>
  </r>
  <r>
    <s v="EOS0185"/>
    <s v="30/06/2025"/>
    <s v="FB"/>
    <s v="FB"/>
    <s v="NA"/>
    <s v="Adesar"/>
    <s v="Gujarat"/>
    <s v="Rejected"/>
    <n v="108000"/>
    <n v="107184"/>
    <s v="Rejected"/>
    <x v="0"/>
    <m/>
    <s v=""/>
    <x v="0"/>
    <x v="0"/>
    <s v="Q2"/>
    <x v="0"/>
  </r>
  <r>
    <s v="EOS0186"/>
    <s v="30/06/2025"/>
    <s v="FB"/>
    <s v="FB"/>
    <s v="RAJA"/>
    <s v="Ahmedabad"/>
    <s v="Gujarat"/>
    <s v="Rejected"/>
    <n v="130000"/>
    <n v="107185"/>
    <s v="Rejected"/>
    <x v="0"/>
    <m/>
    <s v=""/>
    <x v="0"/>
    <x v="0"/>
    <s v="Q2"/>
    <x v="0"/>
  </r>
  <r>
    <s v="EOS0187"/>
    <s v="30/06/2025"/>
    <s v="FB"/>
    <s v="FB"/>
    <s v="Jethava Bhavdip"/>
    <s v="Ahmedabad"/>
    <s v="Gujarat"/>
    <s v="Rejected"/>
    <n v="130000"/>
    <n v="107186"/>
    <s v="Rejected"/>
    <x v="0"/>
    <m/>
    <s v=""/>
    <x v="0"/>
    <x v="0"/>
    <s v="Q2"/>
    <x v="0"/>
  </r>
  <r>
    <s v="EOS0188"/>
    <s v="30/06/2025"/>
    <s v="FB"/>
    <s v="FB"/>
    <s v="Jayraj Sinh Vaghela"/>
    <s v="Ahmedabad"/>
    <s v="Gujarat"/>
    <s v="Rejected"/>
    <n v="108000"/>
    <n v="107187"/>
    <s v="Rejected"/>
    <x v="0"/>
    <m/>
    <s v=""/>
    <x v="0"/>
    <x v="0"/>
    <s v="Q2"/>
    <x v="0"/>
  </r>
  <r>
    <s v="EOS0189"/>
    <s v="30/06/2025"/>
    <s v="FB"/>
    <s v="FB"/>
    <s v="hirenbhai upadhyay"/>
    <s v="MAHUVA"/>
    <s v="Gujarat"/>
    <s v="Rejected"/>
    <n v="108000"/>
    <n v="107188"/>
    <s v="Rejected"/>
    <x v="0"/>
    <m/>
    <s v=""/>
    <x v="0"/>
    <x v="0"/>
    <s v="Q2"/>
    <x v="0"/>
  </r>
  <r>
    <s v="EOS0190"/>
    <s v="30/06/2025"/>
    <s v="FB"/>
    <s v="FB"/>
    <s v="jay"/>
    <s v="Ahmedabad"/>
    <s v="Gujarat"/>
    <s v="Rejected"/>
    <n v="130000"/>
    <n v="107189"/>
    <s v="Rejected"/>
    <x v="0"/>
    <m/>
    <s v=""/>
    <x v="0"/>
    <x v="0"/>
    <s v="Q2"/>
    <x v="0"/>
  </r>
  <r>
    <s v="EOS0191"/>
    <s v="30/06/2025"/>
    <s v="FB"/>
    <s v="FB"/>
    <s v="Vikas Nayak"/>
    <s v="Ahmedabad"/>
    <s v="Gujarat"/>
    <s v="Rejected"/>
    <n v="177000"/>
    <n v="107190"/>
    <s v="Rejected"/>
    <x v="0"/>
    <m/>
    <s v=""/>
    <x v="1"/>
    <x v="0"/>
    <s v="Q2"/>
    <x v="0"/>
  </r>
  <r>
    <s v="EOS0192"/>
    <s v="30/06/2025"/>
    <s v="FB"/>
    <s v="FB"/>
    <s v="NA"/>
    <s v="Bhuj"/>
    <s v="Gujarat"/>
    <s v="Rejected"/>
    <n v="130000"/>
    <n v="107191"/>
    <s v="Rejected"/>
    <x v="0"/>
    <m/>
    <s v=""/>
    <x v="0"/>
    <x v="0"/>
    <s v="Q2"/>
    <x v="0"/>
  </r>
  <r>
    <s v="EOS0193"/>
    <s v="30/06/2025"/>
    <s v="FB"/>
    <s v="FB"/>
    <s v="atul_ahir_3204"/>
    <s v="Jamnagar"/>
    <s v="Gujarat"/>
    <s v="Rejected"/>
    <n v="130000"/>
    <n v="107192"/>
    <s v="Rejected"/>
    <x v="0"/>
    <m/>
    <s v=""/>
    <x v="0"/>
    <x v="0"/>
    <s v="Q2"/>
    <x v="0"/>
  </r>
  <r>
    <s v="EOS0194"/>
    <s v="30/06/2025"/>
    <s v="FB"/>
    <s v="FB"/>
    <s v="Rahul Chavhan"/>
    <s v="Amravati"/>
    <s v="Maharashtra"/>
    <s v="Rejected"/>
    <n v="130000"/>
    <n v="107193"/>
    <s v="Rejected"/>
    <x v="0"/>
    <m/>
    <s v=""/>
    <x v="0"/>
    <x v="0"/>
    <s v="Q2"/>
    <x v="0"/>
  </r>
  <r>
    <s v="EOS0195"/>
    <s v="30/06/2025"/>
    <s v="FB"/>
    <s v="FB"/>
    <s v="Anand Suryavanshi"/>
    <s v="Patna"/>
    <s v="Madhya Pradesh"/>
    <s v="Rejected"/>
    <n v="177000"/>
    <n v="107194"/>
    <s v="Rejected"/>
    <x v="0"/>
    <m/>
    <s v=""/>
    <x v="1"/>
    <x v="0"/>
    <s v="Q2"/>
    <x v="2"/>
  </r>
  <r>
    <s v="EOS0196"/>
    <d v="2025-07-01T00:00:00"/>
    <s v="FB"/>
    <s v="FB"/>
    <s v="Arman Pathan"/>
    <s v="Palitana"/>
    <s v="Gujarat"/>
    <s v="Rejected"/>
    <n v="108000"/>
    <n v="107195"/>
    <s v="Rejected"/>
    <x v="0"/>
    <m/>
    <s v=""/>
    <x v="0"/>
    <x v="1"/>
    <s v="Q3"/>
    <x v="0"/>
  </r>
  <r>
    <s v="EOS0197"/>
    <d v="2025-07-01T00:00:00"/>
    <s v="FB"/>
    <s v="FB"/>
    <s v="Salman Vohra"/>
    <s v="Anand"/>
    <s v="Gujarat"/>
    <s v="Rejected"/>
    <n v="108000"/>
    <n v="107196"/>
    <s v="Rejected"/>
    <x v="0"/>
    <m/>
    <s v=""/>
    <x v="0"/>
    <x v="1"/>
    <s v="Q3"/>
    <x v="0"/>
  </r>
  <r>
    <s v="EOS0198"/>
    <d v="2025-07-01T00:00:00"/>
    <s v="FB"/>
    <s v="FB"/>
    <s v="Deep wadera"/>
    <s v="Ahmedabad"/>
    <s v="Gujarat"/>
    <s v="Rejected"/>
    <n v="108000"/>
    <n v="107197"/>
    <s v="Rejected"/>
    <x v="0"/>
    <m/>
    <s v=""/>
    <x v="0"/>
    <x v="1"/>
    <s v="Q3"/>
    <x v="0"/>
  </r>
  <r>
    <s v="EOS0199"/>
    <d v="2025-07-01T00:00:00"/>
    <s v="FB"/>
    <s v="FB"/>
    <s v="kihala"/>
    <s v="Rajkot"/>
    <s v="Gujarat"/>
    <s v="Rejected"/>
    <n v="130000"/>
    <n v="107198"/>
    <s v="Rejected"/>
    <x v="0"/>
    <m/>
    <s v=""/>
    <x v="0"/>
    <x v="1"/>
    <s v="Q3"/>
    <x v="0"/>
  </r>
  <r>
    <s v="EOS0200"/>
    <d v="2025-07-01T00:00:00"/>
    <s v="FB"/>
    <s v="FB"/>
    <s v="Shubham chaudhary"/>
    <s v="Kheralu"/>
    <s v="Gujarat"/>
    <s v="Rejected"/>
    <n v="130000"/>
    <n v="107199"/>
    <s v="Rejected"/>
    <x v="0"/>
    <m/>
    <s v=""/>
    <x v="0"/>
    <x v="1"/>
    <s v="Q3"/>
    <x v="0"/>
  </r>
  <r>
    <s v="EOS0201"/>
    <d v="2025-07-01T00:00:00"/>
    <s v="FB"/>
    <s v="FB"/>
    <s v="Rishabh Verma"/>
    <s v="Barabanki"/>
    <s v="Uttar Pradesh"/>
    <s v="Rejected"/>
    <n v="308000"/>
    <n v="107200"/>
    <s v="Rejected"/>
    <x v="0"/>
    <m/>
    <s v=""/>
    <x v="2"/>
    <x v="1"/>
    <s v="Q3"/>
    <x v="1"/>
  </r>
  <r>
    <s v="EOS0202"/>
    <d v="2025-07-01T00:00:00"/>
    <s v="FB"/>
    <s v="FB"/>
    <s v="manish"/>
    <s v="Rudrapur"/>
    <s v="Uttrakhand"/>
    <s v="Rejected"/>
    <n v="130000"/>
    <n v="107201"/>
    <s v="Rejected"/>
    <x v="0"/>
    <m/>
    <s v=""/>
    <x v="0"/>
    <x v="1"/>
    <s v="Q3"/>
    <x v="1"/>
  </r>
  <r>
    <s v="EOS0203"/>
    <d v="2025-07-01T00:00:00"/>
    <s v="FB"/>
    <s v="FB"/>
    <s v="Sanjoy Das"/>
    <s v="sodepure"/>
    <s v="West Bengal"/>
    <s v="Rejected"/>
    <n v="108000"/>
    <n v="107202"/>
    <s v="Rejected"/>
    <x v="0"/>
    <m/>
    <s v=""/>
    <x v="0"/>
    <x v="1"/>
    <s v="Q3"/>
    <x v="3"/>
  </r>
  <r>
    <s v="EOS0204"/>
    <d v="2025-07-01T00:00:00"/>
    <s v="FB"/>
    <s v="FB"/>
    <s v="SUBHAN KHAN"/>
    <s v="Baisi"/>
    <s v="Bihar"/>
    <s v="Rejected"/>
    <n v="177000"/>
    <n v="107203"/>
    <s v="Rejected"/>
    <x v="0"/>
    <m/>
    <s v=""/>
    <x v="1"/>
    <x v="1"/>
    <s v="Q3"/>
    <x v="3"/>
  </r>
  <r>
    <s v="EOS0205"/>
    <d v="2025-07-01T00:00:00"/>
    <s v="FB"/>
    <s v="FB"/>
    <s v="Bhavesh Khamal"/>
    <s v="vertez"/>
    <s v="Gujarat"/>
    <s v="Rejected"/>
    <n v="108000"/>
    <n v="107204"/>
    <s v="Rejected"/>
    <x v="0"/>
    <m/>
    <s v=""/>
    <x v="0"/>
    <x v="1"/>
    <s v="Q3"/>
    <x v="0"/>
  </r>
  <r>
    <s v="EOS0206"/>
    <d v="2025-07-02T00:00:00"/>
    <s v="FB"/>
    <s v="FB"/>
    <s v="Chandresh Raval"/>
    <s v="Panva"/>
    <s v="Gujarat"/>
    <s v="Rejected"/>
    <n v="108000"/>
    <n v="107205"/>
    <s v="Rejected"/>
    <x v="0"/>
    <m/>
    <s v=""/>
    <x v="0"/>
    <x v="1"/>
    <s v="Q3"/>
    <x v="0"/>
  </r>
  <r>
    <s v="EOS0207"/>
    <d v="2025-07-02T00:00:00"/>
    <s v="FB"/>
    <s v="FB"/>
    <s v="Dhumadiya Vishal S"/>
    <s v="Palitana"/>
    <s v="Gujarat"/>
    <s v="Rejected"/>
    <n v="130000"/>
    <n v="107206"/>
    <s v="Rejected"/>
    <x v="0"/>
    <m/>
    <s v=""/>
    <x v="0"/>
    <x v="1"/>
    <s v="Q3"/>
    <x v="0"/>
  </r>
  <r>
    <s v="EOS0208"/>
    <d v="2025-07-02T00:00:00"/>
    <s v="FB"/>
    <s v="FB"/>
    <s v="Govind rabari"/>
    <s v="Tharad"/>
    <s v="Gujarat"/>
    <s v="Rejected"/>
    <n v="108000"/>
    <n v="107207"/>
    <s v="Rejected"/>
    <x v="0"/>
    <m/>
    <s v=""/>
    <x v="0"/>
    <x v="1"/>
    <s v="Q3"/>
    <x v="0"/>
  </r>
  <r>
    <s v="EOS0209"/>
    <d v="2025-07-02T00:00:00"/>
    <s v="FB"/>
    <s v="FB"/>
    <s v="༒ ⁂𝐌𝐔𝐊𝐄𝐒𝐇_चौधरी༆⁂ ༒(M.P)"/>
    <s v="Tharad"/>
    <s v="Gujarat"/>
    <s v="Rejected"/>
    <n v="130000"/>
    <n v="107208"/>
    <s v="Rejected"/>
    <x v="0"/>
    <m/>
    <s v=""/>
    <x v="0"/>
    <x v="1"/>
    <s v="Q3"/>
    <x v="0"/>
  </r>
  <r>
    <s v="EOS0210"/>
    <d v="2025-07-02T00:00:00"/>
    <s v="FB"/>
    <s v="FB"/>
    <s v="Prakashsinh Rajput"/>
    <s v="Surendranagar"/>
    <s v="Gujarat"/>
    <s v="Rejected"/>
    <n v="108000"/>
    <n v="107209"/>
    <s v="Rejected"/>
    <x v="0"/>
    <m/>
    <s v=""/>
    <x v="0"/>
    <x v="1"/>
    <s v="Q3"/>
    <x v="0"/>
  </r>
  <r>
    <s v="EOS0211"/>
    <d v="2025-07-02T00:00:00"/>
    <s v="FB"/>
    <s v="FB"/>
    <s v="Riyaz"/>
    <s v="Ahmedabad"/>
    <s v="Gujarat"/>
    <s v="Rejected"/>
    <n v="108000"/>
    <n v="107210"/>
    <s v="Rejected"/>
    <x v="0"/>
    <m/>
    <s v=""/>
    <x v="0"/>
    <x v="1"/>
    <s v="Q3"/>
    <x v="0"/>
  </r>
  <r>
    <s v="EOS0212"/>
    <d v="2025-07-02T00:00:00"/>
    <s v="FB"/>
    <s v="FB"/>
    <s v="*જय દ્વ།ཞક།धिश*"/>
    <s v="Vaso"/>
    <s v="Gujarat"/>
    <s v="Deal"/>
    <n v="108000"/>
    <n v="107211"/>
    <s v="Deal"/>
    <x v="1"/>
    <m/>
    <s v=""/>
    <x v="0"/>
    <x v="1"/>
    <s v="Q3"/>
    <x v="0"/>
  </r>
  <r>
    <s v="EOS0213"/>
    <d v="2025-07-02T00:00:00"/>
    <s v="FB"/>
    <s v="FB"/>
    <s v="Jatin Goswami"/>
    <s v="Rajkot"/>
    <s v="Gujarat"/>
    <s v="Rejected"/>
    <n v="108000"/>
    <n v="107212"/>
    <s v="Rejected"/>
    <x v="0"/>
    <m/>
    <s v=""/>
    <x v="0"/>
    <x v="1"/>
    <s v="Q3"/>
    <x v="0"/>
  </r>
  <r>
    <s v="EOS0214"/>
    <d v="2025-07-02T00:00:00"/>
    <s v="FB"/>
    <s v="FB"/>
    <s v="Sanjaysinh Chavada"/>
    <s v="Mansa"/>
    <s v="Gujarat"/>
    <s v="Rejected"/>
    <n v="177000"/>
    <n v="107213"/>
    <s v="Rejected"/>
    <x v="0"/>
    <m/>
    <s v=""/>
    <x v="1"/>
    <x v="1"/>
    <s v="Q3"/>
    <x v="0"/>
  </r>
  <r>
    <s v="EOS0215"/>
    <d v="2025-07-02T00:00:00"/>
    <s v="FB"/>
    <s v="FB"/>
    <s v="Mustafa"/>
    <s v="Palanpur"/>
    <s v="Gujarat"/>
    <s v="Rejected"/>
    <n v="177000"/>
    <n v="107214"/>
    <s v="Rejected"/>
    <x v="0"/>
    <m/>
    <s v=""/>
    <x v="1"/>
    <x v="1"/>
    <s v="Q3"/>
    <x v="0"/>
  </r>
  <r>
    <s v="EOS0216"/>
    <d v="2025-07-02T00:00:00"/>
    <s v="FB"/>
    <s v="FB"/>
    <s v="Shivam Singh Bhadauria"/>
    <s v="Mainpuri"/>
    <s v="Uttar Pradesh"/>
    <s v="Rejected"/>
    <n v="108000"/>
    <n v="107215"/>
    <s v="Rejected"/>
    <x v="0"/>
    <m/>
    <s v=""/>
    <x v="0"/>
    <x v="1"/>
    <s v="Q3"/>
    <x v="1"/>
  </r>
  <r>
    <s v="EOS0217"/>
    <d v="2025-07-02T00:00:00"/>
    <s v="FB"/>
    <s v="FB"/>
    <s v="Shahrukh mansuri"/>
    <s v="Shajapur"/>
    <s v="Madhya Pradesh"/>
    <s v="Rejected"/>
    <n v="177000"/>
    <n v="107216"/>
    <s v="Rejected"/>
    <x v="0"/>
    <m/>
    <s v=""/>
    <x v="1"/>
    <x v="1"/>
    <s v="Q3"/>
    <x v="2"/>
  </r>
  <r>
    <s v="EOS0218"/>
    <d v="2025-07-02T00:00:00"/>
    <s v="FB"/>
    <s v="FB"/>
    <s v="Rohit Doriwal"/>
    <s v="Jaipur"/>
    <s v="Rajasthan"/>
    <s v="Rejected"/>
    <n v="108000"/>
    <n v="107217"/>
    <s v="Rejected"/>
    <x v="0"/>
    <m/>
    <s v=""/>
    <x v="0"/>
    <x v="1"/>
    <s v="Q3"/>
    <x v="0"/>
  </r>
  <r>
    <s v="EOS0219"/>
    <d v="2025-07-02T00:00:00"/>
    <s v="FB"/>
    <s v="FB"/>
    <s v="sourav tamrakar"/>
    <s v="Jamshedpur"/>
    <s v="jharkhand"/>
    <s v="Rejected"/>
    <n v="130000"/>
    <n v="107218"/>
    <s v="Rejected"/>
    <x v="0"/>
    <m/>
    <s v=""/>
    <x v="0"/>
    <x v="1"/>
    <s v="Q3"/>
    <x v="3"/>
  </r>
  <r>
    <s v="EOS0220"/>
    <d v="2025-07-02T00:00:00"/>
    <s v="FB"/>
    <s v="FB"/>
    <s v="Sachin Chauhan"/>
    <s v="nehtaur"/>
    <s v="Uttar Pradesh"/>
    <s v="Rejected"/>
    <n v="108000"/>
    <n v="107219"/>
    <s v="Rejected"/>
    <x v="0"/>
    <m/>
    <s v=""/>
    <x v="0"/>
    <x v="1"/>
    <s v="Q3"/>
    <x v="1"/>
  </r>
  <r>
    <s v="EOS0221"/>
    <d v="2025-07-02T00:00:00"/>
    <s v="FB"/>
    <s v="FB"/>
    <s v="sᴀᴍᴀᴊɪᴛ ᴍᴏɴᴅᴀʟ"/>
    <s v="Murshidabad"/>
    <s v="West Bengal"/>
    <s v="Rejected"/>
    <n v="130000"/>
    <n v="107220"/>
    <s v="Rejected"/>
    <x v="0"/>
    <m/>
    <s v=""/>
    <x v="0"/>
    <x v="1"/>
    <s v="Q3"/>
    <x v="3"/>
  </r>
  <r>
    <s v="EOS0222"/>
    <d v="2025-07-02T00:00:00"/>
    <s v="FB"/>
    <s v="FB"/>
    <s v="Yogesh Poonia"/>
    <s v="Chirawa"/>
    <s v="Rajasthan"/>
    <s v="Rejected"/>
    <n v="108000"/>
    <n v="107221"/>
    <s v="Rejected"/>
    <x v="0"/>
    <m/>
    <s v=""/>
    <x v="0"/>
    <x v="1"/>
    <s v="Q3"/>
    <x v="0"/>
  </r>
  <r>
    <s v="EOS0223"/>
    <d v="2025-07-03T00:00:00"/>
    <s v="FB"/>
    <s v="FB"/>
    <s v="Ketan Joshi"/>
    <s v="Ahmedabad"/>
    <s v="Gujarat"/>
    <s v="Rejected"/>
    <n v="108000"/>
    <n v="107222"/>
    <s v="Deal"/>
    <x v="1"/>
    <m/>
    <s v=""/>
    <x v="0"/>
    <x v="1"/>
    <s v="Q3"/>
    <x v="0"/>
  </r>
  <r>
    <s v="EOS0224"/>
    <d v="2025-07-03T00:00:00"/>
    <s v="FB"/>
    <s v="FB"/>
    <s v="Kripalsinh Rajput"/>
    <s v="Wadhwan"/>
    <s v="Gujarat"/>
    <s v="Rejected"/>
    <n v="108000"/>
    <n v="107223"/>
    <s v="Rejected"/>
    <x v="0"/>
    <m/>
    <s v=""/>
    <x v="0"/>
    <x v="1"/>
    <s v="Q3"/>
    <x v="0"/>
  </r>
  <r>
    <s v="EOS0225"/>
    <d v="2025-07-03T00:00:00"/>
    <s v="FB"/>
    <s v="FB"/>
    <s v="Ravi Talshaniya"/>
    <s v="Rajkot"/>
    <s v="Gujarat"/>
    <s v="Rejected"/>
    <n v="130000"/>
    <n v="107224"/>
    <s v="Rejected"/>
    <x v="0"/>
    <m/>
    <s v=""/>
    <x v="0"/>
    <x v="1"/>
    <s v="Q3"/>
    <x v="0"/>
  </r>
  <r>
    <s v="EOS0226"/>
    <d v="2025-07-03T00:00:00"/>
    <s v="FB"/>
    <s v="FB"/>
    <s v="Sayed Firoz"/>
    <s v="Patan"/>
    <s v="Gujarat"/>
    <s v="Rejected"/>
    <n v="108000"/>
    <n v="107225"/>
    <s v="Rejected"/>
    <x v="0"/>
    <m/>
    <s v=""/>
    <x v="0"/>
    <x v="1"/>
    <s v="Q3"/>
    <x v="0"/>
  </r>
  <r>
    <s v="EOS0227"/>
    <d v="2025-07-03T00:00:00"/>
    <s v="FB"/>
    <s v="FB"/>
    <s v="GOHIL_1212_"/>
    <s v=" Bhavnagar"/>
    <s v="Gujarat"/>
    <s v="Rejected"/>
    <n v="108000"/>
    <n v="107226"/>
    <s v="Rejected"/>
    <x v="0"/>
    <m/>
    <s v=""/>
    <x v="0"/>
    <x v="1"/>
    <s v="Q3"/>
    <x v="0"/>
  </r>
  <r>
    <s v="EOS0228"/>
    <d v="2025-07-03T00:00:00"/>
    <s v="FB"/>
    <s v="FB"/>
    <s v="Nilesh Chauhan"/>
    <s v="Vadodara"/>
    <s v="Gujarat"/>
    <s v="Rejected"/>
    <n v="130000"/>
    <n v="107227"/>
    <s v="Rejected"/>
    <x v="0"/>
    <m/>
    <s v=""/>
    <x v="0"/>
    <x v="1"/>
    <s v="Q3"/>
    <x v="0"/>
  </r>
  <r>
    <s v="EOS0229"/>
    <d v="2025-07-03T00:00:00"/>
    <s v="FB"/>
    <s v="FB"/>
    <s v="Dhaval Pateliya"/>
    <s v="Jetpur"/>
    <s v="Gujarat"/>
    <s v="Rejected"/>
    <n v="108000"/>
    <n v="107228"/>
    <s v="Rejected"/>
    <x v="0"/>
    <m/>
    <s v=""/>
    <x v="0"/>
    <x v="1"/>
    <s v="Q3"/>
    <x v="0"/>
  </r>
  <r>
    <s v="EOS0230"/>
    <d v="2025-07-03T00:00:00"/>
    <s v="FB"/>
    <s v="FB"/>
    <s v="AK"/>
    <s v="Jamjodhpur"/>
    <s v="Gujarat"/>
    <s v="Rejected"/>
    <n v="108000"/>
    <n v="107229"/>
    <s v="Rejected"/>
    <x v="0"/>
    <m/>
    <s v=""/>
    <x v="0"/>
    <x v="1"/>
    <s v="Q3"/>
    <x v="0"/>
  </r>
  <r>
    <s v="EOS0231"/>
    <d v="2025-07-03T00:00:00"/>
    <s v="FB"/>
    <s v="FB"/>
    <s v="Vaghela Jaydeep Vaghela"/>
    <s v="Rajkot"/>
    <s v="Gujarat"/>
    <s v="Rejected"/>
    <n v="108000"/>
    <n v="107230"/>
    <s v="Rejected"/>
    <x v="0"/>
    <m/>
    <s v=""/>
    <x v="0"/>
    <x v="1"/>
    <s v="Q3"/>
    <x v="0"/>
  </r>
  <r>
    <s v="EOS0232"/>
    <d v="2025-07-03T00:00:00"/>
    <s v="FB"/>
    <s v="FB"/>
    <s v="Shaikh kalim"/>
    <s v="Buldana"/>
    <s v="Maharashtra"/>
    <s v="Rejected"/>
    <n v="108000"/>
    <n v="107231"/>
    <s v="Rejected"/>
    <x v="0"/>
    <m/>
    <s v=""/>
    <x v="0"/>
    <x v="1"/>
    <s v="Q3"/>
    <x v="0"/>
  </r>
  <r>
    <s v="EOS0233"/>
    <d v="2025-07-03T00:00:00"/>
    <s v="FB"/>
    <s v="FB"/>
    <s v="Ashutosh"/>
    <s v="Kanpur"/>
    <s v="Uttar Pradesh"/>
    <s v="Rejected"/>
    <n v="130000"/>
    <n v="107232"/>
    <s v="Rejected"/>
    <x v="0"/>
    <m/>
    <s v=""/>
    <x v="0"/>
    <x v="1"/>
    <s v="Q3"/>
    <x v="1"/>
  </r>
  <r>
    <s v="EOS0234"/>
    <d v="2025-07-04T00:00:00"/>
    <s v="FB"/>
    <s v="FB"/>
    <s v="Vimal Chauhan"/>
    <s v="Ahmedabad"/>
    <s v="Gujarat"/>
    <s v="Rejected"/>
    <n v="108000"/>
    <n v="107233"/>
    <s v="Rejected"/>
    <x v="0"/>
    <m/>
    <s v=""/>
    <x v="0"/>
    <x v="1"/>
    <s v="Q3"/>
    <x v="0"/>
  </r>
  <r>
    <s v="EOS0235"/>
    <d v="2025-07-04T00:00:00"/>
    <s v="FB"/>
    <s v="FB"/>
    <s v="Jepan Shah"/>
    <s v="Ahmedabad"/>
    <s v="Gujarat"/>
    <s v="Rejected"/>
    <n v="177000"/>
    <n v="107234"/>
    <s v="Rejected"/>
    <x v="0"/>
    <m/>
    <s v=""/>
    <x v="1"/>
    <x v="1"/>
    <s v="Q3"/>
    <x v="0"/>
  </r>
  <r>
    <s v="EOS0236"/>
    <d v="2025-07-04T00:00:00"/>
    <s v="FB"/>
    <s v="FB"/>
    <s v="Shiv Chakravati"/>
    <s v="Ahmedabad"/>
    <s v="Gujarat"/>
    <s v="Rejected"/>
    <n v="108000"/>
    <n v="107235"/>
    <s v="Rejected"/>
    <x v="0"/>
    <m/>
    <s v=""/>
    <x v="0"/>
    <x v="1"/>
    <s v="Q3"/>
    <x v="0"/>
  </r>
  <r>
    <s v="EOS0237"/>
    <d v="2025-07-04T00:00:00"/>
    <s v="FB"/>
    <s v="FB"/>
    <s v="Bharat Shiyaliya"/>
    <s v="Rajkot"/>
    <s v="Gujarat"/>
    <s v="Rejected"/>
    <n v="130000"/>
    <n v="107236"/>
    <s v="Rejected"/>
    <x v="0"/>
    <m/>
    <s v=""/>
    <x v="0"/>
    <x v="1"/>
    <s v="Q3"/>
    <x v="0"/>
  </r>
  <r>
    <s v="EOS0238"/>
    <d v="2025-07-04T00:00:00"/>
    <s v="FB"/>
    <s v="FB"/>
    <s v="Sunil Maldhari"/>
    <s v="Ahmedabad"/>
    <s v="Gujarat"/>
    <s v="Rejected"/>
    <n v="108000"/>
    <n v="107237"/>
    <s v="Rejected"/>
    <x v="0"/>
    <m/>
    <s v=""/>
    <x v="0"/>
    <x v="1"/>
    <s v="Q3"/>
    <x v="0"/>
  </r>
  <r>
    <s v="EOS0239"/>
    <d v="2025-07-04T00:00:00"/>
    <s v="FB"/>
    <s v="FB"/>
    <s v="યોગેશ બાબરીયા"/>
    <s v="Surat"/>
    <s v="Gujarat"/>
    <s v="Rejected"/>
    <n v="108000"/>
    <n v="107238"/>
    <s v="Rejected"/>
    <x v="0"/>
    <m/>
    <s v=""/>
    <x v="0"/>
    <x v="1"/>
    <s v="Q3"/>
    <x v="0"/>
  </r>
  <r>
    <s v="EOS0240"/>
    <d v="2025-07-04T00:00:00"/>
    <s v="FB"/>
    <s v="FB"/>
    <s v="Raviraj sinh Chauhan"/>
    <s v="Valsad"/>
    <s v="Gujarat"/>
    <s v="Rejected"/>
    <n v="130000"/>
    <n v="107239"/>
    <s v="Rejected"/>
    <x v="0"/>
    <m/>
    <s v=""/>
    <x v="0"/>
    <x v="1"/>
    <s v="Q3"/>
    <x v="0"/>
  </r>
  <r>
    <s v="EOS0241"/>
    <s v="18/07/2025"/>
    <s v="FB"/>
    <s v="FB"/>
    <s v="Hushvendra khanuja"/>
    <m/>
    <s v="Gujarat"/>
    <s v="Rejected"/>
    <n v="108000"/>
    <n v="107240"/>
    <s v="Rejected"/>
    <x v="0"/>
    <m/>
    <s v=""/>
    <x v="0"/>
    <x v="1"/>
    <s v="Q3"/>
    <x v="0"/>
  </r>
  <r>
    <s v="EOS0242"/>
    <d v="2025-07-05T00:00:00"/>
    <s v="FB"/>
    <s v="FB"/>
    <s v="Rigan Desai"/>
    <s v="Ahmedabad"/>
    <s v="Gujarat"/>
    <s v="Rejected"/>
    <n v="108000"/>
    <n v="107241"/>
    <s v="Rejected"/>
    <x v="0"/>
    <m/>
    <s v=""/>
    <x v="0"/>
    <x v="1"/>
    <s v="Q3"/>
    <x v="0"/>
  </r>
  <r>
    <s v="EOS0243"/>
    <d v="2025-07-05T00:00:00"/>
    <s v="FB"/>
    <s v="FB"/>
    <s v="Satyajeetbhai tamaliya"/>
    <s v="Surendranagar"/>
    <s v="Gujarat"/>
    <s v="Rejected"/>
    <n v="130000"/>
    <n v="107242"/>
    <s v="Rejected"/>
    <x v="0"/>
    <m/>
    <s v=""/>
    <x v="0"/>
    <x v="1"/>
    <s v="Q3"/>
    <x v="0"/>
  </r>
  <r>
    <s v="EOS0244"/>
    <d v="2025-07-05T00:00:00"/>
    <s v="FB"/>
    <s v="FB"/>
    <s v="Mahesh Vaghela"/>
    <s v="Botad"/>
    <s v="Gujarat"/>
    <s v="Rejected"/>
    <n v="130000"/>
    <n v="107243"/>
    <s v="Rejected"/>
    <x v="0"/>
    <m/>
    <s v=""/>
    <x v="0"/>
    <x v="1"/>
    <s v="Q3"/>
    <x v="0"/>
  </r>
  <r>
    <s v="EOS0245"/>
    <d v="2025-07-05T00:00:00"/>
    <s v="FB"/>
    <s v="FB"/>
    <s v="𝐆𝐄𝐃𝐈𝐘𝐀"/>
    <s v="Amreli"/>
    <s v="Gujarat"/>
    <s v="Rejected"/>
    <n v="130000"/>
    <n v="107244"/>
    <s v="Rejected"/>
    <x v="0"/>
    <m/>
    <s v=""/>
    <x v="0"/>
    <x v="1"/>
    <s v="Q3"/>
    <x v="0"/>
  </r>
  <r>
    <s v="EOS0246"/>
    <d v="2025-07-05T00:00:00"/>
    <s v="FB"/>
    <s v="FB"/>
    <s v="Lalit Chouhan"/>
    <s v="pilkhuwa"/>
    <s v="Uttar Pradesh"/>
    <s v="Rejected"/>
    <n v="177000"/>
    <n v="107245"/>
    <s v="Rejected"/>
    <x v="0"/>
    <m/>
    <s v=""/>
    <x v="1"/>
    <x v="1"/>
    <s v="Q3"/>
    <x v="1"/>
  </r>
  <r>
    <s v="EOS0247"/>
    <d v="2025-07-07T00:00:00"/>
    <s v="FB"/>
    <s v="FB"/>
    <s v="SaiR"/>
    <s v="Anand"/>
    <s v="Gujarat"/>
    <s v="Rejected"/>
    <n v="177000"/>
    <n v="107246"/>
    <s v="Rejected"/>
    <x v="0"/>
    <m/>
    <s v=""/>
    <x v="1"/>
    <x v="1"/>
    <s v="Q3"/>
    <x v="0"/>
  </r>
  <r>
    <s v="EOS0248"/>
    <d v="2025-07-07T00:00:00"/>
    <s v="FB"/>
    <s v="FB"/>
    <s v="Mayank Rathod"/>
    <s v="Mehsana"/>
    <s v="Gujarat"/>
    <s v="Rejected"/>
    <n v="108000"/>
    <n v="107247"/>
    <s v="Rejected"/>
    <x v="0"/>
    <m/>
    <s v=""/>
    <x v="0"/>
    <x v="1"/>
    <s v="Q3"/>
    <x v="0"/>
  </r>
  <r>
    <s v="EOS0249"/>
    <d v="2025-07-07T00:00:00"/>
    <s v="FB"/>
    <s v="FB"/>
    <s v="Salim kureshi"/>
    <s v="chhottaudepur"/>
    <s v="Gujarat"/>
    <s v="Rejected"/>
    <n v="130000"/>
    <n v="107248"/>
    <s v="Rejected"/>
    <x v="0"/>
    <m/>
    <s v=""/>
    <x v="0"/>
    <x v="1"/>
    <s v="Q3"/>
    <x v="0"/>
  </r>
  <r>
    <s v="EOS0250"/>
    <d v="2025-07-07T00:00:00"/>
    <s v="FB"/>
    <s v="FB"/>
    <s v="sajan shah"/>
    <s v="Rajkot"/>
    <s v="Gujarat"/>
    <s v="Deal"/>
    <n v="130000"/>
    <n v="107249"/>
    <s v="Deal"/>
    <x v="1"/>
    <m/>
    <s v=""/>
    <x v="0"/>
    <x v="1"/>
    <s v="Q3"/>
    <x v="0"/>
  </r>
  <r>
    <s v="EOS0251"/>
    <d v="2025-07-07T00:00:00"/>
    <s v="FB"/>
    <s v="FB"/>
    <s v="bharat sinh solanki"/>
    <s v="Godhra"/>
    <s v="Gujarat"/>
    <s v="Rejected"/>
    <n v="108000"/>
    <n v="107250"/>
    <s v="Rejected"/>
    <x v="0"/>
    <m/>
    <s v=""/>
    <x v="0"/>
    <x v="1"/>
    <s v="Q3"/>
    <x v="0"/>
  </r>
  <r>
    <s v="EOS0252"/>
    <d v="2025-07-07T00:00:00"/>
    <s v="FB"/>
    <s v="FB"/>
    <s v="Meet Adatiya"/>
    <s v="Surat"/>
    <s v="Gujarat"/>
    <s v="Rejected"/>
    <n v="108000"/>
    <n v="107251"/>
    <s v="Rejected"/>
    <x v="0"/>
    <m/>
    <s v=""/>
    <x v="0"/>
    <x v="1"/>
    <s v="Q3"/>
    <x v="0"/>
  </r>
  <r>
    <s v="EOS0253"/>
    <d v="2025-07-07T00:00:00"/>
    <s v="FB"/>
    <s v="FB"/>
    <s v="Pradipsinh Jadeja Nanimarad"/>
    <s v="Dhoraji"/>
    <s v="Gujarat"/>
    <s v="Rejected"/>
    <n v="108000"/>
    <n v="107252"/>
    <s v="Rejected"/>
    <x v="0"/>
    <m/>
    <s v=""/>
    <x v="0"/>
    <x v="1"/>
    <s v="Q3"/>
    <x v="0"/>
  </r>
  <r>
    <s v="EOS0254"/>
    <d v="2025-07-07T00:00:00"/>
    <s v="FB"/>
    <s v="FB"/>
    <s v="Pritesh Narigra"/>
    <s v="Vapi"/>
    <s v="Gujarat"/>
    <s v="Rejected"/>
    <n v="108000"/>
    <n v="107253"/>
    <s v="Rejected"/>
    <x v="0"/>
    <m/>
    <s v=""/>
    <x v="0"/>
    <x v="1"/>
    <s v="Q3"/>
    <x v="0"/>
  </r>
  <r>
    <s v="EOS0255"/>
    <d v="2025-07-07T00:00:00"/>
    <s v="FB"/>
    <s v="FB"/>
    <s v="Sohelkhan"/>
    <s v="Junagadh"/>
    <s v="Gujarat"/>
    <s v="Rejected"/>
    <n v="108000"/>
    <n v="107254"/>
    <s v="Rejected"/>
    <x v="0"/>
    <m/>
    <s v=""/>
    <x v="0"/>
    <x v="1"/>
    <s v="Q3"/>
    <x v="0"/>
  </r>
  <r>
    <s v="EOS0256"/>
    <d v="2025-07-07T00:00:00"/>
    <s v="FB"/>
    <s v="FB"/>
    <s v="Niraj Gorasia"/>
    <s v=" Bhavnagar"/>
    <s v="Gujarat"/>
    <s v="Rejected"/>
    <n v="108000"/>
    <n v="107255"/>
    <s v="Rejected"/>
    <x v="0"/>
    <m/>
    <s v=""/>
    <x v="0"/>
    <x v="1"/>
    <s v="Q3"/>
    <x v="0"/>
  </r>
  <r>
    <s v="EOS0257"/>
    <d v="2025-07-07T00:00:00"/>
    <s v="FB"/>
    <s v="FB"/>
    <s v="Shubham Pandey"/>
    <s v="Khajuria"/>
    <s v="Uttar Pradesh"/>
    <s v="Rejected"/>
    <n v="130000"/>
    <n v="107256"/>
    <s v="Rejected"/>
    <x v="0"/>
    <m/>
    <s v=""/>
    <x v="0"/>
    <x v="1"/>
    <s v="Q3"/>
    <x v="1"/>
  </r>
  <r>
    <s v="EOS0258"/>
    <d v="2025-07-07T00:00:00"/>
    <s v="FB"/>
    <s v="FB"/>
    <s v="Sanket Thorat"/>
    <s v="Pune"/>
    <s v="Maharashtra"/>
    <s v="Rejected"/>
    <n v="108000"/>
    <n v="107257"/>
    <s v="Rejected"/>
    <x v="0"/>
    <m/>
    <s v=""/>
    <x v="0"/>
    <x v="1"/>
    <s v="Q3"/>
    <x v="0"/>
  </r>
  <r>
    <s v="EOS0259"/>
    <d v="2025-07-08T00:00:00"/>
    <s v="FB"/>
    <s v="FB"/>
    <s v="𝐌𝐀𝐍𝐈𝐒𝐇 𝐏𝐀𝐓𝐄𝐋"/>
    <s v=" Bhavnagar"/>
    <s v="Gujarat"/>
    <s v="Rejected"/>
    <n v="130000"/>
    <n v="107258"/>
    <s v="Rejected"/>
    <x v="0"/>
    <m/>
    <s v=""/>
    <x v="0"/>
    <x v="1"/>
    <s v="Q3"/>
    <x v="0"/>
  </r>
  <r>
    <s v="EOS0260"/>
    <d v="2025-07-08T00:00:00"/>
    <s v="FB"/>
    <s v="FB"/>
    <s v="Darshil Patel"/>
    <s v="Ahmedabad"/>
    <s v="Gujarat"/>
    <s v="Rejected"/>
    <n v="108000"/>
    <n v="107259"/>
    <s v="Rejected"/>
    <x v="0"/>
    <m/>
    <s v=""/>
    <x v="0"/>
    <x v="1"/>
    <s v="Q3"/>
    <x v="0"/>
  </r>
  <r>
    <s v="EOS0261"/>
    <d v="2025-07-08T00:00:00"/>
    <s v="FB"/>
    <s v="FB"/>
    <s v="Saurabh Patel"/>
    <s v="Nadiad"/>
    <s v="Gujarat"/>
    <s v="Rejected"/>
    <n v="177000"/>
    <n v="107260"/>
    <s v="Rejected"/>
    <x v="0"/>
    <m/>
    <s v=""/>
    <x v="1"/>
    <x v="1"/>
    <s v="Q3"/>
    <x v="0"/>
  </r>
  <r>
    <s v="EOS0262"/>
    <d v="2025-07-08T00:00:00"/>
    <s v="FB"/>
    <s v="FB"/>
    <s v="Shaikh Mohammed Aakip"/>
    <s v="Ahmedabad"/>
    <s v="Gujarat"/>
    <s v="Rejected"/>
    <n v="108000"/>
    <n v="107261"/>
    <s v="Rejected"/>
    <x v="0"/>
    <m/>
    <s v=""/>
    <x v="0"/>
    <x v="1"/>
    <s v="Q3"/>
    <x v="0"/>
  </r>
  <r>
    <s v="EOS0263"/>
    <d v="2025-07-08T00:00:00"/>
    <s v="FB"/>
    <s v="FB"/>
    <s v="Vimesh Panchal"/>
    <s v="Surat"/>
    <s v="Gujarat"/>
    <s v="Rejected"/>
    <n v="130000"/>
    <n v="107262"/>
    <s v="Rejected"/>
    <x v="0"/>
    <m/>
    <s v=""/>
    <x v="0"/>
    <x v="1"/>
    <s v="Q3"/>
    <x v="0"/>
  </r>
  <r>
    <s v="EOS0264"/>
    <d v="2025-07-08T00:00:00"/>
    <s v="FB"/>
    <s v="FB"/>
    <s v="Rutvi Chauhan Boradiya"/>
    <s v="Ahmedabad"/>
    <s v="Gujarat"/>
    <s v="Rejected"/>
    <n v="108000"/>
    <n v="107263"/>
    <s v="Rejected"/>
    <x v="0"/>
    <m/>
    <s v=""/>
    <x v="0"/>
    <x v="1"/>
    <s v="Q3"/>
    <x v="0"/>
  </r>
  <r>
    <s v="EOS0265"/>
    <d v="2025-07-08T00:00:00"/>
    <s v="FB"/>
    <s v="FB"/>
    <s v="J.P.DOO {અઘરી નોટ}"/>
    <s v="Botad"/>
    <s v="Gujarat"/>
    <s v="Rejected"/>
    <n v="130000"/>
    <n v="107264"/>
    <s v="Rejected"/>
    <x v="0"/>
    <m/>
    <s v=""/>
    <x v="0"/>
    <x v="1"/>
    <s v="Q3"/>
    <x v="0"/>
  </r>
  <r>
    <s v="EOS0266"/>
    <d v="2025-07-08T00:00:00"/>
    <s v="FB"/>
    <s v="FB"/>
    <s v="PARTH RAJYGURU"/>
    <s v="bhuvan"/>
    <s v="Gujarat"/>
    <s v="Rejected"/>
    <n v="177000"/>
    <n v="107265"/>
    <s v="Rejected"/>
    <x v="0"/>
    <m/>
    <s v=""/>
    <x v="1"/>
    <x v="1"/>
    <s v="Q3"/>
    <x v="0"/>
  </r>
  <r>
    <s v="EOS0267"/>
    <d v="2025-07-09T00:00:00"/>
    <s v="FB"/>
    <s v="FB"/>
    <s v="VR J A D E J A"/>
    <s v="Mandvi"/>
    <s v="Gujarat"/>
    <s v="Rejected"/>
    <n v="130000"/>
    <n v="107266"/>
    <s v="Rejected"/>
    <x v="0"/>
    <m/>
    <s v=""/>
    <x v="0"/>
    <x v="1"/>
    <s v="Q3"/>
    <x v="0"/>
  </r>
  <r>
    <s v="EOS0268"/>
    <d v="2025-07-09T00:00:00"/>
    <s v="FB"/>
    <s v="FB"/>
    <s v="Alpesh Bhikadiya"/>
    <s v="Surat"/>
    <s v="Gujarat"/>
    <s v="Rejected"/>
    <n v="108000"/>
    <n v="107267"/>
    <s v="Rejected"/>
    <x v="0"/>
    <m/>
    <s v=""/>
    <x v="0"/>
    <x v="1"/>
    <s v="Q3"/>
    <x v="0"/>
  </r>
  <r>
    <s v="EOS0269"/>
    <d v="2025-07-09T00:00:00"/>
    <s v="FB"/>
    <s v="FB"/>
    <s v="Brijesh Sheladiya"/>
    <s v="Rajkot"/>
    <s v="Gujarat"/>
    <s v="Rejected"/>
    <n v="130000"/>
    <n v="107268"/>
    <s v="Rejected"/>
    <x v="0"/>
    <m/>
    <s v=""/>
    <x v="0"/>
    <x v="1"/>
    <s v="Q3"/>
    <x v="0"/>
  </r>
  <r>
    <s v="EOS0270"/>
    <d v="2025-07-09T00:00:00"/>
    <s v="FB"/>
    <s v="FB"/>
    <s v="Yadav Yashkumar maheshbhai"/>
    <s v="Botad"/>
    <s v="Gujarat"/>
    <s v="Rejected"/>
    <n v="130000"/>
    <n v="107269"/>
    <s v="Rejected"/>
    <x v="0"/>
    <m/>
    <s v=""/>
    <x v="0"/>
    <x v="1"/>
    <s v="Q3"/>
    <x v="0"/>
  </r>
  <r>
    <s v="EOS0271"/>
    <d v="1900-01-22T00:00:00"/>
    <s v="FB"/>
    <s v="FB"/>
    <s v="AJ"/>
    <s v="Ahmedabad"/>
    <s v="Gujarat"/>
    <s v="Rejected"/>
    <n v="130000"/>
    <n v="107270"/>
    <s v="Rejected"/>
    <x v="0"/>
    <m/>
    <s v=""/>
    <x v="0"/>
    <x v="2"/>
    <s v="Q1"/>
    <x v="0"/>
  </r>
  <r>
    <s v="EOS0272"/>
    <d v="2025-07-10T00:00:00"/>
    <s v="FB"/>
    <s v="FB"/>
    <s v="Vishal Patel"/>
    <s v="Nadiad"/>
    <s v="Gujarat"/>
    <s v="Rejected"/>
    <n v="130000"/>
    <n v="107271"/>
    <s v="Rejected"/>
    <x v="0"/>
    <m/>
    <s v=""/>
    <x v="0"/>
    <x v="1"/>
    <s v="Q3"/>
    <x v="0"/>
  </r>
  <r>
    <s v="EOS0273"/>
    <d v="2025-07-10T00:00:00"/>
    <s v="FB"/>
    <s v="FB"/>
    <s v="Mayuri"/>
    <s v="Surat"/>
    <s v="Gujarat"/>
    <s v="Rejected"/>
    <n v="177000"/>
    <n v="107272"/>
    <s v="Rejected"/>
    <x v="0"/>
    <m/>
    <s v=""/>
    <x v="1"/>
    <x v="1"/>
    <s v="Q3"/>
    <x v="0"/>
  </r>
  <r>
    <s v="EOS0274"/>
    <d v="2025-07-10T00:00:00"/>
    <s v="FB"/>
    <s v="FB"/>
    <s v="Amit Gupta"/>
    <s v="Padrauna"/>
    <s v="Uttar Pradesh"/>
    <s v="Rejected"/>
    <n v="130000"/>
    <n v="107273"/>
    <s v="Rejected"/>
    <x v="0"/>
    <m/>
    <s v=""/>
    <x v="0"/>
    <x v="1"/>
    <s v="Q3"/>
    <x v="1"/>
  </r>
  <r>
    <s v="EOS0275"/>
    <d v="2025-07-10T00:00:00"/>
    <s v="FB"/>
    <s v="FB"/>
    <s v="Suraj Sharma"/>
    <s v="mathura"/>
    <s v="Uttar Pradesh"/>
    <s v="Rejected"/>
    <n v="130000"/>
    <n v="107274"/>
    <s v="Rejected"/>
    <x v="0"/>
    <m/>
    <s v=""/>
    <x v="0"/>
    <x v="1"/>
    <s v="Q3"/>
    <x v="1"/>
  </r>
  <r>
    <s v="EOS0276"/>
    <d v="2025-07-10T00:00:00"/>
    <s v="FB"/>
    <s v="FB"/>
    <s v="Ayush Seth"/>
    <s v="Jhansi"/>
    <s v="Uttar Pradesh"/>
    <s v="Rejected"/>
    <n v="108000"/>
    <n v="107275"/>
    <s v="Rejected"/>
    <x v="0"/>
    <m/>
    <s v=""/>
    <x v="0"/>
    <x v="1"/>
    <s v="Q3"/>
    <x v="1"/>
  </r>
  <r>
    <s v="EOS0277"/>
    <d v="2025-07-10T00:00:00"/>
    <s v="FB"/>
    <s v="FB"/>
    <s v="Rajeev Kumar"/>
    <s v="Dehradun"/>
    <s v="Uttrakhand"/>
    <s v="Rejected"/>
    <n v="177000"/>
    <n v="107276"/>
    <s v="Rejected"/>
    <x v="0"/>
    <m/>
    <s v=""/>
    <x v="1"/>
    <x v="1"/>
    <s v="Q3"/>
    <x v="1"/>
  </r>
  <r>
    <s v="EOS0278"/>
    <d v="2025-07-10T00:00:00"/>
    <s v="FB"/>
    <s v="FB"/>
    <s v="Sagar"/>
    <s v="latur"/>
    <s v="Maharashtra"/>
    <s v="Rejected"/>
    <n v="130000"/>
    <n v="107277"/>
    <s v="Rejected"/>
    <x v="0"/>
    <m/>
    <s v=""/>
    <x v="0"/>
    <x v="1"/>
    <s v="Q3"/>
    <x v="0"/>
  </r>
  <r>
    <s v="EOS0279"/>
    <d v="2025-07-10T00:00:00"/>
    <s v="FB"/>
    <s v="FB"/>
    <s v="SANJEEV KUMAR"/>
    <s v="Ajitmal"/>
    <s v="Uttar Pradesh"/>
    <s v="Rejected"/>
    <n v="108000"/>
    <n v="107278"/>
    <s v="Rejected"/>
    <x v="0"/>
    <m/>
    <s v=""/>
    <x v="0"/>
    <x v="1"/>
    <s v="Q3"/>
    <x v="1"/>
  </r>
  <r>
    <s v="EOS0280"/>
    <d v="2025-07-10T00:00:00"/>
    <s v="FB"/>
    <s v="FB"/>
    <s v="Dhiraj kumar soni"/>
    <s v="birpara"/>
    <s v="West Bengal"/>
    <s v="Rejected"/>
    <n v="177000"/>
    <n v="107279"/>
    <s v="Rejected"/>
    <x v="0"/>
    <m/>
    <s v=""/>
    <x v="1"/>
    <x v="1"/>
    <s v="Q3"/>
    <x v="3"/>
  </r>
  <r>
    <s v="EOS0281"/>
    <d v="2025-07-10T00:00:00"/>
    <s v="FB"/>
    <s v="FB"/>
    <s v="Krishna Kumar"/>
    <s v="kushinagar"/>
    <s v="Uttar Pradesh"/>
    <s v="Rejected"/>
    <n v="108000"/>
    <n v="107280"/>
    <s v="Rejected"/>
    <x v="0"/>
    <m/>
    <s v=""/>
    <x v="0"/>
    <x v="1"/>
    <s v="Q3"/>
    <x v="1"/>
  </r>
  <r>
    <s v="EOS0282"/>
    <d v="2025-07-10T00:00:00"/>
    <s v="FB"/>
    <s v="FB"/>
    <s v="Aditya Kumar Raut"/>
    <s v="Dhaka"/>
    <s v="Bihar"/>
    <s v="Rejected"/>
    <n v="130000"/>
    <n v="107281"/>
    <s v="Rejected"/>
    <x v="0"/>
    <m/>
    <s v=""/>
    <x v="0"/>
    <x v="1"/>
    <s v="Q3"/>
    <x v="3"/>
  </r>
  <r>
    <s v="EOS0283"/>
    <d v="2025-07-10T00:00:00"/>
    <s v="FB"/>
    <s v="FB"/>
    <s v="Divyanshu Tiwari"/>
    <s v="ballia"/>
    <s v="Uttar Pradesh"/>
    <s v="Rejected"/>
    <n v="108000"/>
    <n v="107282"/>
    <s v="Rejected"/>
    <x v="0"/>
    <m/>
    <s v=""/>
    <x v="0"/>
    <x v="1"/>
    <s v="Q3"/>
    <x v="1"/>
  </r>
  <r>
    <s v="EOS0284"/>
    <d v="2025-07-10T00:00:00"/>
    <s v="FB"/>
    <s v="FB"/>
    <s v="NA"/>
    <s v="east chaMadhya Pradesharan"/>
    <s v="Bihar"/>
    <s v="Rejected"/>
    <n v="177000"/>
    <n v="107283"/>
    <s v="Rejected"/>
    <x v="0"/>
    <m/>
    <s v=""/>
    <x v="1"/>
    <x v="1"/>
    <s v="Q3"/>
    <x v="3"/>
  </r>
  <r>
    <s v="EOS0285"/>
    <d v="2025-07-10T00:00:00"/>
    <s v="FB"/>
    <s v="FB"/>
    <s v="Dangar Raviraj Ahir"/>
    <s v=" Bhavnagar"/>
    <s v="Gujarat"/>
    <s v="Rejected"/>
    <n v="130000"/>
    <n v="107284"/>
    <s v="Rejected"/>
    <x v="0"/>
    <m/>
    <s v=""/>
    <x v="0"/>
    <x v="1"/>
    <s v="Q3"/>
    <x v="0"/>
  </r>
  <r>
    <s v="EOS0286"/>
    <d v="2025-07-10T00:00:00"/>
    <s v="FB"/>
    <s v="FB"/>
    <s v="Jagdish Maheshwari"/>
    <s v="Gandhidham"/>
    <s v="Gujarat"/>
    <s v="Rejected"/>
    <n v="108000"/>
    <n v="107285"/>
    <s v="Rejected"/>
    <x v="0"/>
    <m/>
    <s v=""/>
    <x v="0"/>
    <x v="1"/>
    <s v="Q3"/>
    <x v="0"/>
  </r>
  <r>
    <s v="EOS0287"/>
    <d v="2025-07-11T00:00:00"/>
    <s v="FB"/>
    <s v="FB"/>
    <s v="MaYaNk PaTeL"/>
    <s v="Patan"/>
    <s v="Gujarat"/>
    <s v="Rejected"/>
    <n v="108000"/>
    <n v="107286"/>
    <s v="Rejected"/>
    <x v="0"/>
    <m/>
    <s v=""/>
    <x v="0"/>
    <x v="1"/>
    <s v="Q3"/>
    <x v="0"/>
  </r>
  <r>
    <s v="EOS0288"/>
    <d v="2025-07-11T00:00:00"/>
    <s v="FB"/>
    <s v="FB"/>
    <s v="Afreen Fidahusein Surti"/>
    <s v="Vadodara"/>
    <s v="Gujarat"/>
    <s v="Rejected"/>
    <n v="130000"/>
    <n v="107287"/>
    <s v="Rejected"/>
    <x v="0"/>
    <m/>
    <s v=""/>
    <x v="0"/>
    <x v="1"/>
    <s v="Q3"/>
    <x v="0"/>
  </r>
  <r>
    <s v="EOS0289"/>
    <d v="2025-07-11T00:00:00"/>
    <s v="FB"/>
    <s v="FB"/>
    <s v="Dixit Soni"/>
    <s v="Ahmedabad"/>
    <s v="Gujarat"/>
    <s v="Rejected"/>
    <n v="108000"/>
    <n v="107288"/>
    <s v="Rejected"/>
    <x v="0"/>
    <m/>
    <s v=""/>
    <x v="0"/>
    <x v="1"/>
    <s v="Q3"/>
    <x v="0"/>
  </r>
  <r>
    <s v="EOS0290"/>
    <d v="2025-07-11T00:00:00"/>
    <s v="FB"/>
    <s v="FB"/>
    <s v="Jay Solanki"/>
    <s v="Delwada"/>
    <s v="Gujarat"/>
    <s v="Rejected"/>
    <n v="130000"/>
    <n v="107289"/>
    <s v="Rejected"/>
    <x v="0"/>
    <m/>
    <s v=""/>
    <x v="0"/>
    <x v="1"/>
    <s v="Q3"/>
    <x v="0"/>
  </r>
  <r>
    <s v="EOS0291"/>
    <d v="2025-07-11T00:00:00"/>
    <s v="FB"/>
    <s v="FB"/>
    <s v="🅺🅳 🅷🅸🆁"/>
    <s v=" Bhavnagar"/>
    <s v="Gujarat"/>
    <s v="Rejected"/>
    <n v="108000"/>
    <n v="107290"/>
    <s v="Rejected"/>
    <x v="0"/>
    <m/>
    <s v=""/>
    <x v="0"/>
    <x v="1"/>
    <s v="Q3"/>
    <x v="0"/>
  </r>
  <r>
    <s v="EOS0292"/>
    <d v="2025-07-11T00:00:00"/>
    <s v="FB"/>
    <s v="FB"/>
    <s v="Kirtan Patel"/>
    <s v="Vadodara"/>
    <s v="Gujarat"/>
    <s v="Rejected"/>
    <n v="108000"/>
    <n v="107291"/>
    <s v="Rejected"/>
    <x v="0"/>
    <m/>
    <s v=""/>
    <x v="0"/>
    <x v="1"/>
    <s v="Q3"/>
    <x v="0"/>
  </r>
  <r>
    <s v="EOS0293"/>
    <d v="2025-07-12T00:00:00"/>
    <s v="FB"/>
    <s v="FB"/>
    <s v="Babu Bariya"/>
    <s v="diu"/>
    <s v="Gujarat"/>
    <s v="Rejected"/>
    <n v="108000"/>
    <n v="107292"/>
    <s v="Rejected"/>
    <x v="0"/>
    <m/>
    <s v=""/>
    <x v="0"/>
    <x v="1"/>
    <s v="Q3"/>
    <x v="0"/>
  </r>
  <r>
    <s v="EOS0294"/>
    <d v="2025-07-12T00:00:00"/>
    <s v="FB"/>
    <s v="FB"/>
    <s v="Thakor Sachin"/>
    <s v="Gandhinagar"/>
    <s v="Gujarat"/>
    <s v="Rejected"/>
    <n v="130000"/>
    <n v="107293"/>
    <s v="Rejected"/>
    <x v="0"/>
    <m/>
    <s v=""/>
    <x v="0"/>
    <x v="1"/>
    <s v="Q3"/>
    <x v="0"/>
  </r>
  <r>
    <s v="EOS0295"/>
    <d v="2025-07-12T00:00:00"/>
    <s v="FB"/>
    <s v="FB"/>
    <s v="Prakash Solanki"/>
    <s v="Ahmedabad"/>
    <s v="Gujarat"/>
    <s v="Rejected"/>
    <n v="130000"/>
    <n v="107294"/>
    <s v="Rejected"/>
    <x v="0"/>
    <m/>
    <s v=""/>
    <x v="0"/>
    <x v="1"/>
    <s v="Q3"/>
    <x v="0"/>
  </r>
  <r>
    <s v="EOS0296"/>
    <d v="2025-07-12T00:00:00"/>
    <s v="FB"/>
    <s v="FB"/>
    <s v="Dhaval Rupareliya"/>
    <s v="Gondal"/>
    <s v="Gujarat"/>
    <s v="Rejected"/>
    <n v="108000"/>
    <n v="107295"/>
    <s v="Rejected"/>
    <x v="0"/>
    <m/>
    <s v=""/>
    <x v="0"/>
    <x v="1"/>
    <s v="Q3"/>
    <x v="0"/>
  </r>
  <r>
    <s v="EOS0297"/>
    <d v="2025-07-12T00:00:00"/>
    <s v="FB"/>
    <s v="FB"/>
    <s v="Haris Bangra"/>
    <s v="Mangrol"/>
    <s v="Gujarat"/>
    <s v="Rejected"/>
    <n v="130000"/>
    <n v="107296"/>
    <s v="Rejected"/>
    <x v="0"/>
    <m/>
    <s v=""/>
    <x v="0"/>
    <x v="1"/>
    <s v="Q3"/>
    <x v="0"/>
  </r>
  <r>
    <s v="EOS0298"/>
    <d v="2025-07-12T00:00:00"/>
    <s v="FB"/>
    <s v="FB"/>
    <s v="Rohan Padhiyar"/>
    <s v="Vadodara"/>
    <s v="Gujarat"/>
    <s v="Rejected"/>
    <n v="177000"/>
    <n v="107297"/>
    <s v="Rejected"/>
    <x v="0"/>
    <m/>
    <s v=""/>
    <x v="1"/>
    <x v="1"/>
    <s v="Q3"/>
    <x v="0"/>
  </r>
  <r>
    <s v="EOS0299"/>
    <d v="2025-07-12T00:00:00"/>
    <s v="FB"/>
    <s v="FB"/>
    <s v="Salman Shah"/>
    <s v="multai"/>
    <s v="Madhya Pradesh"/>
    <s v="Rejected"/>
    <n v="177000"/>
    <n v="107298"/>
    <s v="Rejected"/>
    <x v="0"/>
    <m/>
    <s v=""/>
    <x v="1"/>
    <x v="1"/>
    <s v="Q3"/>
    <x v="2"/>
  </r>
  <r>
    <s v="EOS0300"/>
    <d v="2025-07-12T00:00:00"/>
    <s v="FB"/>
    <s v="FB"/>
    <s v="Ravi Chaudhary"/>
    <s v="Raebareli"/>
    <s v="Uttar Pradesh"/>
    <s v="Rejected"/>
    <n v="108000"/>
    <n v="107299"/>
    <s v="Rejected"/>
    <x v="0"/>
    <m/>
    <s v=""/>
    <x v="0"/>
    <x v="1"/>
    <s v="Q3"/>
    <x v="1"/>
  </r>
  <r>
    <s v="EOS0301"/>
    <s v="14/07/2025"/>
    <s v="FB"/>
    <s v="FB"/>
    <s v="Ashish Kumar"/>
    <s v="Patna New City"/>
    <s v="Bihar"/>
    <s v="Rejected"/>
    <n v="130000"/>
    <n v="107300"/>
    <s v="Rejected"/>
    <x v="0"/>
    <m/>
    <s v=""/>
    <x v="0"/>
    <x v="1"/>
    <s v="Q3"/>
    <x v="3"/>
  </r>
  <r>
    <s v="EOS0302"/>
    <s v="14/07/2025"/>
    <s v="FB"/>
    <s v="FB"/>
    <s v="Deepak Kumar"/>
    <s v="Raxaul"/>
    <s v="Bihar"/>
    <s v="Rejected"/>
    <n v="108000"/>
    <n v="107301"/>
    <s v="Rejected"/>
    <x v="0"/>
    <m/>
    <s v=""/>
    <x v="0"/>
    <x v="1"/>
    <s v="Q3"/>
    <x v="3"/>
  </r>
  <r>
    <s v="EOS0303"/>
    <s v="14/07/2025"/>
    <s v="FB"/>
    <s v="FB"/>
    <s v="Arjun kumar"/>
    <s v="Bettiah"/>
    <s v="Bihar"/>
    <s v="Rejected"/>
    <n v="130000"/>
    <n v="107302"/>
    <s v="Rejected"/>
    <x v="0"/>
    <m/>
    <s v=""/>
    <x v="0"/>
    <x v="1"/>
    <s v="Q3"/>
    <x v="3"/>
  </r>
  <r>
    <s v="EOS0304"/>
    <s v="14/07/2025"/>
    <s v="FB"/>
    <s v="FB"/>
    <s v="kapilkarena"/>
    <s v="VAPI"/>
    <s v="Gujarat"/>
    <s v="Rejected"/>
    <n v="108000"/>
    <n v="107303"/>
    <s v="Rejected"/>
    <x v="0"/>
    <m/>
    <s v=""/>
    <x v="0"/>
    <x v="1"/>
    <s v="Q3"/>
    <x v="0"/>
  </r>
  <r>
    <s v="EOS0305"/>
    <s v="14/07/2025"/>
    <s v="FB"/>
    <s v="FB"/>
    <s v="Dharmarajsinh Chudasama"/>
    <s v=" Bhavnagar"/>
    <s v="Gujarat"/>
    <s v="Rejected"/>
    <n v="108000"/>
    <n v="107304"/>
    <s v="Rejected"/>
    <x v="0"/>
    <m/>
    <s v=""/>
    <x v="0"/>
    <x v="1"/>
    <s v="Q3"/>
    <x v="0"/>
  </r>
  <r>
    <s v="EOS0306"/>
    <s v="14/07/2025"/>
    <s v="FB"/>
    <s v="FB"/>
    <s v="Rajesh"/>
    <s v="Surat"/>
    <s v="Gujarat"/>
    <s v="Rejected"/>
    <n v="108000"/>
    <n v="107305"/>
    <s v="Rejected"/>
    <x v="0"/>
    <m/>
    <s v=""/>
    <x v="0"/>
    <x v="1"/>
    <s v="Q3"/>
    <x v="0"/>
  </r>
  <r>
    <s v="EOS0307"/>
    <s v="14/07/2025"/>
    <s v="FB"/>
    <s v="FB"/>
    <s v="Jadeja Mahendra Sih"/>
    <s v="Rapar"/>
    <s v="Gujarat"/>
    <s v="Rejected"/>
    <n v="108000"/>
    <n v="107306"/>
    <s v="Rejected"/>
    <x v="0"/>
    <m/>
    <s v=""/>
    <x v="0"/>
    <x v="1"/>
    <s v="Q3"/>
    <x v="0"/>
  </r>
  <r>
    <s v="EOS0308"/>
    <s v="14/07/2025"/>
    <s v="FB"/>
    <s v="FB"/>
    <s v="Jatin"/>
    <s v="Ahmedabad"/>
    <s v="Gujarat"/>
    <s v="Rejected"/>
    <n v="130000"/>
    <n v="107307"/>
    <s v="Rejected"/>
    <x v="0"/>
    <m/>
    <s v=""/>
    <x v="0"/>
    <x v="1"/>
    <s v="Q3"/>
    <x v="0"/>
  </r>
  <r>
    <s v="EOS0309"/>
    <s v="14/07/2025"/>
    <s v="FB"/>
    <s v="FB"/>
    <s v="Parakramsinh Vaghela"/>
    <s v="Patan"/>
    <s v="Gujarat"/>
    <s v="Rejected"/>
    <n v="108000"/>
    <n v="107308"/>
    <s v="Rejected"/>
    <x v="0"/>
    <m/>
    <s v=""/>
    <x v="0"/>
    <x v="1"/>
    <s v="Q3"/>
    <x v="0"/>
  </r>
  <r>
    <s v="EOS0310"/>
    <s v="14/07/2025"/>
    <s v="FB"/>
    <s v="FB"/>
    <s v="Satish Patel"/>
    <s v="Bharuch"/>
    <s v="Gujarat"/>
    <s v="Rejected"/>
    <n v="108000"/>
    <n v="107309"/>
    <s v="Rejected"/>
    <x v="0"/>
    <m/>
    <s v=""/>
    <x v="0"/>
    <x v="1"/>
    <s v="Q3"/>
    <x v="0"/>
  </r>
  <r>
    <s v="EOS0311"/>
    <s v="14/07/2025"/>
    <s v="FB"/>
    <s v="FB"/>
    <s v="Sarvan Modi Modi"/>
    <s v="Diyodar"/>
    <s v="Gujarat"/>
    <s v="Rejected"/>
    <n v="130000"/>
    <n v="107310"/>
    <s v="Rejected"/>
    <x v="0"/>
    <m/>
    <s v=""/>
    <x v="0"/>
    <x v="1"/>
    <s v="Q3"/>
    <x v="0"/>
  </r>
  <r>
    <s v="EOS0312"/>
    <s v="14/07/2025"/>
    <s v="FB"/>
    <s v="FB"/>
    <s v="Dax Pipaliya"/>
    <s v="Keshod"/>
    <s v="Gujarat"/>
    <s v="Rejected"/>
    <n v="108000"/>
    <n v="107311"/>
    <s v="Rejected"/>
    <x v="0"/>
    <m/>
    <s v=""/>
    <x v="0"/>
    <x v="1"/>
    <s v="Q3"/>
    <x v="0"/>
  </r>
  <r>
    <s v="EOS0313"/>
    <s v="14/07/2025"/>
    <s v="FB"/>
    <s v="FB"/>
    <s v="Ajay Rangwal"/>
    <s v="Udgir"/>
    <s v="Maharashtra"/>
    <s v="Rejected"/>
    <n v="108000"/>
    <n v="107312"/>
    <s v="Rejected"/>
    <x v="0"/>
    <m/>
    <s v=""/>
    <x v="0"/>
    <x v="1"/>
    <s v="Q3"/>
    <x v="0"/>
  </r>
  <r>
    <s v="EOS0314"/>
    <s v="14/07/2025"/>
    <s v="FB"/>
    <s v="FB"/>
    <s v="Gaurav Nikam Patil"/>
    <s v="Nashik"/>
    <s v="Maharashtra"/>
    <s v="Rejected"/>
    <n v="130000"/>
    <n v="107313"/>
    <s v="Rejected"/>
    <x v="0"/>
    <m/>
    <s v=""/>
    <x v="0"/>
    <x v="1"/>
    <s v="Q3"/>
    <x v="0"/>
  </r>
  <r>
    <s v="EOS0315"/>
    <s v="14/07/2025"/>
    <s v="FB"/>
    <s v="FB"/>
    <s v="Anand"/>
    <s v="Shirur"/>
    <s v="Maharashtra"/>
    <s v="Rejected"/>
    <n v="108000"/>
    <n v="107314"/>
    <s v="Rejected"/>
    <x v="0"/>
    <m/>
    <s v=""/>
    <x v="0"/>
    <x v="1"/>
    <s v="Q3"/>
    <x v="0"/>
  </r>
  <r>
    <s v="EOS0316"/>
    <s v="14/07/2025"/>
    <s v="FB"/>
    <s v="FB"/>
    <s v="Mitu Swain"/>
    <s v="Cuttck"/>
    <s v="Odisha"/>
    <s v="Rejected"/>
    <n v="130000"/>
    <n v="107315"/>
    <s v="Rejected"/>
    <x v="0"/>
    <m/>
    <s v=""/>
    <x v="0"/>
    <x v="1"/>
    <s v="Q3"/>
    <x v="3"/>
  </r>
  <r>
    <s v="EOS0317"/>
    <s v="14/07/2025"/>
    <s v="FB"/>
    <s v="FB"/>
    <s v="Aslam khn"/>
    <s v="kuchaman city"/>
    <s v="Rajasthan"/>
    <s v="Rejected"/>
    <n v="130000"/>
    <n v="107316"/>
    <s v="Rejected"/>
    <x v="0"/>
    <m/>
    <s v=""/>
    <x v="0"/>
    <x v="1"/>
    <s v="Q3"/>
    <x v="0"/>
  </r>
  <r>
    <s v="EOS0318"/>
    <s v="14/07/2025"/>
    <s v="FB"/>
    <s v="FB"/>
    <s v="shripal"/>
    <s v="meerut"/>
    <s v="Uttar Pradesh"/>
    <s v="Rejected"/>
    <n v="130000"/>
    <n v="107317"/>
    <s v="Rejected"/>
    <x v="0"/>
    <m/>
    <s v=""/>
    <x v="0"/>
    <x v="1"/>
    <s v="Q3"/>
    <x v="1"/>
  </r>
  <r>
    <s v="EOS0319"/>
    <s v="14/07/2025"/>
    <s v="FB"/>
    <s v="FB"/>
    <s v="Biseswar Barman"/>
    <s v="Cooch Behar"/>
    <s v="West Bengal"/>
    <s v="Rejected"/>
    <n v="108000"/>
    <n v="107318"/>
    <s v="Rejected"/>
    <x v="0"/>
    <m/>
    <s v=""/>
    <x v="0"/>
    <x v="1"/>
    <s v="Q3"/>
    <x v="3"/>
  </r>
  <r>
    <s v="EOS0320"/>
    <s v="14/07/2025"/>
    <s v="FB"/>
    <s v="FB"/>
    <s v="Aniket Yadav"/>
    <s v="BALLIA"/>
    <s v="Uttar Pradesh"/>
    <s v="Rejected"/>
    <n v="130000"/>
    <n v="107319"/>
    <s v="Rejected"/>
    <x v="0"/>
    <m/>
    <s v=""/>
    <x v="0"/>
    <x v="1"/>
    <s v="Q3"/>
    <x v="1"/>
  </r>
  <r>
    <s v="EOS0321"/>
    <s v="15/07/2025"/>
    <s v="FB"/>
    <s v="FB"/>
    <s v="naimish jani"/>
    <s v="Rajkot"/>
    <s v="Gujarat"/>
    <s v="Rejected"/>
    <n v="130000"/>
    <n v="107320"/>
    <s v="Rejected"/>
    <x v="0"/>
    <m/>
    <s v=""/>
    <x v="0"/>
    <x v="1"/>
    <s v="Q3"/>
    <x v="0"/>
  </r>
  <r>
    <s v="EOS0322"/>
    <s v="15/07/2025"/>
    <s v="FB"/>
    <s v="FB"/>
    <s v="Rushirajsinh Gohil"/>
    <s v=" Bhavnagar"/>
    <s v="Gujarat"/>
    <s v="Rejected"/>
    <n v="130000"/>
    <n v="107321"/>
    <s v="Rejected"/>
    <x v="0"/>
    <m/>
    <s v=""/>
    <x v="0"/>
    <x v="1"/>
    <s v="Q3"/>
    <x v="0"/>
  </r>
  <r>
    <s v="EOS0323"/>
    <s v="15/07/2025"/>
    <s v="FB"/>
    <s v="FB"/>
    <s v="NiHal ĀçHàrÿæ"/>
    <s v="Surat"/>
    <s v="Gujarat"/>
    <s v="Rejected"/>
    <n v="177000"/>
    <n v="107322"/>
    <s v="Rejected"/>
    <x v="0"/>
    <m/>
    <s v=""/>
    <x v="1"/>
    <x v="1"/>
    <s v="Q3"/>
    <x v="0"/>
  </r>
  <r>
    <s v="EOS0324"/>
    <s v="15/07/2025"/>
    <s v="FB"/>
    <s v="FB"/>
    <s v="°RADHE°°2990°"/>
    <s v="Banaskantha"/>
    <s v="Gujarat"/>
    <s v="Rejected"/>
    <n v="130000"/>
    <n v="107323"/>
    <s v="Rejected"/>
    <x v="0"/>
    <m/>
    <s v=""/>
    <x v="0"/>
    <x v="1"/>
    <s v="Q3"/>
    <x v="0"/>
  </r>
  <r>
    <s v="EOS0325"/>
    <s v="15/07/2025"/>
    <s v="FB"/>
    <s v="FB"/>
    <s v="Vijay Kumbhani"/>
    <s v="Vadodara"/>
    <s v="Gujarat"/>
    <s v="Rejected"/>
    <n v="130000"/>
    <n v="107324"/>
    <s v="Rejected"/>
    <x v="0"/>
    <m/>
    <s v=""/>
    <x v="0"/>
    <x v="1"/>
    <s v="Q3"/>
    <x v="0"/>
  </r>
  <r>
    <s v="EOS0326"/>
    <s v="15/07/2025"/>
    <s v="FB"/>
    <s v="FB"/>
    <s v="Ravi Dabhi"/>
    <s v="Junagadh"/>
    <s v="Gujarat"/>
    <s v="Rejected"/>
    <n v="108000"/>
    <n v="107325"/>
    <s v="Rejected"/>
    <x v="0"/>
    <m/>
    <s v=""/>
    <x v="0"/>
    <x v="1"/>
    <s v="Q3"/>
    <x v="0"/>
  </r>
  <r>
    <s v="EOS0327"/>
    <s v="15/07/2025"/>
    <s v="FB"/>
    <s v="FB"/>
    <s v="haresh gohil"/>
    <s v="Ahmedabad"/>
    <s v="Gujarat"/>
    <s v="Rejected"/>
    <n v="108000"/>
    <n v="107326"/>
    <s v="Rejected"/>
    <x v="0"/>
    <m/>
    <s v=""/>
    <x v="0"/>
    <x v="1"/>
    <s v="Q3"/>
    <x v="0"/>
  </r>
  <r>
    <s v="EOS0328"/>
    <s v="15/07/2025"/>
    <s v="FB"/>
    <s v="FB"/>
    <s v="Jayvirbhai Khuman"/>
    <s v="Amreli"/>
    <s v="Gujarat"/>
    <s v="Rejected"/>
    <n v="108000"/>
    <n v="107327"/>
    <s v="Rejected"/>
    <x v="0"/>
    <m/>
    <s v=""/>
    <x v="0"/>
    <x v="1"/>
    <s v="Q3"/>
    <x v="0"/>
  </r>
  <r>
    <s v="EOS0329"/>
    <s v="15/07/2025"/>
    <s v="FB"/>
    <s v="FB"/>
    <s v="SuMiTpAnDaV__"/>
    <s v="Surat"/>
    <s v="Gujarat"/>
    <s v="Rejected"/>
    <n v="108000"/>
    <n v="107328"/>
    <s v="Rejected"/>
    <x v="0"/>
    <m/>
    <s v=""/>
    <x v="0"/>
    <x v="1"/>
    <s v="Q3"/>
    <x v="0"/>
  </r>
  <r>
    <s v="EOS0330"/>
    <s v="15/07/2025"/>
    <s v="FB"/>
    <s v="FB"/>
    <s v="𝐀𝐤𝐬𝐡𝐚𝐭 𝐏𝐚𝐫𝐦𝐚𝐫"/>
    <s v="Navsari"/>
    <s v="Gujarat"/>
    <s v="Rejected"/>
    <n v="108000"/>
    <n v="107329"/>
    <s v="Rejected"/>
    <x v="0"/>
    <m/>
    <s v=""/>
    <x v="0"/>
    <x v="1"/>
    <s v="Q3"/>
    <x v="0"/>
  </r>
  <r>
    <s v="EOS0331"/>
    <s v="15/07/2025"/>
    <s v="FB"/>
    <s v="FB"/>
    <s v="NAYAN SHINGADIYA"/>
    <s v="Rajkot"/>
    <s v="Gujarat"/>
    <s v="Rejected"/>
    <n v="130000"/>
    <n v="107330"/>
    <s v="Rejected"/>
    <x v="0"/>
    <m/>
    <s v=""/>
    <x v="0"/>
    <x v="1"/>
    <s v="Q3"/>
    <x v="0"/>
  </r>
  <r>
    <s v="EOS0332"/>
    <s v="16/07/2025"/>
    <s v="FB"/>
    <s v="FB"/>
    <s v="Chovasiya Uttam K"/>
    <s v="Surat"/>
    <s v="Gujarat"/>
    <s v="Rejected"/>
    <n v="130000"/>
    <n v="107331"/>
    <s v="Rejected"/>
    <x v="0"/>
    <m/>
    <s v=""/>
    <x v="0"/>
    <x v="1"/>
    <s v="Q3"/>
    <x v="0"/>
  </r>
  <r>
    <s v="EOS0333"/>
    <s v="16/07/2025"/>
    <s v="FB"/>
    <s v="FB"/>
    <s v="Avi Khatri"/>
    <s v="Bhuj"/>
    <s v="Gujarat"/>
    <s v="Rejected"/>
    <n v="108000"/>
    <n v="107332"/>
    <s v="Rejected"/>
    <x v="0"/>
    <m/>
    <s v=""/>
    <x v="0"/>
    <x v="1"/>
    <s v="Q3"/>
    <x v="0"/>
  </r>
  <r>
    <s v="EOS0334"/>
    <s v="16/07/2025"/>
    <s v="FB"/>
    <s v="FB"/>
    <s v="Hemant Kumar"/>
    <s v="Khambhat"/>
    <s v="Gujarat"/>
    <s v="Rejected"/>
    <n v="108000"/>
    <n v="107333"/>
    <s v="Rejected"/>
    <x v="0"/>
    <m/>
    <s v=""/>
    <x v="0"/>
    <x v="1"/>
    <s v="Q3"/>
    <x v="0"/>
  </r>
  <r>
    <s v="EOS0335"/>
    <s v="16/07/2025"/>
    <s v="FB"/>
    <s v="FB"/>
    <s v="Yagnik Patel"/>
    <s v="himmatnagar"/>
    <s v="Gujarat"/>
    <s v="Rejected"/>
    <n v="108000"/>
    <n v="107334"/>
    <s v="Deal"/>
    <x v="1"/>
    <m/>
    <s v=""/>
    <x v="0"/>
    <x v="1"/>
    <s v="Q3"/>
    <x v="0"/>
  </r>
  <r>
    <s v="EOS0336"/>
    <s v="16/07/2025"/>
    <s v="FB"/>
    <s v="FB"/>
    <s v="Krut"/>
    <s v="Surat"/>
    <s v="Gujarat"/>
    <s v="Rejected"/>
    <n v="108000"/>
    <n v="107335"/>
    <s v="Rejected"/>
    <x v="0"/>
    <m/>
    <s v=""/>
    <x v="0"/>
    <x v="1"/>
    <s v="Q3"/>
    <x v="0"/>
  </r>
  <r>
    <s v="EOS0337"/>
    <s v="16/07/2025"/>
    <s v="FB"/>
    <s v="FB"/>
    <s v="Dangar Bhavesh Ahir"/>
    <s v=" Bhavnagar"/>
    <s v="Gujarat"/>
    <s v="Rejected"/>
    <n v="130000"/>
    <n v="107336"/>
    <s v="Rejected"/>
    <x v="0"/>
    <m/>
    <s v=""/>
    <x v="0"/>
    <x v="1"/>
    <s v="Q3"/>
    <x v="0"/>
  </r>
  <r>
    <s v="EOS0338"/>
    <d v="2025-07-16T00:00:00"/>
    <s v="FB"/>
    <s v="FB"/>
    <s v="Sidharth Agrawal"/>
    <s v="Indore"/>
    <s v="Madhya Pradesh"/>
    <s v="Rejected"/>
    <n v="108000"/>
    <n v="107337"/>
    <s v="Rejected"/>
    <x v="0"/>
    <m/>
    <s v=""/>
    <x v="0"/>
    <x v="1"/>
    <s v="Q3"/>
    <x v="2"/>
  </r>
  <r>
    <s v="EOS0339"/>
    <s v="16/07/2025"/>
    <s v="FB"/>
    <s v="FB"/>
    <s v="Navojth Singh "/>
    <s v="Hanumangarh"/>
    <s v="Rajasthan"/>
    <s v="Rejected"/>
    <n v="130000"/>
    <n v="107338"/>
    <s v="Deal"/>
    <x v="1"/>
    <m/>
    <s v=""/>
    <x v="0"/>
    <x v="1"/>
    <s v="Q3"/>
    <x v="0"/>
  </r>
  <r>
    <s v="EOS0340"/>
    <s v="16/07/2025"/>
    <s v="FB"/>
    <s v="FB"/>
    <s v="Utsav Sharma"/>
    <s v="moradabad"/>
    <s v="Uttar Pradesh"/>
    <s v="Rejected"/>
    <n v="108000"/>
    <n v="107339"/>
    <s v="Rejected"/>
    <x v="0"/>
    <m/>
    <s v=""/>
    <x v="0"/>
    <x v="1"/>
    <s v="Q3"/>
    <x v="1"/>
  </r>
  <r>
    <s v="EOS0341"/>
    <s v="16/07/2025"/>
    <s v="FB"/>
    <s v="FB"/>
    <s v="Sanjeev kumar bhati"/>
    <s v="Bulandshahr"/>
    <s v="Uttar Pradesh"/>
    <s v="Rejected"/>
    <n v="108000"/>
    <n v="107340"/>
    <s v="Rejected"/>
    <x v="0"/>
    <m/>
    <s v=""/>
    <x v="0"/>
    <x v="1"/>
    <s v="Q3"/>
    <x v="1"/>
  </r>
  <r>
    <s v="EOS0342"/>
    <s v="16/07/2025"/>
    <s v="FB"/>
    <s v="FB"/>
    <s v="Pawan Shukla"/>
    <s v="Lucknow"/>
    <s v="Uttar Pradesh"/>
    <s v="Rejected"/>
    <n v="130000"/>
    <n v="107341"/>
    <s v="Rejected"/>
    <x v="0"/>
    <m/>
    <s v=""/>
    <x v="0"/>
    <x v="1"/>
    <s v="Q3"/>
    <x v="1"/>
  </r>
  <r>
    <s v="EOS0343"/>
    <s v="16/07/2025"/>
    <s v="FB"/>
    <s v="FB"/>
    <s v="Sachin Mishra"/>
    <s v="Tulsipur"/>
    <s v="Uttar Pradesh"/>
    <s v="Rejected"/>
    <n v="130000"/>
    <n v="107342"/>
    <s v="Rejected"/>
    <x v="0"/>
    <m/>
    <s v=""/>
    <x v="0"/>
    <x v="1"/>
    <s v="Q3"/>
    <x v="1"/>
  </r>
  <r>
    <s v="EOS0344"/>
    <s v="16/07/2025"/>
    <s v="FB"/>
    <s v="FB"/>
    <s v="Arif Hossain"/>
    <s v="RaMadhya Pradeshur Hat"/>
    <s v="West Bengal"/>
    <s v="Rejected"/>
    <n v="108000"/>
    <n v="107343"/>
    <s v="Rejected"/>
    <x v="0"/>
    <m/>
    <s v=""/>
    <x v="0"/>
    <x v="1"/>
    <s v="Q3"/>
    <x v="3"/>
  </r>
  <r>
    <s v="EOS0345"/>
    <s v="16/07/2025"/>
    <s v="FB"/>
    <s v="FB"/>
    <s v="Himanshu Bhadoriya"/>
    <s v="Narol"/>
    <s v="Gujarat"/>
    <s v="Rejected"/>
    <n v="130000"/>
    <n v="107344"/>
    <s v="Rejected"/>
    <x v="0"/>
    <m/>
    <s v=""/>
    <x v="0"/>
    <x v="1"/>
    <s v="Q3"/>
    <x v="0"/>
  </r>
  <r>
    <s v="EOS0346"/>
    <s v="16/07/2025"/>
    <s v="FB"/>
    <s v="FB"/>
    <s v="Richard Dass"/>
    <s v="Pune"/>
    <s v="Maharashtra"/>
    <s v="Rejected"/>
    <n v="177000"/>
    <n v="107345"/>
    <s v="Rejected"/>
    <x v="0"/>
    <m/>
    <s v=""/>
    <x v="1"/>
    <x v="1"/>
    <s v="Q3"/>
    <x v="0"/>
  </r>
  <r>
    <s v="EOS0347"/>
    <s v="18/07/2025"/>
    <s v="FB"/>
    <s v="FB"/>
    <s v="Rajesh Damor"/>
    <m/>
    <s v="Gujarat"/>
    <s v="Rejected"/>
    <n v="177000"/>
    <n v="107346"/>
    <s v="Rejected"/>
    <x v="0"/>
    <m/>
    <s v=""/>
    <x v="1"/>
    <x v="1"/>
    <s v="Q3"/>
    <x v="0"/>
  </r>
  <r>
    <s v="EOS0348"/>
    <s v="16/07/2025"/>
    <s v="FB"/>
    <s v="FB"/>
    <s v="Rajendrasinh Dabhi"/>
    <s v="Borvai"/>
    <s v="Gujarat"/>
    <s v="Rejected"/>
    <n v="108000"/>
    <n v="107347"/>
    <s v="Rejected"/>
    <x v="0"/>
    <m/>
    <s v=""/>
    <x v="0"/>
    <x v="1"/>
    <s v="Q3"/>
    <x v="0"/>
  </r>
  <r>
    <s v="EOS0349"/>
    <s v="17/07/2025"/>
    <s v="FB"/>
    <s v="FB"/>
    <s v="Ketan Swami"/>
    <s v="Vadodara"/>
    <s v="Gujarat"/>
    <s v="Rejected"/>
    <n v="130000"/>
    <n v="107348"/>
    <s v="Rejected"/>
    <x v="0"/>
    <m/>
    <s v=""/>
    <x v="0"/>
    <x v="1"/>
    <s v="Q3"/>
    <x v="0"/>
  </r>
  <r>
    <s v="EOS0350"/>
    <s v="17/07/2025"/>
    <s v="FB"/>
    <s v="FB"/>
    <s v="Nimish"/>
    <s v="Ahmedabad"/>
    <s v="Gujarat"/>
    <s v="Rejected"/>
    <n v="130000"/>
    <n v="107349"/>
    <s v="Rejected"/>
    <x v="0"/>
    <m/>
    <s v=""/>
    <x v="0"/>
    <x v="1"/>
    <s v="Q3"/>
    <x v="0"/>
  </r>
  <r>
    <s v="EOS0351"/>
    <s v="17/07/2025"/>
    <s v="FB"/>
    <s v="FB"/>
    <s v="Kalpesh Mandaviya"/>
    <s v="Surat"/>
    <s v="Gujarat"/>
    <s v="Rejected"/>
    <n v="108000"/>
    <n v="107350"/>
    <s v="Rejected"/>
    <x v="0"/>
    <m/>
    <s v=""/>
    <x v="0"/>
    <x v="1"/>
    <s v="Q3"/>
    <x v="0"/>
  </r>
  <r>
    <s v="EOS0352"/>
    <s v="17/07/2025"/>
    <s v="FB"/>
    <s v="FB"/>
    <s v="Roshan Makwana"/>
    <s v="Khambhat"/>
    <s v="Gujarat"/>
    <s v="Rejected"/>
    <n v="108000"/>
    <n v="107351"/>
    <s v="Rejected"/>
    <x v="0"/>
    <m/>
    <s v=""/>
    <x v="0"/>
    <x v="1"/>
    <s v="Q3"/>
    <x v="0"/>
  </r>
  <r>
    <s v="EOS0353"/>
    <s v="17/07/2025"/>
    <s v="FB"/>
    <s v="FB"/>
    <s v="Adv Mo Akil Saiyad"/>
    <s v="vallbhipur"/>
    <s v="Gujarat"/>
    <s v="Rejected"/>
    <n v="130000"/>
    <n v="107352"/>
    <s v="Rejected"/>
    <x v="0"/>
    <m/>
    <s v=""/>
    <x v="0"/>
    <x v="1"/>
    <s v="Q3"/>
    <x v="0"/>
  </r>
  <r>
    <s v="EOS0354"/>
    <s v="17/07/2025"/>
    <s v="FB"/>
    <s v="FB"/>
    <s v="Sumit Utwani"/>
    <s v=" Bhavnagar"/>
    <s v="Gujarat"/>
    <s v="Rejected"/>
    <n v="177000"/>
    <n v="107353"/>
    <s v="Rejected"/>
    <x v="0"/>
    <m/>
    <s v=""/>
    <x v="1"/>
    <x v="1"/>
    <s v="Q3"/>
    <x v="0"/>
  </r>
  <r>
    <s v="EOS0355"/>
    <s v="17/07/2025"/>
    <s v="FB"/>
    <s v="FB"/>
    <s v="Nandaniya Ashvin"/>
    <s v="Khambhalia"/>
    <s v="Gujarat"/>
    <s v="Rejected"/>
    <n v="130000"/>
    <n v="107354"/>
    <s v="Rejected"/>
    <x v="0"/>
    <m/>
    <s v=""/>
    <x v="0"/>
    <x v="1"/>
    <s v="Q3"/>
    <x v="0"/>
  </r>
  <r>
    <s v="EOS0356"/>
    <s v="17/07/2025"/>
    <s v="FB"/>
    <s v="FB"/>
    <s v="atul arya"/>
    <s v="Ghazipur"/>
    <s v="Uttar Pradesh"/>
    <s v="Rejected"/>
    <n v="108000"/>
    <n v="107355"/>
    <s v="Rejected"/>
    <x v="0"/>
    <m/>
    <s v=""/>
    <x v="0"/>
    <x v="1"/>
    <s v="Q3"/>
    <x v="1"/>
  </r>
  <r>
    <s v="EOS0357"/>
    <s v="17/07/2025"/>
    <s v="FB"/>
    <s v="FB"/>
    <s v="Abhishek newara"/>
    <m/>
    <s v="Madhya Pradesh"/>
    <s v="Rejected"/>
    <n v="108000"/>
    <n v="107356"/>
    <s v="Rejected"/>
    <x v="0"/>
    <m/>
    <s v=""/>
    <x v="0"/>
    <x v="1"/>
    <s v="Q3"/>
    <x v="2"/>
  </r>
  <r>
    <s v="EOS0358"/>
    <s v="18/07/2025"/>
    <s v="FB"/>
    <s v="FB"/>
    <s v="Naranbhai Patel"/>
    <s v="himmatnagar"/>
    <s v="Gujarat"/>
    <s v="Rejected"/>
    <n v="108000"/>
    <n v="107357"/>
    <s v="Rejected"/>
    <x v="0"/>
    <m/>
    <s v=""/>
    <x v="0"/>
    <x v="1"/>
    <s v="Q3"/>
    <x v="0"/>
  </r>
  <r>
    <s v="EOS0359"/>
    <s v="18/07/2025"/>
    <s v="FB"/>
    <s v="FB"/>
    <s v="KIRANBHAI VIRASH"/>
    <s v="Surat"/>
    <s v="Gujarat"/>
    <s v="Rejected"/>
    <n v="308000"/>
    <n v="107358"/>
    <s v="Rejected"/>
    <x v="0"/>
    <m/>
    <s v=""/>
    <x v="2"/>
    <x v="1"/>
    <s v="Q3"/>
    <x v="0"/>
  </r>
  <r>
    <s v="EOS0360"/>
    <s v="18/07/2025"/>
    <s v="FB"/>
    <s v="FB"/>
    <s v="Rajesh Prajapati"/>
    <s v="Bhachau"/>
    <s v="Gujarat"/>
    <s v="Rejected"/>
    <n v="177000"/>
    <n v="107359"/>
    <s v="Rejected"/>
    <x v="0"/>
    <m/>
    <s v=""/>
    <x v="1"/>
    <x v="1"/>
    <s v="Q3"/>
    <x v="0"/>
  </r>
  <r>
    <s v="EOS0361"/>
    <s v="18/07/2025"/>
    <s v="FB"/>
    <s v="FB"/>
    <s v="Sakil Mansuri"/>
    <s v="Vadnagar"/>
    <s v="Gujarat"/>
    <s v="Rejected"/>
    <n v="130000"/>
    <n v="107360"/>
    <s v="Rejected"/>
    <x v="0"/>
    <m/>
    <s v=""/>
    <x v="0"/>
    <x v="1"/>
    <s v="Q3"/>
    <x v="0"/>
  </r>
  <r>
    <s v="EOS0362"/>
    <s v="18/07/2025"/>
    <s v="FB"/>
    <s v="FB"/>
    <s v="Vahora Sohil"/>
    <s v="anand"/>
    <s v="Gujarat"/>
    <s v="Rejected"/>
    <n v="108000"/>
    <n v="107361"/>
    <s v="Rejected"/>
    <x v="0"/>
    <m/>
    <s v=""/>
    <x v="0"/>
    <x v="1"/>
    <s v="Q3"/>
    <x v="0"/>
  </r>
  <r>
    <s v="EOS0363"/>
    <s v="18/07/2025"/>
    <s v="FB"/>
    <s v="FB"/>
    <s v="Raju Sarvaiya"/>
    <s v="Jamnagar"/>
    <s v="Gujarat"/>
    <s v="Rejected"/>
    <n v="177000"/>
    <n v="107362"/>
    <s v="Rejected"/>
    <x v="0"/>
    <m/>
    <s v=""/>
    <x v="1"/>
    <x v="1"/>
    <s v="Q3"/>
    <x v="0"/>
  </r>
  <r>
    <s v="EOS0364"/>
    <s v="18/07/2025"/>
    <s v="FB"/>
    <s v="FB"/>
    <s v="𓄂𝙈𝘼𝙃𝙀𝙎𝙃𝙎𝙄𝙉𝙃__𝘽𝘼𝙉𝙉𝘼__"/>
    <s v="Banaskantha"/>
    <s v="Gujarat"/>
    <s v="Rejected"/>
    <n v="108000"/>
    <n v="107363"/>
    <s v="Rejected"/>
    <x v="0"/>
    <m/>
    <s v=""/>
    <x v="0"/>
    <x v="1"/>
    <s v="Q3"/>
    <x v="0"/>
  </r>
  <r>
    <s v="EOS0365"/>
    <s v="18/07/2025"/>
    <s v="FB"/>
    <s v="FB"/>
    <s v="Jaydip B"/>
    <s v="Kodinar"/>
    <s v="Gujarat"/>
    <s v="Rejected"/>
    <n v="177000"/>
    <n v="107364"/>
    <s v="Rejected"/>
    <x v="0"/>
    <m/>
    <s v=""/>
    <x v="1"/>
    <x v="1"/>
    <s v="Q3"/>
    <x v="0"/>
  </r>
  <r>
    <s v="EOS0366"/>
    <s v="19/07/2025"/>
    <s v="FB"/>
    <s v="FB"/>
    <s v="Riyan M"/>
    <s v="Mehsana"/>
    <s v="Gujarat"/>
    <s v="Rejected"/>
    <n v="108000"/>
    <n v="107365"/>
    <s v="Rejected"/>
    <x v="0"/>
    <m/>
    <s v=""/>
    <x v="0"/>
    <x v="1"/>
    <s v="Q3"/>
    <x v="0"/>
  </r>
  <r>
    <s v="EOS0367"/>
    <s v="19/07/2025"/>
    <s v="FB"/>
    <s v="FB"/>
    <s v="JAYVEERSINH M JADEJA"/>
    <s v="Rajkot"/>
    <s v="Gujarat"/>
    <s v="Rejected"/>
    <n v="130000"/>
    <n v="107366"/>
    <s v="Rejected"/>
    <x v="0"/>
    <m/>
    <s v=""/>
    <x v="0"/>
    <x v="1"/>
    <s v="Q3"/>
    <x v="0"/>
  </r>
  <r>
    <s v="EOS0368"/>
    <s v="19/07/2025"/>
    <s v="FB"/>
    <s v="FB"/>
    <s v="Haresh Patel"/>
    <s v="Palanpur"/>
    <s v="Gujarat"/>
    <s v="Rejected"/>
    <n v="130000"/>
    <n v="107367"/>
    <s v="Rejected"/>
    <x v="0"/>
    <m/>
    <s v=""/>
    <x v="0"/>
    <x v="1"/>
    <s v="Q3"/>
    <x v="0"/>
  </r>
  <r>
    <s v="EOS0369"/>
    <s v="19/07/2025"/>
    <s v="FB"/>
    <s v="FB"/>
    <s v="sunil"/>
    <s v="Jetpur"/>
    <s v="Gujarat"/>
    <s v="Rejected"/>
    <n v="108000"/>
    <n v="107368"/>
    <s v="Rejected"/>
    <x v="0"/>
    <m/>
    <s v=""/>
    <x v="0"/>
    <x v="1"/>
    <s v="Q3"/>
    <x v="0"/>
  </r>
  <r>
    <s v="EOS0370"/>
    <s v="19/07/2025"/>
    <s v="FB"/>
    <s v="FB"/>
    <s v="Dhruv Patel"/>
    <s v="Kadi"/>
    <s v="Gujarat"/>
    <s v="Rejected"/>
    <n v="177000"/>
    <n v="107369"/>
    <s v="Rejected"/>
    <x v="0"/>
    <m/>
    <s v=""/>
    <x v="1"/>
    <x v="1"/>
    <s v="Q3"/>
    <x v="0"/>
  </r>
  <r>
    <s v="EOS0371"/>
    <s v="19/07/2025"/>
    <s v="FB"/>
    <s v="FB"/>
    <s v="PâTu PâTêl"/>
    <s v="Daman"/>
    <s v="Gujarat"/>
    <s v="Rejected"/>
    <n v="108000"/>
    <n v="107370"/>
    <s v="Rejected"/>
    <x v="0"/>
    <m/>
    <s v=""/>
    <x v="0"/>
    <x v="1"/>
    <s v="Q3"/>
    <x v="0"/>
  </r>
  <r>
    <s v="EOS0372"/>
    <s v="19/07/2025"/>
    <s v="FB"/>
    <s v="FB"/>
    <s v="Siddharth Sonkar"/>
    <s v="Lucknow"/>
    <s v="Uttar Pradesh"/>
    <s v="Rejected"/>
    <n v="108000"/>
    <n v="107371"/>
    <s v="Rejected"/>
    <x v="0"/>
    <m/>
    <s v=""/>
    <x v="0"/>
    <x v="1"/>
    <s v="Q3"/>
    <x v="1"/>
  </r>
  <r>
    <s v="EOS0373"/>
    <s v="19/07/2025"/>
    <s v="FB"/>
    <s v="FB"/>
    <s v="shahnawaz khan"/>
    <s v="Olpad"/>
    <s v="Gujarat"/>
    <s v="Rejected"/>
    <n v="130000"/>
    <n v="107372"/>
    <s v="Rejected"/>
    <x v="0"/>
    <m/>
    <s v=""/>
    <x v="0"/>
    <x v="1"/>
    <s v="Q3"/>
    <x v="0"/>
  </r>
  <r>
    <s v="EOS0374"/>
    <s v="20/07/2025"/>
    <s v="FB"/>
    <s v="FB"/>
    <s v="Md rahim"/>
    <s v="varanasi"/>
    <s v="Uttar Pradesh"/>
    <s v="Rejected"/>
    <n v="108000"/>
    <n v="107373"/>
    <s v="Rejected"/>
    <x v="0"/>
    <m/>
    <s v=""/>
    <x v="0"/>
    <x v="1"/>
    <s v="Q3"/>
    <x v="1"/>
  </r>
  <r>
    <s v="EOS0375"/>
    <s v="21/07/2025"/>
    <s v="FB"/>
    <s v="FB"/>
    <s v="Jitendra Chauhan"/>
    <s v="Paatan"/>
    <s v="Gujarat"/>
    <s v="Rejected"/>
    <n v="130000"/>
    <n v="107374"/>
    <s v="Rejected"/>
    <x v="0"/>
    <m/>
    <s v=""/>
    <x v="0"/>
    <x v="1"/>
    <s v="Q3"/>
    <x v="0"/>
  </r>
  <r>
    <s v="EOS0376"/>
    <s v="21/07/2025"/>
    <s v="FB"/>
    <s v="FB"/>
    <s v="Mukesh Prajapati"/>
    <s v="Palanpur"/>
    <s v="Gujarat"/>
    <s v="Rejected"/>
    <n v="108000"/>
    <n v="107375"/>
    <s v="Rejected"/>
    <x v="0"/>
    <m/>
    <s v=""/>
    <x v="0"/>
    <x v="1"/>
    <s v="Q3"/>
    <x v="0"/>
  </r>
  <r>
    <s v="EOS0377"/>
    <s v="21/07/2025"/>
    <s v="FB"/>
    <s v="FB"/>
    <s v="Gautam Patel"/>
    <s v="Surat"/>
    <s v="Gujarat"/>
    <s v="Rejected"/>
    <n v="108000"/>
    <n v="107376"/>
    <s v="Rejected"/>
    <x v="0"/>
    <m/>
    <s v=""/>
    <x v="0"/>
    <x v="1"/>
    <s v="Q3"/>
    <x v="0"/>
  </r>
  <r>
    <s v="EOS0378"/>
    <s v="21/07/2025"/>
    <s v="FB"/>
    <s v="FB"/>
    <s v="Mds Officially"/>
    <s v="Deesa"/>
    <s v="Gujarat"/>
    <s v="Rejected"/>
    <n v="130000"/>
    <n v="107377"/>
    <s v="Rejected"/>
    <x v="0"/>
    <m/>
    <s v=""/>
    <x v="0"/>
    <x v="1"/>
    <s v="Q3"/>
    <x v="0"/>
  </r>
  <r>
    <s v="EOS0379"/>
    <s v="21/07/2025"/>
    <s v="FB"/>
    <s v="FB"/>
    <s v="AK Stationery"/>
    <s v="Wankaner"/>
    <s v="Gujarat"/>
    <s v="Rejected"/>
    <n v="130000"/>
    <n v="107378"/>
    <s v="Rejected"/>
    <x v="0"/>
    <m/>
    <s v=""/>
    <x v="0"/>
    <x v="1"/>
    <s v="Q3"/>
    <x v="0"/>
  </r>
  <r>
    <s v="EOS0380"/>
    <s v="21/07/2025"/>
    <s v="FB"/>
    <s v="FB"/>
    <s v="ᴀʟʟᴀʀᴀᴋʜᴀ sᴜʀᴛɪ"/>
    <s v="Vadodara"/>
    <s v="Gujarat"/>
    <s v="Rejected"/>
    <n v="108000"/>
    <n v="107379"/>
    <s v="Rejected"/>
    <x v="0"/>
    <m/>
    <s v=""/>
    <x v="0"/>
    <x v="1"/>
    <s v="Q3"/>
    <x v="0"/>
  </r>
  <r>
    <s v="EOS0381"/>
    <s v="21/07/2025"/>
    <s v="FB"/>
    <s v="FB"/>
    <s v="bhumip_1404"/>
    <s v="Ahmedabad"/>
    <s v="Gujarat"/>
    <s v="Rejected"/>
    <n v="108000"/>
    <n v="107380"/>
    <s v="Rejected"/>
    <x v="0"/>
    <m/>
    <s v=""/>
    <x v="0"/>
    <x v="1"/>
    <s v="Q3"/>
    <x v="0"/>
  </r>
  <r>
    <s v="EOS0382"/>
    <s v="21/07/2025"/>
    <s v="FB"/>
    <s v="FB"/>
    <s v="| 𝐉𝐈𝐓𝐄𝐍𝐃𝐑𝐀 |"/>
    <s v="JunaDeesa"/>
    <s v="Gujarat"/>
    <s v="Rejected"/>
    <n v="130000"/>
    <n v="107381"/>
    <s v="Rejected"/>
    <x v="0"/>
    <m/>
    <s v=""/>
    <x v="0"/>
    <x v="1"/>
    <s v="Q3"/>
    <x v="0"/>
  </r>
  <r>
    <s v="EOS0383"/>
    <s v="21/07/2025"/>
    <s v="FB"/>
    <s v="FB"/>
    <s v="Ram kumar"/>
    <s v="Ahmedabad"/>
    <s v="Gujarat"/>
    <s v="Rejected"/>
    <n v="108000"/>
    <n v="107382"/>
    <s v="Rejected"/>
    <x v="0"/>
    <m/>
    <s v=""/>
    <x v="0"/>
    <x v="1"/>
    <s v="Q3"/>
    <x v="0"/>
  </r>
  <r>
    <s v="EOS0384"/>
    <s v="21/07/2025"/>
    <s v="FB"/>
    <s v="FB"/>
    <s v="Mihir Bapodra"/>
    <s v="Porbandar"/>
    <s v="Gujarat"/>
    <s v="Rejected"/>
    <n v="308000"/>
    <n v="107383"/>
    <s v="Rejected"/>
    <x v="0"/>
    <m/>
    <s v=""/>
    <x v="2"/>
    <x v="1"/>
    <s v="Q3"/>
    <x v="0"/>
  </r>
  <r>
    <s v="EOS0385"/>
    <s v="21/07/2025"/>
    <s v="FB"/>
    <s v="FB"/>
    <s v="Riyaz"/>
    <s v="Kodinar"/>
    <s v="Gujarat"/>
    <s v="Rejected"/>
    <n v="177000"/>
    <n v="107384"/>
    <s v="Rejected"/>
    <x v="0"/>
    <m/>
    <s v=""/>
    <x v="1"/>
    <x v="1"/>
    <s v="Q3"/>
    <x v="0"/>
  </r>
  <r>
    <s v="EOS0386"/>
    <s v="21/07/2025"/>
    <s v="FB"/>
    <s v="FB"/>
    <s v="Md rahim"/>
    <s v="varanasi"/>
    <s v="Uttar Pradesh"/>
    <s v="Rejected"/>
    <n v="130000"/>
    <n v="107385"/>
    <s v="Rejected"/>
    <x v="0"/>
    <m/>
    <s v=""/>
    <x v="0"/>
    <x v="1"/>
    <s v="Q3"/>
    <x v="1"/>
  </r>
  <r>
    <s v="EOS0387"/>
    <s v="21/07/2025"/>
    <s v="FB"/>
    <s v="FB"/>
    <s v="Madhusudam sharma"/>
    <s v="Alwasa"/>
    <s v="Madhya Pradesh"/>
    <s v="Rejected"/>
    <n v="177000"/>
    <n v="107386"/>
    <s v="Rejected"/>
    <x v="0"/>
    <m/>
    <s v=""/>
    <x v="1"/>
    <x v="1"/>
    <s v="Q3"/>
    <x v="2"/>
  </r>
  <r>
    <s v="EOS0388"/>
    <s v="21/07/2025"/>
    <s v="FB"/>
    <s v="FB"/>
    <s v="Rohit"/>
    <s v="Tejlav"/>
    <s v="Gujarat"/>
    <s v="Rejected"/>
    <n v="108000"/>
    <n v="107387"/>
    <s v="Deal"/>
    <x v="1"/>
    <m/>
    <s v=""/>
    <x v="0"/>
    <x v="1"/>
    <s v="Q3"/>
    <x v="0"/>
  </r>
  <r>
    <s v="EOS0389"/>
    <s v="21/07/2025"/>
    <s v="FB"/>
    <s v="FB"/>
    <s v="Khatri tejkaran Govardhanbhai"/>
    <s v="Surat"/>
    <s v="Gujarat"/>
    <s v="Rejected"/>
    <n v="108000"/>
    <n v="107388"/>
    <s v="Rejected"/>
    <x v="0"/>
    <m/>
    <s v=""/>
    <x v="0"/>
    <x v="1"/>
    <s v="Q3"/>
    <x v="0"/>
  </r>
  <r>
    <s v="EOS0390"/>
    <s v="21/07/2025"/>
    <s v="FB"/>
    <s v="FB"/>
    <s v="Anil Kumar"/>
    <m/>
    <m/>
    <s v="Rejected"/>
    <n v="108000"/>
    <n v="107389"/>
    <s v="Rejected"/>
    <x v="0"/>
    <m/>
    <s v=""/>
    <x v="0"/>
    <x v="1"/>
    <s v="Q3"/>
    <x v="4"/>
  </r>
  <r>
    <s v="EOS0391"/>
    <s v="22/07/2025"/>
    <s v="FB"/>
    <s v="FB"/>
    <s v="Ramniklal Gokaldas Vaghela"/>
    <s v="Baroda"/>
    <s v="Gujarat"/>
    <s v="Rejected"/>
    <n v="130000"/>
    <n v="107390"/>
    <s v="Rejected"/>
    <x v="0"/>
    <m/>
    <s v=""/>
    <x v="0"/>
    <x v="1"/>
    <s v="Q3"/>
    <x v="0"/>
  </r>
  <r>
    <s v="EOS0392"/>
    <s v="22/07/2025"/>
    <s v="FB"/>
    <s v="FB"/>
    <s v="Pavan Gadhiya"/>
    <s v="Surat "/>
    <s v="Gujarat"/>
    <s v="Rejected"/>
    <n v="108000"/>
    <n v="107391"/>
    <s v="Rejected"/>
    <x v="0"/>
    <m/>
    <s v=""/>
    <x v="0"/>
    <x v="1"/>
    <s v="Q3"/>
    <x v="0"/>
  </r>
  <r>
    <s v="EOS0393"/>
    <s v="22/07/2025"/>
    <s v="FB"/>
    <s v="FB"/>
    <s v="Nikhil"/>
    <s v="Rajkot"/>
    <s v="Gujarat"/>
    <s v="Rejected"/>
    <n v="108000"/>
    <n v="107392"/>
    <s v="Rejected"/>
    <x v="0"/>
    <m/>
    <s v=""/>
    <x v="0"/>
    <x v="1"/>
    <s v="Q3"/>
    <x v="0"/>
  </r>
  <r>
    <s v="EOS0394"/>
    <s v="22/07/2025"/>
    <s v="FB"/>
    <s v="FB"/>
    <s v="Viral"/>
    <s v="Surat"/>
    <s v="Gujarat"/>
    <s v="Rejected"/>
    <n v="108000"/>
    <n v="107393"/>
    <s v="Rejected"/>
    <x v="0"/>
    <m/>
    <s v=""/>
    <x v="0"/>
    <x v="1"/>
    <s v="Q3"/>
    <x v="0"/>
  </r>
  <r>
    <s v="EOS0395"/>
    <s v="22/07/2025"/>
    <s v="FB"/>
    <s v="FB"/>
    <s v="SAGARO_BHARVAD"/>
    <s v="Ahmedabad"/>
    <s v="Gujarat"/>
    <s v="Rejected"/>
    <n v="108000"/>
    <n v="107394"/>
    <s v="Rejected"/>
    <x v="0"/>
    <m/>
    <s v=""/>
    <x v="0"/>
    <x v="1"/>
    <s v="Q3"/>
    <x v="0"/>
  </r>
  <r>
    <s v="EOS0396"/>
    <s v="22/07/2025"/>
    <s v="FB"/>
    <s v="FB"/>
    <s v="Aarya"/>
    <s v="Surat"/>
    <s v="Gujarat"/>
    <s v="Rejected"/>
    <n v="108000"/>
    <n v="107395"/>
    <s v="Rejected"/>
    <x v="0"/>
    <m/>
    <s v=""/>
    <x v="0"/>
    <x v="1"/>
    <s v="Q3"/>
    <x v="0"/>
  </r>
  <r>
    <s v="EOS0397"/>
    <s v="22/07/2025"/>
    <s v="FB"/>
    <s v="FB"/>
    <s v="sorathiya sagar"/>
    <s v="Ankleshwar"/>
    <s v="Gujarat"/>
    <s v="Rejected"/>
    <n v="108000"/>
    <n v="107396"/>
    <s v="Rejected"/>
    <x v="0"/>
    <m/>
    <s v=""/>
    <x v="0"/>
    <x v="1"/>
    <s v="Q3"/>
    <x v="0"/>
  </r>
  <r>
    <s v="EOS0398"/>
    <s v="22/07/2025"/>
    <s v="FB"/>
    <s v="FB"/>
    <s v="JAY BAROT"/>
    <s v="Modasa"/>
    <s v="Gujarat"/>
    <s v="Rejected"/>
    <n v="108000"/>
    <n v="107397"/>
    <s v="Rejected"/>
    <x v="0"/>
    <m/>
    <s v=""/>
    <x v="0"/>
    <x v="1"/>
    <s v="Q3"/>
    <x v="0"/>
  </r>
  <r>
    <s v="EOS0399"/>
    <s v="22/07/2025"/>
    <s v="FB"/>
    <s v="FB"/>
    <s v="Bhushan Ramesh sonwane"/>
    <s v="Surat"/>
    <s v="Gujarat"/>
    <s v="Rejected"/>
    <n v="177000"/>
    <n v="107398"/>
    <s v="Rejected"/>
    <x v="0"/>
    <m/>
    <s v=""/>
    <x v="1"/>
    <x v="1"/>
    <s v="Q3"/>
    <x v="0"/>
  </r>
  <r>
    <s v="EOS0400"/>
    <s v="22/07/2025"/>
    <s v="FB"/>
    <s v="FB"/>
    <s v="Jignesh Patel"/>
    <s v="Ahmedabad"/>
    <s v="Gujarat"/>
    <s v="Rejected"/>
    <n v="130000"/>
    <n v="107399"/>
    <s v="Rejected"/>
    <x v="0"/>
    <m/>
    <s v=""/>
    <x v="0"/>
    <x v="1"/>
    <s v="Q3"/>
    <x v="0"/>
  </r>
  <r>
    <s v="EOS0401"/>
    <s v="22/07/2025"/>
    <s v="FB"/>
    <s v="FB"/>
    <s v="Adv Mo Akil"/>
    <s v="Dhandhuka"/>
    <s v="Gujarat"/>
    <s v="Rejected"/>
    <n v="130000"/>
    <n v="107400"/>
    <s v="Rejected"/>
    <x v="0"/>
    <m/>
    <s v=""/>
    <x v="0"/>
    <x v="1"/>
    <s v="Q3"/>
    <x v="0"/>
  </r>
  <r>
    <s v="EOS0402"/>
    <s v="22/07/2025"/>
    <s v="FB"/>
    <s v="FB"/>
    <s v="Bindiya Sharma"/>
    <s v="Surat"/>
    <s v="Gujarat"/>
    <s v="Rejected"/>
    <n v="130000"/>
    <n v="107401"/>
    <s v="Rejected"/>
    <x v="0"/>
    <m/>
    <s v=""/>
    <x v="0"/>
    <x v="1"/>
    <s v="Q3"/>
    <x v="0"/>
  </r>
  <r>
    <s v="EOS0403"/>
    <s v="22/07/2025"/>
    <s v="FB"/>
    <s v="FB"/>
    <s v="Trilok"/>
    <s v="Indore"/>
    <s v="Madhya Pradesh"/>
    <s v="Rejected"/>
    <n v="108000"/>
    <n v="107402"/>
    <s v="Rejected"/>
    <x v="0"/>
    <m/>
    <s v=""/>
    <x v="0"/>
    <x v="1"/>
    <s v="Q3"/>
    <x v="2"/>
  </r>
  <r>
    <s v="EOS0404"/>
    <s v="22/07/2025"/>
    <s v="FB"/>
    <s v="FB"/>
    <s v="Ronak"/>
    <m/>
    <s v="Gujarat"/>
    <s v="Rejected"/>
    <n v="130000"/>
    <n v="107403"/>
    <s v="Rejected"/>
    <x v="0"/>
    <m/>
    <s v=""/>
    <x v="0"/>
    <x v="1"/>
    <s v="Q3"/>
    <x v="0"/>
  </r>
  <r>
    <s v="EOS0405"/>
    <s v="23/07/2025"/>
    <s v="FB"/>
    <s v="FB"/>
    <s v="Vrundav Gamit"/>
    <s v="Vyara"/>
    <s v="Gujarat"/>
    <s v="Rejected"/>
    <n v="130000"/>
    <n v="107404"/>
    <s v="Rejected"/>
    <x v="0"/>
    <m/>
    <s v=""/>
    <x v="0"/>
    <x v="1"/>
    <s v="Q3"/>
    <x v="0"/>
  </r>
  <r>
    <s v="EOS0406"/>
    <s v="23/07/2025"/>
    <s v="FB"/>
    <s v="FB"/>
    <s v="Solat Tejas"/>
    <s v="Vadodara"/>
    <s v="Gujarat"/>
    <s v="Rejected"/>
    <n v="108000"/>
    <n v="107405"/>
    <s v="Rejected"/>
    <x v="0"/>
    <m/>
    <s v=""/>
    <x v="0"/>
    <x v="1"/>
    <s v="Q3"/>
    <x v="0"/>
  </r>
  <r>
    <s v="EOS0407"/>
    <s v="23/07/2025"/>
    <s v="FB"/>
    <s v="FB"/>
    <s v="Salim Madaam"/>
    <s v="Junagadh"/>
    <s v="Gujarat"/>
    <s v="Rejected"/>
    <n v="130000"/>
    <n v="107406"/>
    <s v="Rejected"/>
    <x v="0"/>
    <m/>
    <s v=""/>
    <x v="0"/>
    <x v="1"/>
    <s v="Q3"/>
    <x v="0"/>
  </r>
  <r>
    <s v="EOS0408"/>
    <s v="23/07/2025"/>
    <s v="FB"/>
    <s v="FB"/>
    <s v="piyush Dave"/>
    <s v="Rajkot"/>
    <s v="Gujarat"/>
    <s v="Rejected"/>
    <n v="130000"/>
    <n v="107407"/>
    <s v="Rejected"/>
    <x v="0"/>
    <m/>
    <s v=""/>
    <x v="0"/>
    <x v="1"/>
    <s v="Q3"/>
    <x v="0"/>
  </r>
  <r>
    <s v="EOS0409"/>
    <s v="23/07/2025"/>
    <s v="FB"/>
    <s v="FB"/>
    <s v="HK Ahir"/>
    <s v="Surat"/>
    <s v="Gujarat"/>
    <s v="Rejected"/>
    <n v="130000"/>
    <n v="107408"/>
    <s v="Rejected"/>
    <x v="0"/>
    <m/>
    <s v=""/>
    <x v="0"/>
    <x v="1"/>
    <s v="Q3"/>
    <x v="0"/>
  </r>
  <r>
    <s v="EOS0410"/>
    <s v="23/07/2025"/>
    <s v="FB"/>
    <s v="FB"/>
    <s v="Ninama Purshottam"/>
    <s v="Limkheda"/>
    <s v="Gujarat"/>
    <s v="Rejected"/>
    <n v="108000"/>
    <n v="107409"/>
    <s v="Rejected"/>
    <x v="0"/>
    <m/>
    <s v=""/>
    <x v="0"/>
    <x v="1"/>
    <s v="Q3"/>
    <x v="0"/>
  </r>
  <r>
    <s v="EOS0411"/>
    <s v="23/07/2025"/>
    <s v="FB"/>
    <s v="FB"/>
    <s v="Yuvraj Yuvraj"/>
    <s v="Mansa"/>
    <s v="Gujarat"/>
    <s v="Rejected"/>
    <n v="108000"/>
    <n v="107410"/>
    <s v="Rejected"/>
    <x v="0"/>
    <m/>
    <s v=""/>
    <x v="0"/>
    <x v="1"/>
    <s v="Q3"/>
    <x v="0"/>
  </r>
  <r>
    <s v="EOS0412"/>
    <s v="23/07/2025"/>
    <s v="FB"/>
    <s v="FB"/>
    <s v="Nagabhai meramanbhai parmar"/>
    <s v="Junagadh"/>
    <s v="Gujarat"/>
    <s v="Rejected"/>
    <n v="108000"/>
    <n v="107411"/>
    <s v="Rejected"/>
    <x v="0"/>
    <m/>
    <s v=""/>
    <x v="0"/>
    <x v="1"/>
    <s v="Q3"/>
    <x v="0"/>
  </r>
  <r>
    <s v="EOS0413"/>
    <s v="23/07/2025"/>
    <s v="FB"/>
    <s v="FB"/>
    <s v="Yogesh kidecha"/>
    <s v="Ahmedabad"/>
    <s v="Gujarat"/>
    <s v="Rejected"/>
    <n v="177000"/>
    <n v="107412"/>
    <s v="Rejected"/>
    <x v="0"/>
    <m/>
    <s v=""/>
    <x v="1"/>
    <x v="1"/>
    <s v="Q3"/>
    <x v="0"/>
  </r>
  <r>
    <s v="EOS0414"/>
    <s v="23/07/2025"/>
    <s v="FB"/>
    <s v="FB"/>
    <s v="S.M.I.T.R.A.J"/>
    <s v="Surendranagar"/>
    <s v="Gujarat"/>
    <s v="Rejected"/>
    <n v="108000"/>
    <n v="107413"/>
    <s v="Rejected"/>
    <x v="0"/>
    <m/>
    <s v=""/>
    <x v="0"/>
    <x v="1"/>
    <s v="Q3"/>
    <x v="0"/>
  </r>
  <r>
    <s v="EOS0415"/>
    <s v="23/07/2025"/>
    <s v="FB"/>
    <s v="FB"/>
    <s v="Rahul"/>
    <m/>
    <s v="Rajasthan"/>
    <s v="Rejected"/>
    <n v="130000"/>
    <n v="107414"/>
    <s v="Rejected"/>
    <x v="0"/>
    <m/>
    <s v=""/>
    <x v="0"/>
    <x v="1"/>
    <s v="Q3"/>
    <x v="0"/>
  </r>
  <r>
    <s v="EOS0416"/>
    <s v="23/07/2025"/>
    <s v="FB"/>
    <s v="FB"/>
    <s v="Gopal das"/>
    <s v="ALIPURDUAR"/>
    <s v="West Bengal"/>
    <s v="Rejected"/>
    <n v="130000"/>
    <n v="107415"/>
    <s v="Rejected"/>
    <x v="0"/>
    <m/>
    <s v=""/>
    <x v="0"/>
    <x v="1"/>
    <s v="Q3"/>
    <x v="3"/>
  </r>
  <r>
    <s v="EOS0417"/>
    <s v="23/07/2025"/>
    <s v="FB"/>
    <s v="FB"/>
    <s v="vikarm Singh"/>
    <s v="Ganganagar"/>
    <s v="Rajasthan"/>
    <s v="Rejected"/>
    <n v="108000"/>
    <n v="107416"/>
    <s v="Rejected"/>
    <x v="0"/>
    <m/>
    <s v=""/>
    <x v="0"/>
    <x v="1"/>
    <s v="Q3"/>
    <x v="0"/>
  </r>
  <r>
    <s v="EOS0418"/>
    <s v="24/07/2025"/>
    <s v="FB"/>
    <s v="FB"/>
    <s v="Krishu Gauswami"/>
    <s v="Una"/>
    <s v="Gujarat"/>
    <s v="Rejected"/>
    <n v="108000"/>
    <n v="107417"/>
    <s v="Rejected"/>
    <x v="0"/>
    <m/>
    <s v=""/>
    <x v="0"/>
    <x v="1"/>
    <s v="Q3"/>
    <x v="0"/>
  </r>
  <r>
    <s v="EOS0419"/>
    <s v="28/07/2025"/>
    <s v="FB"/>
    <s v="FB"/>
    <s v="Parmar Dipesh"/>
    <s v=" Bhavnagar"/>
    <s v="Gujarat"/>
    <s v="Rejected"/>
    <n v="108000"/>
    <n v="107418"/>
    <s v="Rejected"/>
    <x v="0"/>
    <m/>
    <s v=""/>
    <x v="0"/>
    <x v="1"/>
    <s v="Q3"/>
    <x v="0"/>
  </r>
  <r>
    <s v="EOS0420"/>
    <d v="2025-07-24T00:00:00"/>
    <s v="FB"/>
    <s v="FB"/>
    <s v="Kvin Raghuvanshi"/>
    <s v="Rajkot"/>
    <s v="Gujarat"/>
    <s v="Rejected"/>
    <n v="177000"/>
    <n v="107419"/>
    <s v="Rejected"/>
    <x v="0"/>
    <m/>
    <s v=""/>
    <x v="1"/>
    <x v="1"/>
    <s v="Q3"/>
    <x v="0"/>
  </r>
  <r>
    <s v="EOS0421"/>
    <s v="24/07/2025"/>
    <s v="FB"/>
    <s v="FB"/>
    <s v="Magnani Jitu"/>
    <s v="Surat"/>
    <s v="Gujarat"/>
    <s v="Rejected"/>
    <n v="108000"/>
    <n v="107420"/>
    <s v="Rejected"/>
    <x v="0"/>
    <m/>
    <s v=""/>
    <x v="0"/>
    <x v="1"/>
    <s v="Q3"/>
    <x v="0"/>
  </r>
  <r>
    <s v="EOS0422"/>
    <s v="24/07/2025"/>
    <s v="FB"/>
    <s v="FB"/>
    <s v="Hasan"/>
    <s v="Una"/>
    <s v="Gujarat"/>
    <s v="Rejected"/>
    <n v="177000"/>
    <n v="107421"/>
    <s v="Rejected"/>
    <x v="0"/>
    <m/>
    <s v=""/>
    <x v="1"/>
    <x v="1"/>
    <s v="Q3"/>
    <x v="0"/>
  </r>
  <r>
    <s v="EOS0423"/>
    <s v="24/07/2025"/>
    <s v="FB"/>
    <s v="FB"/>
    <s v="Shabir Barejiya"/>
    <s v="Visavadar"/>
    <s v="Gujarat"/>
    <s v="Rejected"/>
    <n v="108000"/>
    <n v="107422"/>
    <s v="Rejected"/>
    <x v="0"/>
    <m/>
    <s v=""/>
    <x v="0"/>
    <x v="1"/>
    <s v="Q3"/>
    <x v="0"/>
  </r>
  <r>
    <s v="EOS0424"/>
    <s v="24/07/2025"/>
    <s v="FB"/>
    <s v="FB"/>
    <s v="Brijesh Vahan"/>
    <s v="Talala"/>
    <s v="Gujarat"/>
    <s v="Rejected"/>
    <n v="108000"/>
    <n v="107423"/>
    <s v="Rejected"/>
    <x v="0"/>
    <m/>
    <s v=""/>
    <x v="0"/>
    <x v="1"/>
    <s v="Q3"/>
    <x v="0"/>
  </r>
  <r>
    <s v="EOS0425"/>
    <s v="24/07/2025"/>
    <s v="FB"/>
    <s v="FB"/>
    <s v="Makwana Viral"/>
    <s v="Jambusar"/>
    <s v="Gujarat"/>
    <s v="Rejected"/>
    <n v="130000"/>
    <n v="107424"/>
    <s v="Deal"/>
    <x v="1"/>
    <m/>
    <s v=""/>
    <x v="0"/>
    <x v="1"/>
    <s v="Q3"/>
    <x v="0"/>
  </r>
  <r>
    <s v="EOS0426"/>
    <s v="24/07/2025"/>
    <s v="FB"/>
    <s v="FB"/>
    <s v="Sunil dhangar"/>
    <s v="Bardoli"/>
    <s v="Gujarat"/>
    <s v="Rejected"/>
    <n v="108000"/>
    <n v="107425"/>
    <s v="Rejected"/>
    <x v="0"/>
    <m/>
    <s v=""/>
    <x v="0"/>
    <x v="1"/>
    <s v="Q3"/>
    <x v="0"/>
  </r>
  <r>
    <s v="EOS0427"/>
    <s v="24/07/2025"/>
    <s v="FB"/>
    <s v="FB"/>
    <s v="Malataj Bagiwala"/>
    <s v="Anand"/>
    <s v="Gujarat"/>
    <s v="Rejected"/>
    <n v="130000"/>
    <n v="107426"/>
    <s v="Rejected"/>
    <x v="0"/>
    <m/>
    <s v=""/>
    <x v="0"/>
    <x v="1"/>
    <s v="Q3"/>
    <x v="0"/>
  </r>
  <r>
    <s v="EOS0428"/>
    <s v="24/07/2025"/>
    <s v="FB"/>
    <s v="FB"/>
    <s v="Jatin dudharejiya"/>
    <s v="Junagadh"/>
    <s v="Gujarat"/>
    <s v="Rejected"/>
    <n v="130000"/>
    <n v="107427"/>
    <s v="Rejected"/>
    <x v="0"/>
    <m/>
    <s v=""/>
    <x v="0"/>
    <x v="1"/>
    <s v="Q3"/>
    <x v="0"/>
  </r>
  <r>
    <s v="EOS0429"/>
    <s v="24/07/2025"/>
    <s v="FB"/>
    <s v="FB"/>
    <s v="Kishan Maru"/>
    <s v="Amreli"/>
    <s v="Gujarat"/>
    <s v="Rejected"/>
    <n v="130000"/>
    <n v="107428"/>
    <s v="Rejected"/>
    <x v="0"/>
    <m/>
    <s v=""/>
    <x v="0"/>
    <x v="1"/>
    <s v="Q3"/>
    <x v="0"/>
  </r>
  <r>
    <s v="EOS0430"/>
    <s v="24/07/2025"/>
    <s v="FB"/>
    <s v="FB"/>
    <s v="Pratik"/>
    <s v="Porbandar"/>
    <s v="Gujarat"/>
    <s v="Rejected"/>
    <n v="108000"/>
    <n v="107429"/>
    <s v="Rejected"/>
    <x v="0"/>
    <m/>
    <s v=""/>
    <x v="0"/>
    <x v="1"/>
    <s v="Q3"/>
    <x v="0"/>
  </r>
  <r>
    <s v="EOS0431"/>
    <s v="24/07/2025"/>
    <s v="FB"/>
    <s v="FB"/>
    <s v="PIYUSH"/>
    <s v="Navsari"/>
    <s v="Gujarat"/>
    <s v="Deal "/>
    <n v="108000"/>
    <n v="107430"/>
    <s v="Deal"/>
    <x v="1"/>
    <d v="2025-07-30T00:00:00"/>
    <n v="6"/>
    <x v="0"/>
    <x v="1"/>
    <s v="Q3"/>
    <x v="0"/>
  </r>
  <r>
    <s v="EOS0432"/>
    <s v="24/07/2025"/>
    <s v="FB"/>
    <s v="FB"/>
    <s v="Kiran Parmar"/>
    <s v="Vadodara"/>
    <s v="Gujarat"/>
    <s v="Rejected"/>
    <n v="130000"/>
    <n v="107431"/>
    <s v="Rejected"/>
    <x v="0"/>
    <m/>
    <s v=""/>
    <x v="0"/>
    <x v="1"/>
    <s v="Q3"/>
    <x v="0"/>
  </r>
  <r>
    <s v="EOS0433"/>
    <s v="24/07/2025"/>
    <s v="WA"/>
    <m/>
    <s v="Mayur"/>
    <s v="Ratanpada"/>
    <s v="Gujarat"/>
    <s v="Rejected"/>
    <n v="177000"/>
    <n v="107432"/>
    <s v="Rejected"/>
    <x v="0"/>
    <m/>
    <s v=""/>
    <x v="1"/>
    <x v="1"/>
    <s v="Q3"/>
    <x v="0"/>
  </r>
  <r>
    <s v="EOS0434"/>
    <s v="25/07/2025"/>
    <s v="FB"/>
    <s v="FB"/>
    <s v="Nazir Dhanani"/>
    <s v=" Bhavnagar"/>
    <s v="Gujarat"/>
    <s v="Rejected"/>
    <n v="177000"/>
    <n v="107433"/>
    <s v="Rejected"/>
    <x v="0"/>
    <m/>
    <s v=""/>
    <x v="1"/>
    <x v="1"/>
    <s v="Q3"/>
    <x v="0"/>
  </r>
  <r>
    <s v="EOS0435"/>
    <s v="25/07/2025"/>
    <s v="FB"/>
    <s v="FB"/>
    <s v="dipraj"/>
    <s v="Surat"/>
    <s v="Gujarat"/>
    <s v="Rejected"/>
    <n v="177000"/>
    <n v="107434"/>
    <s v="Rejected"/>
    <x v="0"/>
    <m/>
    <s v=""/>
    <x v="1"/>
    <x v="1"/>
    <s v="Q3"/>
    <x v="0"/>
  </r>
  <r>
    <s v="EOS0436"/>
    <s v="25/07/2025"/>
    <s v="FB"/>
    <s v="FB"/>
    <s v="Shaishav Kapadia"/>
    <s v="Surat"/>
    <s v="Gujarat"/>
    <s v="Rejected"/>
    <n v="130000"/>
    <n v="107435"/>
    <s v="Rejected"/>
    <x v="0"/>
    <m/>
    <s v=""/>
    <x v="0"/>
    <x v="1"/>
    <s v="Q3"/>
    <x v="0"/>
  </r>
  <r>
    <s v="EOS0437"/>
    <s v="25/07/2025"/>
    <s v="FB"/>
    <s v="FB"/>
    <s v="Rushil Patel"/>
    <s v="Junagadh"/>
    <s v="Gujarat"/>
    <s v="Rejected"/>
    <n v="130000"/>
    <n v="107436"/>
    <s v="Rejected"/>
    <x v="0"/>
    <m/>
    <s v=""/>
    <x v="0"/>
    <x v="1"/>
    <s v="Q3"/>
    <x v="0"/>
  </r>
  <r>
    <s v="EOS0438"/>
    <s v="25/07/2025"/>
    <s v="FB"/>
    <s v="FB"/>
    <s v="Nirmit Patel"/>
    <s v="Vadodara"/>
    <s v="Gujarat"/>
    <s v="Rejected"/>
    <n v="130000"/>
    <n v="107437"/>
    <s v="Rejected"/>
    <x v="0"/>
    <m/>
    <s v=""/>
    <x v="0"/>
    <x v="1"/>
    <s v="Q3"/>
    <x v="0"/>
  </r>
  <r>
    <s v="EOS0439"/>
    <s v="25/07/2025"/>
    <s v="FB"/>
    <s v="FB"/>
    <s v="Dhranga Rajdeep"/>
    <s v="Rajkot"/>
    <s v="Gujarat"/>
    <s v="Rejected"/>
    <n v="108000"/>
    <n v="107438"/>
    <s v="Rejected"/>
    <x v="0"/>
    <m/>
    <s v=""/>
    <x v="0"/>
    <x v="1"/>
    <s v="Q3"/>
    <x v="0"/>
  </r>
  <r>
    <s v="EOS0440"/>
    <s v="25/07/2025"/>
    <s v="FB"/>
    <s v="FB"/>
    <s v="ᴀꜱʜɪꜱʜ_ᴍɪꜱᴛʀy"/>
    <s v="Palitana"/>
    <s v="Gujarat"/>
    <s v="Rejected"/>
    <n v="308000"/>
    <n v="107439"/>
    <s v="Rejected"/>
    <x v="0"/>
    <m/>
    <s v=""/>
    <x v="2"/>
    <x v="1"/>
    <s v="Q3"/>
    <x v="0"/>
  </r>
  <r>
    <s v="EOS0441"/>
    <s v="25/07/2025"/>
    <s v="FB"/>
    <s v="FB"/>
    <s v="PRÃKÅSH RĀVÄL"/>
    <s v="Ahmedabad"/>
    <s v="Gujarat"/>
    <s v="Rejected"/>
    <n v="108000"/>
    <n v="107440"/>
    <s v="Rejected"/>
    <x v="0"/>
    <m/>
    <s v=""/>
    <x v="0"/>
    <x v="1"/>
    <s v="Q3"/>
    <x v="0"/>
  </r>
  <r>
    <s v="EOS0442"/>
    <s v="25/07/2025"/>
    <s v="FB"/>
    <s v="FB"/>
    <s v="Dharmesh"/>
    <s v="Rajkot"/>
    <s v="Gujarat"/>
    <s v="Rejected"/>
    <n v="108000"/>
    <n v="107441"/>
    <s v="Rejected"/>
    <x v="0"/>
    <m/>
    <s v=""/>
    <x v="0"/>
    <x v="1"/>
    <s v="Q3"/>
    <x v="0"/>
  </r>
  <r>
    <s v="EOS0443"/>
    <s v="25/07/2025"/>
    <s v="FB"/>
    <s v="FB"/>
    <s v="Jay Mali"/>
    <s v="Deesa"/>
    <s v="Gujarat"/>
    <s v="Rejected"/>
    <n v="130000"/>
    <n v="107442"/>
    <s v="Rejected"/>
    <x v="0"/>
    <m/>
    <s v=""/>
    <x v="0"/>
    <x v="1"/>
    <s v="Q3"/>
    <x v="0"/>
  </r>
  <r>
    <s v="EOS0444"/>
    <s v="25/07/2025"/>
    <s v="FB"/>
    <s v="FB"/>
    <s v="Parmar Vivek"/>
    <s v="Surat"/>
    <s v="Gujarat"/>
    <s v="Rejected"/>
    <n v="130000"/>
    <n v="107443"/>
    <s v="Rejected"/>
    <x v="0"/>
    <m/>
    <s v=""/>
    <x v="0"/>
    <x v="1"/>
    <s v="Q3"/>
    <x v="0"/>
  </r>
  <r>
    <s v="EOS0445"/>
    <s v="26/07/2025"/>
    <s v="FB"/>
    <s v="FB"/>
    <s v="Ramsinh Zala"/>
    <s v="Gandhinagar"/>
    <s v="Gujarat"/>
    <s v="Rejected"/>
    <n v="130000"/>
    <n v="107444"/>
    <s v="Rejected"/>
    <x v="0"/>
    <m/>
    <s v=""/>
    <x v="0"/>
    <x v="1"/>
    <s v="Q3"/>
    <x v="0"/>
  </r>
  <r>
    <s v="EOS0446"/>
    <s v="26/07/2025"/>
    <s v="FB"/>
    <s v="FB"/>
    <s v="Mustufa Mansuri"/>
    <s v="Gandhinagar"/>
    <s v="Gujarat"/>
    <s v="Rejected"/>
    <n v="130000"/>
    <n v="107445"/>
    <s v="Rejected"/>
    <x v="0"/>
    <m/>
    <s v=""/>
    <x v="0"/>
    <x v="1"/>
    <s v="Q3"/>
    <x v="0"/>
  </r>
  <r>
    <s v="EOS0447"/>
    <s v="26/07/2025"/>
    <s v="FB"/>
    <s v="FB"/>
    <s v="Abhijitt solanki"/>
    <s v="DharaMadhya Pradeshur"/>
    <s v="Gujarat"/>
    <s v="Rejected"/>
    <n v="108000"/>
    <n v="107446"/>
    <s v="Rejected"/>
    <x v="0"/>
    <m/>
    <s v=""/>
    <x v="0"/>
    <x v="1"/>
    <s v="Q3"/>
    <x v="0"/>
  </r>
  <r>
    <s v="EOS0448"/>
    <s v="26/07/2025"/>
    <s v="FB"/>
    <s v="FB"/>
    <s v="Patel Ravi"/>
    <s v="surat"/>
    <s v="Gujarat"/>
    <s v="Rejected"/>
    <n v="108000"/>
    <n v="107447"/>
    <s v="Rejected"/>
    <x v="0"/>
    <m/>
    <s v=""/>
    <x v="0"/>
    <x v="1"/>
    <s v="Q3"/>
    <x v="0"/>
  </r>
  <r>
    <s v="EOS0449"/>
    <s v="26/07/2025"/>
    <s v="FB"/>
    <s v="FB"/>
    <s v="sam"/>
    <s v="surat"/>
    <s v="Gujarat"/>
    <s v="Rejected"/>
    <n v="130000"/>
    <n v="107448"/>
    <s v="Rejected"/>
    <x v="0"/>
    <m/>
    <s v=""/>
    <x v="0"/>
    <x v="1"/>
    <s v="Q3"/>
    <x v="0"/>
  </r>
  <r>
    <s v="EOS0450"/>
    <s v="26/07/2025"/>
    <s v="FB"/>
    <s v="FB"/>
    <s v="Soyab Pathan"/>
    <s v="Kodinar"/>
    <s v="Gujarat"/>
    <s v="Rejected"/>
    <n v="108000"/>
    <n v="107449"/>
    <s v="Rejected"/>
    <x v="0"/>
    <m/>
    <s v=""/>
    <x v="0"/>
    <x v="1"/>
    <s v="Q3"/>
    <x v="0"/>
  </r>
  <r>
    <s v="EOS0451"/>
    <s v="26/07/2025"/>
    <s v="FB"/>
    <s v="FB"/>
    <s v="prince"/>
    <s v="Ahmedabad"/>
    <s v="Gujarat"/>
    <s v="Rejected"/>
    <n v="177000"/>
    <n v="107450"/>
    <s v="Rejected"/>
    <x v="0"/>
    <m/>
    <s v=""/>
    <x v="1"/>
    <x v="1"/>
    <s v="Q3"/>
    <x v="0"/>
  </r>
  <r>
    <s v="EOS0452"/>
    <s v="26/07/2025"/>
    <s v="FB"/>
    <s v="FB"/>
    <s v="DISHANT DARJI"/>
    <s v="Mehsana"/>
    <s v="Gujarat"/>
    <s v="Rejected"/>
    <n v="177000"/>
    <n v="107451"/>
    <s v="Rejected"/>
    <x v="0"/>
    <m/>
    <s v=""/>
    <x v="1"/>
    <x v="1"/>
    <s v="Q3"/>
    <x v="0"/>
  </r>
  <r>
    <s v="EOS0453"/>
    <s v="26/07/2025"/>
    <s v="FB"/>
    <s v="FB"/>
    <s v="Uravish Chudasama"/>
    <s v="Surat"/>
    <s v="Gujarat"/>
    <s v="Rejected"/>
    <n v="130000"/>
    <n v="107452"/>
    <s v="Rejected"/>
    <x v="0"/>
    <m/>
    <s v=""/>
    <x v="0"/>
    <x v="1"/>
    <s v="Q3"/>
    <x v="0"/>
  </r>
  <r>
    <s v="EOS0454"/>
    <s v="26/07/2025"/>
    <s v="WA"/>
    <m/>
    <s v="Avdhesh Singh"/>
    <s v="Deodar"/>
    <s v="Rajasthan"/>
    <s v="Rejected"/>
    <n v="130000"/>
    <n v="107453"/>
    <s v="Rejected"/>
    <x v="0"/>
    <m/>
    <s v=""/>
    <x v="0"/>
    <x v="1"/>
    <s v="Q3"/>
    <x v="0"/>
  </r>
  <r>
    <s v="EOS0455"/>
    <s v="26/07/2025"/>
    <s v="WA"/>
    <m/>
    <s v="Chudasama URVISH"/>
    <s v="Surat"/>
    <s v="Gujarat"/>
    <s v="Rejected"/>
    <n v="130000"/>
    <n v="107454"/>
    <s v="Rejected"/>
    <x v="0"/>
    <m/>
    <s v=""/>
    <x v="0"/>
    <x v="1"/>
    <s v="Q3"/>
    <x v="0"/>
  </r>
  <r>
    <s v="EOS0456"/>
    <s v="27/07/2025"/>
    <s v="WA"/>
    <m/>
    <s v="RATHOD RANJITSINH SHANABHAI"/>
    <s v="Vadodara"/>
    <s v="Gujarat"/>
    <s v="Rejected"/>
    <n v="130000"/>
    <n v="107455"/>
    <s v="Rejected"/>
    <x v="0"/>
    <m/>
    <s v=""/>
    <x v="0"/>
    <x v="1"/>
    <s v="Q3"/>
    <x v="0"/>
  </r>
  <r>
    <s v="EOS0457"/>
    <s v="27/07/2025"/>
    <s v="WA"/>
    <m/>
    <s v="Patel Umang"/>
    <s v="Bilasiya"/>
    <s v="Gujarat"/>
    <s v="Rejected"/>
    <n v="108000"/>
    <n v="107456"/>
    <s v="Rejected"/>
    <x v="0"/>
    <m/>
    <s v=""/>
    <x v="0"/>
    <x v="1"/>
    <s v="Q3"/>
    <x v="0"/>
  </r>
  <r>
    <s v="EOS0458"/>
    <s v="27/07/2025"/>
    <s v="WA"/>
    <m/>
    <s v="ABUKHIZAR Ansari"/>
    <s v="Ahmedabad"/>
    <s v="Gujarat"/>
    <s v="Rejected"/>
    <n v="130000"/>
    <n v="107457"/>
    <s v="Rejected"/>
    <x v="0"/>
    <m/>
    <s v=""/>
    <x v="0"/>
    <x v="1"/>
    <s v="Q3"/>
    <x v="0"/>
  </r>
  <r>
    <s v="EOS0459"/>
    <s v="28/07/2025"/>
    <s v="FB"/>
    <s v="FB"/>
    <s v="Ravi Pandre"/>
    <s v="Silvassa"/>
    <s v="Gujarat"/>
    <s v="Rejected"/>
    <n v="130000"/>
    <n v="107458"/>
    <s v="Rejected"/>
    <x v="0"/>
    <m/>
    <s v=""/>
    <x v="0"/>
    <x v="1"/>
    <s v="Q3"/>
    <x v="0"/>
  </r>
  <r>
    <s v="EOS0460"/>
    <s v="28/07/2025"/>
    <s v="FB"/>
    <s v="FB"/>
    <s v="Divu"/>
    <s v="Amreli"/>
    <s v="Gujarat"/>
    <s v="Rejected"/>
    <n v="130000"/>
    <n v="107459"/>
    <s v="Rejected"/>
    <x v="0"/>
    <m/>
    <s v=""/>
    <x v="0"/>
    <x v="1"/>
    <s v="Q3"/>
    <x v="0"/>
  </r>
  <r>
    <s v="EOS0461"/>
    <s v="28/07/2025"/>
    <s v="FB"/>
    <s v="FB"/>
    <s v="kirti Raj"/>
    <s v="Surat"/>
    <s v="Gujarat"/>
    <s v="Rejected"/>
    <n v="177000"/>
    <n v="107460"/>
    <s v="Rejected"/>
    <x v="0"/>
    <m/>
    <s v=""/>
    <x v="1"/>
    <x v="1"/>
    <s v="Q3"/>
    <x v="0"/>
  </r>
  <r>
    <s v="EOS0462"/>
    <s v="28/07/2025"/>
    <s v="FB"/>
    <s v="FB"/>
    <s v="Mr_Yogesh Senghani"/>
    <s v="Ahmedabad"/>
    <s v="Gujarat"/>
    <s v="Rejected"/>
    <n v="130000"/>
    <n v="107461"/>
    <s v="Rejected"/>
    <x v="0"/>
    <m/>
    <s v=""/>
    <x v="0"/>
    <x v="1"/>
    <s v="Q3"/>
    <x v="0"/>
  </r>
  <r>
    <s v="EOS0463"/>
    <s v="28/07/2025"/>
    <s v="FB"/>
    <s v="FB"/>
    <s v="Jeetubhai"/>
    <s v="Dhanera"/>
    <s v="Gujarat"/>
    <s v="Rejected"/>
    <n v="108000"/>
    <n v="107462"/>
    <s v="Rejected"/>
    <x v="0"/>
    <m/>
    <s v=""/>
    <x v="0"/>
    <x v="1"/>
    <s v="Q3"/>
    <x v="0"/>
  </r>
  <r>
    <s v="EOS0464"/>
    <s v="28/07/2025"/>
    <s v="FB"/>
    <s v="FB"/>
    <s v="Alfaz Barkat"/>
    <s v="Keshod"/>
    <s v="Gujarat"/>
    <s v="Rejected"/>
    <n v="108000"/>
    <n v="107463"/>
    <s v="Rejected"/>
    <x v="0"/>
    <m/>
    <s v=""/>
    <x v="0"/>
    <x v="1"/>
    <s v="Q3"/>
    <x v="0"/>
  </r>
  <r>
    <s v="EOS0465"/>
    <s v="28/07/2025"/>
    <s v="FB"/>
    <s v="FB"/>
    <s v="Rutu Patel"/>
    <s v="Ahmedabad"/>
    <s v="Gujarat"/>
    <s v="Rejected"/>
    <n v="130000"/>
    <n v="107464"/>
    <s v="Rejected"/>
    <x v="0"/>
    <m/>
    <s v=""/>
    <x v="0"/>
    <x v="1"/>
    <s v="Q3"/>
    <x v="0"/>
  </r>
  <r>
    <s v="EOS0466"/>
    <s v="28/07/2025"/>
    <s v="WA"/>
    <m/>
    <s v="Amit"/>
    <s v="Godhra"/>
    <s v="Gujarat"/>
    <s v="Rejected"/>
    <n v="177000"/>
    <n v="107465"/>
    <s v="Rejected"/>
    <x v="0"/>
    <m/>
    <s v=""/>
    <x v="1"/>
    <x v="1"/>
    <s v="Q3"/>
    <x v="0"/>
  </r>
  <r>
    <s v="EOS0467"/>
    <s v="29/07/2025"/>
    <s v="WA"/>
    <m/>
    <s v="Lalit Kumar Goyal"/>
    <m/>
    <s v="Gujarat"/>
    <s v="Rejected"/>
    <n v="130000"/>
    <n v="107466"/>
    <s v="Rejected"/>
    <x v="0"/>
    <m/>
    <s v=""/>
    <x v="0"/>
    <x v="1"/>
    <s v="Q3"/>
    <x v="0"/>
  </r>
  <r>
    <s v="EOS0468"/>
    <s v="29/07/2025"/>
    <s v="WA"/>
    <m/>
    <s v="Soaeb malek"/>
    <m/>
    <s v="Maharashtra"/>
    <s v="Rejected"/>
    <n v="130000"/>
    <n v="107467"/>
    <s v="Rejected"/>
    <x v="0"/>
    <m/>
    <s v=""/>
    <x v="0"/>
    <x v="1"/>
    <s v="Q3"/>
    <x v="0"/>
  </r>
  <r>
    <s v="EOS0469"/>
    <s v="30/07/2025"/>
    <s v="FB"/>
    <s v="FB"/>
    <s v="Dharmesh poptani"/>
    <s v="Amreli"/>
    <s v="Gujarat"/>
    <s v="Rejected"/>
    <n v="130000"/>
    <n v="107468"/>
    <s v="Rejected"/>
    <x v="0"/>
    <m/>
    <s v=""/>
    <x v="0"/>
    <x v="1"/>
    <s v="Q3"/>
    <x v="0"/>
  </r>
  <r>
    <s v="EOS0470"/>
    <s v="30/07/2025"/>
    <s v="FB"/>
    <s v="FB"/>
    <s v="Dave Milan Dave"/>
    <s v="Ahmedabad"/>
    <s v="Gujarat"/>
    <s v="Rejected"/>
    <n v="108000"/>
    <n v="107469"/>
    <s v="Rejected"/>
    <x v="0"/>
    <m/>
    <s v=""/>
    <x v="0"/>
    <x v="1"/>
    <s v="Q3"/>
    <x v="0"/>
  </r>
  <r>
    <s v="EOS0471"/>
    <s v="30/07/2025"/>
    <s v="FB"/>
    <s v="FB"/>
    <s v="𝕄𝕣. 𝔸𝕝𝕚 𝔻𝕖𝕝𝕒 علي"/>
    <s v="Rajkot"/>
    <s v="Gujarat"/>
    <s v="Rejected"/>
    <n v="130000"/>
    <n v="107470"/>
    <s v="Rejected"/>
    <x v="0"/>
    <m/>
    <s v=""/>
    <x v="0"/>
    <x v="1"/>
    <s v="Q3"/>
    <x v="0"/>
  </r>
  <r>
    <s v="EOS0472"/>
    <s v="30/07/2025"/>
    <s v="FB"/>
    <s v="FB"/>
    <s v="Ritesh Patel"/>
    <s v="Ahmedabad"/>
    <s v="Gujarat"/>
    <s v="Rejected"/>
    <n v="130000"/>
    <n v="107471"/>
    <s v="Rejected"/>
    <x v="0"/>
    <m/>
    <s v=""/>
    <x v="0"/>
    <x v="1"/>
    <s v="Q3"/>
    <x v="0"/>
  </r>
  <r>
    <s v="EOS0473"/>
    <s v="30/07/2025"/>
    <s v="FB"/>
    <s v="FB"/>
    <s v="Bhanu Bharwad"/>
    <s v="Surat"/>
    <s v="Gujarat"/>
    <s v="Rejected"/>
    <n v="130000"/>
    <n v="107472"/>
    <s v="Rejected"/>
    <x v="0"/>
    <m/>
    <s v=""/>
    <x v="0"/>
    <x v="1"/>
    <s v="Q3"/>
    <x v="0"/>
  </r>
  <r>
    <s v="EOS0474"/>
    <s v="30/07/2025"/>
    <s v="FB"/>
    <s v="FB"/>
    <s v="Rahul"/>
    <s v="Halvad"/>
    <s v="Gujarat"/>
    <s v="Rejected"/>
    <n v="177000"/>
    <n v="107473"/>
    <s v="Rejected"/>
    <x v="0"/>
    <m/>
    <s v=""/>
    <x v="1"/>
    <x v="1"/>
    <s v="Q3"/>
    <x v="0"/>
  </r>
  <r>
    <s v="EOS0475"/>
    <s v="30/07/2025"/>
    <s v="WA"/>
    <m/>
    <s v="Prakash J Rathva"/>
    <s v="Vadodara"/>
    <s v="Gujarat"/>
    <s v="Rejected"/>
    <n v="130000"/>
    <n v="107474"/>
    <s v="Rejected"/>
    <x v="0"/>
    <m/>
    <s v=""/>
    <x v="0"/>
    <x v="1"/>
    <s v="Q3"/>
    <x v="0"/>
  </r>
  <r>
    <s v="EOS0476"/>
    <s v="30/07/2025"/>
    <s v="WA"/>
    <m/>
    <s v="arati tigga"/>
    <s v="Rourkela"/>
    <s v="Odisha"/>
    <s v="Rejected"/>
    <n v="130000"/>
    <n v="107475"/>
    <s v="Rejected"/>
    <x v="0"/>
    <m/>
    <s v=""/>
    <x v="0"/>
    <x v="1"/>
    <s v="Q3"/>
    <x v="3"/>
  </r>
  <r>
    <s v="EOS0477"/>
    <s v="31/07/2025"/>
    <s v="FB"/>
    <s v="FB"/>
    <s v="Nikunj Niks Patel"/>
    <s v="Ahmedabad"/>
    <s v="Gujarat"/>
    <s v="Rejected"/>
    <n v="130000"/>
    <n v="107476"/>
    <s v="Rejected"/>
    <x v="0"/>
    <m/>
    <s v=""/>
    <x v="0"/>
    <x v="1"/>
    <s v="Q3"/>
    <x v="0"/>
  </r>
  <r>
    <s v="EOS0478"/>
    <s v="31/07/2025"/>
    <s v="WA"/>
    <m/>
    <s v="Shenva Dhaval"/>
    <s v="Navagam"/>
    <s v="Gujarat"/>
    <s v="Rejected"/>
    <n v="177000"/>
    <n v="107477"/>
    <s v="Rejected"/>
    <x v="0"/>
    <m/>
    <s v=""/>
    <x v="1"/>
    <x v="1"/>
    <s v="Q3"/>
    <x v="0"/>
  </r>
  <r>
    <s v="EOS0479"/>
    <s v="31/07/2025"/>
    <s v="WA"/>
    <m/>
    <s v="Ajay"/>
    <m/>
    <s v="Gujarat"/>
    <s v="Rejected"/>
    <n v="108000"/>
    <n v="107478"/>
    <s v="Rejected"/>
    <x v="0"/>
    <m/>
    <s v=""/>
    <x v="0"/>
    <x v="1"/>
    <s v="Q3"/>
    <x v="0"/>
  </r>
  <r>
    <s v="EOS0480"/>
    <d v="2025-08-01T00:00:00"/>
    <s v="WA"/>
    <m/>
    <s v="Deepak Vaishnav"/>
    <s v="korba"/>
    <s v="Chattisgarh"/>
    <s v="Rejected"/>
    <n v="177000"/>
    <n v="107479"/>
    <s v="Rejected"/>
    <x v="0"/>
    <m/>
    <s v=""/>
    <x v="1"/>
    <x v="3"/>
    <s v="Q3"/>
    <x v="2"/>
  </r>
  <r>
    <s v="EOS0481"/>
    <d v="2025-08-04T00:00:00"/>
    <s v="WA"/>
    <m/>
    <s v="Adarsh Darji "/>
    <m/>
    <s v="Gujarat"/>
    <s v="Rejected"/>
    <n v="130000"/>
    <n v="107480"/>
    <s v="Rejected"/>
    <x v="0"/>
    <m/>
    <s v=""/>
    <x v="0"/>
    <x v="3"/>
    <s v="Q3"/>
    <x v="0"/>
  </r>
  <r>
    <s v="EOS0482"/>
    <d v="2025-08-04T00:00:00"/>
    <s v="WA"/>
    <m/>
    <s v="Asif"/>
    <m/>
    <s v="Rajasthan"/>
    <s v="Rejected"/>
    <n v="108000"/>
    <n v="107481"/>
    <s v="Rejected"/>
    <x v="0"/>
    <m/>
    <s v=""/>
    <x v="0"/>
    <x v="3"/>
    <s v="Q3"/>
    <x v="0"/>
  </r>
  <r>
    <s v="EOS0483"/>
    <d v="2025-08-05T00:00:00"/>
    <s v="WA"/>
    <m/>
    <s v="Prince Joseph Kalacherry"/>
    <s v="Thane "/>
    <s v="Maharashtra"/>
    <s v="Rejected"/>
    <n v="108000"/>
    <n v="107482"/>
    <s v="Rejected"/>
    <x v="0"/>
    <m/>
    <s v=""/>
    <x v="0"/>
    <x v="3"/>
    <s v="Q3"/>
    <x v="0"/>
  </r>
  <r>
    <s v="EOS0484"/>
    <d v="2025-08-06T00:00:00"/>
    <s v="FB"/>
    <s v="FB"/>
    <s v="JOSHI"/>
    <m/>
    <s v="Gujarat"/>
    <s v="Rejected"/>
    <n v="108000"/>
    <n v="107483"/>
    <s v="Rejected"/>
    <x v="0"/>
    <m/>
    <s v=""/>
    <x v="0"/>
    <x v="3"/>
    <s v="Q3"/>
    <x v="0"/>
  </r>
  <r>
    <s v="EOS0485"/>
    <d v="2025-08-06T00:00:00"/>
    <s v="FB"/>
    <s v="FB"/>
    <s v="Rahul Zinzuvadiya"/>
    <s v="Kalavad"/>
    <s v="Gujarat"/>
    <s v="Rejected"/>
    <n v="130000"/>
    <n v="107484"/>
    <s v="Rejected"/>
    <x v="0"/>
    <m/>
    <s v=""/>
    <x v="0"/>
    <x v="3"/>
    <s v="Q3"/>
    <x v="0"/>
  </r>
  <r>
    <s v="EOS0486"/>
    <d v="2025-08-06T00:00:00"/>
    <s v="FB"/>
    <s v="FB"/>
    <s v="Nileshkumar Prajapati"/>
    <s v="Viramgam"/>
    <s v="Gujarat"/>
    <s v="Rejected"/>
    <n v="130000"/>
    <n v="107485"/>
    <s v="Rejected"/>
    <x v="0"/>
    <m/>
    <s v=""/>
    <x v="0"/>
    <x v="3"/>
    <s v="Q3"/>
    <x v="0"/>
  </r>
  <r>
    <s v="EOS0487"/>
    <d v="2025-08-06T00:00:00"/>
    <s v="FB"/>
    <s v="FB"/>
    <s v="_chin jamanpuriya"/>
    <s v="patan"/>
    <s v="Gujarat"/>
    <s v="Rejected"/>
    <n v="177000"/>
    <n v="107486"/>
    <s v="Rejected"/>
    <x v="0"/>
    <m/>
    <s v=""/>
    <x v="1"/>
    <x v="3"/>
    <s v="Q3"/>
    <x v="0"/>
  </r>
  <r>
    <s v="EOS0488"/>
    <d v="2025-08-06T00:00:00"/>
    <s v="FB"/>
    <s v="FB"/>
    <s v="Mayank  Patel"/>
    <s v="Kalol"/>
    <s v="Gujarat"/>
    <s v="Rejected"/>
    <n v="108000"/>
    <n v="107487"/>
    <s v="Rejected"/>
    <x v="0"/>
    <m/>
    <s v=""/>
    <x v="0"/>
    <x v="3"/>
    <s v="Q3"/>
    <x v="0"/>
  </r>
  <r>
    <s v="EOS0489"/>
    <d v="2025-08-06T00:00:00"/>
    <s v="FB"/>
    <s v="FB"/>
    <s v="Gaurav pawar"/>
    <s v="Surat"/>
    <s v="Gujarat"/>
    <s v="Rejected"/>
    <n v="108000"/>
    <n v="107488"/>
    <s v="Rejected"/>
    <x v="0"/>
    <m/>
    <s v=""/>
    <x v="0"/>
    <x v="3"/>
    <s v="Q3"/>
    <x v="0"/>
  </r>
  <r>
    <s v="EOS0490"/>
    <d v="2025-08-06T00:00:00"/>
    <s v="WA"/>
    <m/>
    <s v="MOHMMED TAUKIR"/>
    <m/>
    <s v="Gujarat"/>
    <s v="Rejected"/>
    <n v="130000"/>
    <n v="107489"/>
    <s v="Rejected"/>
    <x v="0"/>
    <m/>
    <s v=""/>
    <x v="0"/>
    <x v="3"/>
    <s v="Q3"/>
    <x v="0"/>
  </r>
  <r>
    <s v="EOS0491"/>
    <d v="2025-08-06T00:00:00"/>
    <s v="WA"/>
    <m/>
    <s v="Shaikh azazahemad mahmmadyunus"/>
    <m/>
    <s v="Gujarat"/>
    <s v="Rejected"/>
    <n v="108000"/>
    <n v="107490"/>
    <s v="Rejected"/>
    <x v="0"/>
    <m/>
    <s v=""/>
    <x v="0"/>
    <x v="3"/>
    <s v="Q3"/>
    <x v="0"/>
  </r>
  <r>
    <s v="EOS0492"/>
    <d v="2025-08-06T00:00:00"/>
    <s v="WA"/>
    <m/>
    <s v="Bhatiya Rameshbhai nathabhai"/>
    <s v="Palanpur"/>
    <s v="Gujarat"/>
    <s v="Deal "/>
    <n v="177000"/>
    <n v="107491"/>
    <s v="Deal"/>
    <x v="1"/>
    <d v="2025-08-12T00:00:00"/>
    <n v="6"/>
    <x v="1"/>
    <x v="3"/>
    <s v="Q3"/>
    <x v="0"/>
  </r>
  <r>
    <s v="EOS0493"/>
    <d v="2025-08-06T00:00:00"/>
    <s v="WA"/>
    <m/>
    <s v="MANDHARA SAHIL SALEMAN"/>
    <m/>
    <s v="Gujarat"/>
    <s v="Rejected"/>
    <n v="177000"/>
    <n v="107492"/>
    <s v="Rejected"/>
    <x v="0"/>
    <m/>
    <s v=""/>
    <x v="1"/>
    <x v="3"/>
    <s v="Q3"/>
    <x v="0"/>
  </r>
  <r>
    <s v="EOS0494"/>
    <d v="2025-08-07T00:00:00"/>
    <s v="FB"/>
    <s v="FB"/>
    <s v="Viral Patel"/>
    <s v="VALSAD"/>
    <s v="Gujarat"/>
    <s v="Rejected"/>
    <n v="108000"/>
    <n v="107493"/>
    <s v="Rejected"/>
    <x v="0"/>
    <m/>
    <s v=""/>
    <x v="0"/>
    <x v="3"/>
    <s v="Q3"/>
    <x v="0"/>
  </r>
  <r>
    <s v="EOS0495"/>
    <d v="2025-08-07T00:00:00"/>
    <s v="FB"/>
    <s v="FB"/>
    <s v="Vinay Parmar"/>
    <s v="Anand"/>
    <s v="Gujarat"/>
    <s v="Rejected"/>
    <n v="108000"/>
    <n v="107494"/>
    <s v="Rejected"/>
    <x v="0"/>
    <m/>
    <s v=""/>
    <x v="0"/>
    <x v="3"/>
    <s v="Q3"/>
    <x v="0"/>
  </r>
  <r>
    <s v="EOS0496"/>
    <d v="2025-08-07T00:00:00"/>
    <s v="FB"/>
    <s v="FB"/>
    <s v="Sunil Dalvani"/>
    <s v="Jamnagar"/>
    <s v="Gujarat"/>
    <s v="Rejected"/>
    <n v="108000"/>
    <n v="107495"/>
    <s v="Rejected"/>
    <x v="0"/>
    <m/>
    <s v=""/>
    <x v="0"/>
    <x v="3"/>
    <s v="Q3"/>
    <x v="0"/>
  </r>
  <r>
    <s v="EOS0497"/>
    <d v="2025-08-07T00:00:00"/>
    <s v="FB"/>
    <s v="FB"/>
    <s v="Teju"/>
    <m/>
    <s v="Gujarat"/>
    <s v="Rejected"/>
    <n v="130000"/>
    <n v="107496"/>
    <s v="Rejected"/>
    <x v="0"/>
    <m/>
    <s v=""/>
    <x v="0"/>
    <x v="3"/>
    <s v="Q3"/>
    <x v="0"/>
  </r>
  <r>
    <s v="EOS0498"/>
    <d v="2025-08-07T00:00:00"/>
    <s v="FB"/>
    <s v="FB"/>
    <s v="Mushtaq kapadia"/>
    <s v="Surat "/>
    <s v="Gujarat"/>
    <s v="Rejected"/>
    <n v="130000"/>
    <n v="107497"/>
    <s v="Rejected"/>
    <x v="0"/>
    <m/>
    <s v=""/>
    <x v="0"/>
    <x v="3"/>
    <s v="Q3"/>
    <x v="0"/>
  </r>
  <r>
    <s v="EOS0499"/>
    <d v="2025-08-07T00:00:00"/>
    <s v="FB"/>
    <s v="FB"/>
    <s v="Dilip Thakor"/>
    <s v="Kadol"/>
    <s v="Gujarat"/>
    <s v="Rejected"/>
    <n v="177000"/>
    <n v="107498"/>
    <s v="Rejected"/>
    <x v="0"/>
    <m/>
    <s v=""/>
    <x v="1"/>
    <x v="3"/>
    <s v="Q3"/>
    <x v="0"/>
  </r>
  <r>
    <s v="EOS0500"/>
    <d v="2025-08-07T00:00:00"/>
    <s v="FB"/>
    <s v="FB"/>
    <s v="Sagar Vasava"/>
    <s v="uchaal "/>
    <s v="Gujarat"/>
    <s v="Rejected"/>
    <n v="130000"/>
    <n v="107499"/>
    <s v="Rejected"/>
    <x v="0"/>
    <m/>
    <s v=""/>
    <x v="0"/>
    <x v="3"/>
    <s v="Q3"/>
    <x v="0"/>
  </r>
  <r>
    <s v="EOS0501"/>
    <d v="2025-08-07T00:00:00"/>
    <s v="FB"/>
    <s v="FB"/>
    <s v="Ajay Sinhar"/>
    <s v="Vadodara"/>
    <s v="Gujarat"/>
    <s v="Rejected"/>
    <n v="130000"/>
    <n v="107500"/>
    <s v="Rejected"/>
    <x v="0"/>
    <m/>
    <s v=""/>
    <x v="0"/>
    <x v="3"/>
    <s v="Q3"/>
    <x v="0"/>
  </r>
  <r>
    <s v="EOS0502"/>
    <d v="2025-08-07T00:00:00"/>
    <s v="FB"/>
    <s v="FB"/>
    <s v="Dharmagna Acharya"/>
    <s v="Jamnagar"/>
    <s v="Gujarat"/>
    <s v="Rejected"/>
    <n v="177000"/>
    <n v="107501"/>
    <s v="Rejected"/>
    <x v="0"/>
    <m/>
    <s v=""/>
    <x v="1"/>
    <x v="3"/>
    <s v="Q3"/>
    <x v="0"/>
  </r>
  <r>
    <s v="EOS0503"/>
    <d v="2025-08-07T00:00:00"/>
    <s v="FB"/>
    <s v="FB"/>
    <s v="Fenil"/>
    <s v="Surat"/>
    <s v="Gujarat"/>
    <s v="Rejected"/>
    <n v="108000"/>
    <n v="107502"/>
    <s v="Rejected"/>
    <x v="0"/>
    <m/>
    <s v=""/>
    <x v="0"/>
    <x v="3"/>
    <s v="Q3"/>
    <x v="0"/>
  </r>
  <r>
    <s v="EOS0504"/>
    <d v="2025-08-08T00:00:00"/>
    <s v="FB"/>
    <s v="FB"/>
    <s v="Devaraj Bharaj"/>
    <s v="Upetla "/>
    <s v="Gujarat"/>
    <s v="Rejected"/>
    <n v="130000"/>
    <n v="107503"/>
    <s v="Rejected"/>
    <x v="0"/>
    <m/>
    <s v=""/>
    <x v="0"/>
    <x v="3"/>
    <s v="Q3"/>
    <x v="0"/>
  </r>
  <r>
    <s v="EOS0505"/>
    <d v="2025-08-08T00:00:00"/>
    <s v="FB"/>
    <s v="FB"/>
    <s v="Ahir Sagar Bhopala"/>
    <m/>
    <s v="Gujarat"/>
    <s v="Rejected"/>
    <n v="130000"/>
    <n v="107504"/>
    <s v="Rejected"/>
    <x v="0"/>
    <m/>
    <s v=""/>
    <x v="0"/>
    <x v="3"/>
    <s v="Q3"/>
    <x v="0"/>
  </r>
  <r>
    <s v="EOS0506"/>
    <d v="2025-08-08T00:00:00"/>
    <s v="FB"/>
    <s v="FB"/>
    <s v="Sheikh Adnan"/>
    <m/>
    <s v="Gujarat"/>
    <s v="Rejected"/>
    <n v="130000"/>
    <n v="107505"/>
    <s v="Rejected"/>
    <x v="0"/>
    <m/>
    <s v=""/>
    <x v="0"/>
    <x v="3"/>
    <s v="Q3"/>
    <x v="0"/>
  </r>
  <r>
    <s v="EOS0507"/>
    <d v="2025-08-08T00:00:00"/>
    <s v="FB"/>
    <s v="FB"/>
    <s v="Kishor"/>
    <m/>
    <s v="Gujarat"/>
    <s v="Rejected"/>
    <n v="130000"/>
    <n v="107506"/>
    <s v="Rejected"/>
    <x v="0"/>
    <m/>
    <s v=""/>
    <x v="0"/>
    <x v="3"/>
    <s v="Q3"/>
    <x v="0"/>
  </r>
  <r>
    <s v="EOS0508"/>
    <d v="2025-08-08T00:00:00"/>
    <s v="FB"/>
    <s v="FB"/>
    <s v="parmarnikhil"/>
    <m/>
    <s v="Gujarat"/>
    <s v="Rejected"/>
    <n v="130000"/>
    <n v="107507"/>
    <s v="Rejected"/>
    <x v="0"/>
    <m/>
    <s v=""/>
    <x v="0"/>
    <x v="3"/>
    <s v="Q3"/>
    <x v="0"/>
  </r>
  <r>
    <s v="EOS0509"/>
    <d v="2025-08-08T00:00:00"/>
    <s v="FB"/>
    <s v="FB"/>
    <s v="Bhavik Chauhan"/>
    <m/>
    <s v="Gujarat"/>
    <s v="Rejected"/>
    <n v="108000"/>
    <n v="107508"/>
    <s v="Rejected"/>
    <x v="0"/>
    <m/>
    <s v=""/>
    <x v="0"/>
    <x v="3"/>
    <s v="Q3"/>
    <x v="0"/>
  </r>
  <r>
    <s v="EOS0510"/>
    <d v="2025-08-08T00:00:00"/>
    <s v="FB"/>
    <s v="FB"/>
    <s v="Rahul parmar"/>
    <m/>
    <s v="Gujarat"/>
    <s v="Rejected"/>
    <n v="108000"/>
    <n v="107509"/>
    <s v="Rejected"/>
    <x v="0"/>
    <m/>
    <s v=""/>
    <x v="0"/>
    <x v="3"/>
    <s v="Q3"/>
    <x v="0"/>
  </r>
  <r>
    <s v="EOS0511"/>
    <d v="2025-08-08T00:00:00"/>
    <s v="FB"/>
    <s v="FB"/>
    <s v="Ankit Patel"/>
    <m/>
    <s v="Gujarat"/>
    <s v="Rejected"/>
    <n v="130000"/>
    <n v="107510"/>
    <s v="Rejected"/>
    <x v="0"/>
    <m/>
    <s v=""/>
    <x v="0"/>
    <x v="3"/>
    <s v="Q3"/>
    <x v="0"/>
  </r>
  <r>
    <s v="EOS0512"/>
    <d v="2025-08-08T00:00:00"/>
    <s v="FB"/>
    <s v="FB"/>
    <s v="Taliya Harun"/>
    <m/>
    <s v="Gujarat"/>
    <s v="Rejected"/>
    <n v="130000"/>
    <n v="107511"/>
    <s v="Rejected"/>
    <x v="0"/>
    <m/>
    <s v=""/>
    <x v="0"/>
    <x v="3"/>
    <s v="Q3"/>
    <x v="0"/>
  </r>
  <r>
    <s v="EOS0513"/>
    <d v="2025-08-08T00:00:00"/>
    <s v="FB"/>
    <s v="FB"/>
    <s v="Akshay Thakor"/>
    <m/>
    <s v="Gujarat"/>
    <s v="Rejected"/>
    <n v="130000"/>
    <n v="107512"/>
    <s v="Rejected"/>
    <x v="0"/>
    <m/>
    <s v=""/>
    <x v="0"/>
    <x v="3"/>
    <s v="Q3"/>
    <x v="0"/>
  </r>
  <r>
    <s v="EOS0514"/>
    <d v="2025-08-08T00:00:00"/>
    <s v="WA"/>
    <m/>
    <s v="Akshay patanvadiya"/>
    <m/>
    <s v="Gujarat"/>
    <s v="Rejected"/>
    <n v="108000"/>
    <n v="107513"/>
    <s v="Rejected"/>
    <x v="0"/>
    <m/>
    <s v=""/>
    <x v="0"/>
    <x v="3"/>
    <s v="Q3"/>
    <x v="0"/>
  </r>
  <r>
    <s v="EOS0515"/>
    <d v="2025-08-09T00:00:00"/>
    <s v="FB"/>
    <s v="FB"/>
    <s v="D@shrath_D@bhi_!"/>
    <m/>
    <s v="Gujarat"/>
    <s v="Rejected"/>
    <n v="130000"/>
    <n v="107514"/>
    <s v="Rejected"/>
    <x v="0"/>
    <m/>
    <s v=""/>
    <x v="0"/>
    <x v="3"/>
    <s v="Q3"/>
    <x v="0"/>
  </r>
  <r>
    <s v="EOS0516"/>
    <d v="2025-08-09T00:00:00"/>
    <s v="FB"/>
    <s v="FB"/>
    <s v="SOHIL"/>
    <m/>
    <s v="Gujarat"/>
    <s v="Rejected"/>
    <n v="177000"/>
    <n v="107515"/>
    <s v="Rejected"/>
    <x v="0"/>
    <m/>
    <s v=""/>
    <x v="1"/>
    <x v="3"/>
    <s v="Q3"/>
    <x v="0"/>
  </r>
  <r>
    <s v="EOS0517"/>
    <d v="2025-08-09T00:00:00"/>
    <s v="FB"/>
    <s v="FB"/>
    <s v="Juned Andhi"/>
    <m/>
    <s v="Gujarat"/>
    <s v="Rejected"/>
    <n v="108000"/>
    <n v="107516"/>
    <s v="Rejected"/>
    <x v="0"/>
    <m/>
    <s v=""/>
    <x v="0"/>
    <x v="3"/>
    <s v="Q3"/>
    <x v="0"/>
  </r>
  <r>
    <s v="EOS0518"/>
    <d v="2025-08-09T00:00:00"/>
    <s v="FB"/>
    <s v="FB"/>
    <s v="mahendrajit"/>
    <m/>
    <s v="Gujarat"/>
    <s v="Rejected"/>
    <n v="130000"/>
    <n v="107517"/>
    <s v="Rejected"/>
    <x v="0"/>
    <m/>
    <s v=""/>
    <x v="0"/>
    <x v="3"/>
    <s v="Q3"/>
    <x v="0"/>
  </r>
  <r>
    <s v="EOS0519"/>
    <d v="2025-08-09T00:00:00"/>
    <s v="FB"/>
    <s v="FB"/>
    <s v="Naren Rajput"/>
    <m/>
    <s v="Gujarat"/>
    <s v="Rejected"/>
    <n v="130000"/>
    <n v="107518"/>
    <s v="Rejected"/>
    <x v="0"/>
    <m/>
    <s v=""/>
    <x v="0"/>
    <x v="3"/>
    <s v="Q3"/>
    <x v="0"/>
  </r>
  <r>
    <s v="EOS0520"/>
    <d v="2025-08-09T00:00:00"/>
    <s v="FB"/>
    <s v="FB"/>
    <s v="Mangalu Lakhnotran"/>
    <m/>
    <s v="Gujarat"/>
    <s v="Rejected"/>
    <n v="130000"/>
    <n v="107519"/>
    <s v="Rejected"/>
    <x v="0"/>
    <m/>
    <s v=""/>
    <x v="0"/>
    <x v="3"/>
    <s v="Q3"/>
    <x v="0"/>
  </r>
  <r>
    <s v="EOS0521"/>
    <d v="2025-08-09T00:00:00"/>
    <s v="FB"/>
    <s v="FB"/>
    <s v="Pulkit Pathak"/>
    <m/>
    <s v="Gujarat"/>
    <s v="Rejected"/>
    <n v="130000"/>
    <n v="107520"/>
    <s v="Rejected"/>
    <x v="0"/>
    <m/>
    <s v=""/>
    <x v="0"/>
    <x v="3"/>
    <s v="Q3"/>
    <x v="0"/>
  </r>
  <r>
    <s v="EOS0522"/>
    <d v="2025-08-09T00:00:00"/>
    <s v="FB"/>
    <s v="FB"/>
    <s v="Nirav Upadhyay"/>
    <m/>
    <s v="Gujarat"/>
    <s v="Rejected"/>
    <n v="108000"/>
    <n v="107521"/>
    <s v="Rejected"/>
    <x v="0"/>
    <m/>
    <s v=""/>
    <x v="0"/>
    <x v="3"/>
    <s v="Q3"/>
    <x v="0"/>
  </r>
  <r>
    <s v="EOS0523"/>
    <d v="2025-08-09T00:00:00"/>
    <s v="FB"/>
    <s v="FB"/>
    <s v="Hitesh Chandegara"/>
    <m/>
    <s v="Gujarat"/>
    <s v="Rejected"/>
    <n v="108000"/>
    <n v="107522"/>
    <s v="Rejected"/>
    <x v="0"/>
    <m/>
    <s v=""/>
    <x v="0"/>
    <x v="3"/>
    <s v="Q3"/>
    <x v="0"/>
  </r>
  <r>
    <s v="EOS0524"/>
    <d v="2025-08-09T00:00:00"/>
    <s v="FB"/>
    <s v="FB"/>
    <s v="Bikash"/>
    <m/>
    <s v="Gujarat"/>
    <s v="Rejected"/>
    <n v="177000"/>
    <n v="107523"/>
    <s v="Rejected"/>
    <x v="0"/>
    <m/>
    <s v=""/>
    <x v="1"/>
    <x v="3"/>
    <s v="Q3"/>
    <x v="0"/>
  </r>
  <r>
    <s v="EOS0525"/>
    <d v="2025-08-11T00:00:00"/>
    <s v="FB"/>
    <s v="FB"/>
    <s v="Shah Varnit"/>
    <m/>
    <s v="Gujarat"/>
    <s v="Rejected"/>
    <n v="130000"/>
    <n v="107524"/>
    <s v="Rejected"/>
    <x v="0"/>
    <m/>
    <s v=""/>
    <x v="0"/>
    <x v="3"/>
    <s v="Q3"/>
    <x v="0"/>
  </r>
  <r>
    <s v="EOS0526"/>
    <d v="2025-08-11T00:00:00"/>
    <s v="FB"/>
    <s v="FB"/>
    <s v="Minapara Akram"/>
    <m/>
    <s v="Gujarat"/>
    <s v="Rejected"/>
    <n v="108000"/>
    <n v="107525"/>
    <s v="Rejected"/>
    <x v="0"/>
    <m/>
    <s v=""/>
    <x v="0"/>
    <x v="3"/>
    <s v="Q3"/>
    <x v="0"/>
  </r>
  <r>
    <s v="EOS0527"/>
    <d v="2025-08-11T00:00:00"/>
    <s v="FB"/>
    <s v="FB"/>
    <s v="Anil"/>
    <m/>
    <s v="Gujarat"/>
    <s v="Rejected"/>
    <n v="108000"/>
    <n v="107526"/>
    <s v="Rejected"/>
    <x v="0"/>
    <m/>
    <s v=""/>
    <x v="0"/>
    <x v="3"/>
    <s v="Q3"/>
    <x v="0"/>
  </r>
  <r>
    <s v="EOS0528"/>
    <d v="2025-08-11T00:00:00"/>
    <s v="FB"/>
    <s v="FB"/>
    <s v="Paawan Namkeen"/>
    <m/>
    <s v="Gujarat"/>
    <s v="Rejected"/>
    <n v="130000"/>
    <n v="107527"/>
    <s v="Rejected"/>
    <x v="0"/>
    <m/>
    <s v=""/>
    <x v="0"/>
    <x v="3"/>
    <s v="Q3"/>
    <x v="0"/>
  </r>
  <r>
    <s v="EOS0529"/>
    <d v="2025-08-11T00:00:00"/>
    <s v="FB"/>
    <s v="FB"/>
    <s v="YAsh Shah"/>
    <m/>
    <s v="Gujarat"/>
    <s v="Rejected"/>
    <n v="130000"/>
    <n v="107528"/>
    <s v="Rejected"/>
    <x v="0"/>
    <m/>
    <s v=""/>
    <x v="0"/>
    <x v="3"/>
    <s v="Q3"/>
    <x v="0"/>
  </r>
  <r>
    <s v="EOS0530"/>
    <d v="2025-08-11T00:00:00"/>
    <s v="FB"/>
    <s v="FB"/>
    <s v="Hasmukh Trambadiya"/>
    <s v="Palanpur"/>
    <s v="Gujarat"/>
    <s v="Rejected"/>
    <n v="108000"/>
    <n v="107529"/>
    <s v="Rejected"/>
    <x v="0"/>
    <m/>
    <s v=""/>
    <x v="0"/>
    <x v="3"/>
    <s v="Q3"/>
    <x v="0"/>
  </r>
  <r>
    <s v="EOS0531"/>
    <d v="2025-08-11T00:00:00"/>
    <s v="FB"/>
    <s v="FB"/>
    <s v="Sharma Bharat"/>
    <m/>
    <s v="Gujarat"/>
    <s v="Rejected"/>
    <n v="130000"/>
    <n v="107530"/>
    <s v="Rejected"/>
    <x v="0"/>
    <m/>
    <s v=""/>
    <x v="0"/>
    <x v="3"/>
    <s v="Q3"/>
    <x v="0"/>
  </r>
  <r>
    <s v="EOS0532"/>
    <d v="2025-08-11T00:00:00"/>
    <s v="FB"/>
    <s v="FB"/>
    <s v="Manoj Biswal"/>
    <s v="Surat"/>
    <s v="Gujarat"/>
    <s v="Rejected"/>
    <n v="130000"/>
    <n v="107531"/>
    <s v="Rejected"/>
    <x v="0"/>
    <m/>
    <s v=""/>
    <x v="0"/>
    <x v="3"/>
    <s v="Q3"/>
    <x v="0"/>
  </r>
  <r>
    <s v="EOS0533"/>
    <d v="2025-08-11T00:00:00"/>
    <s v="FB"/>
    <s v="FB"/>
    <s v="A. k. khedut mol"/>
    <m/>
    <s v="Gujarat"/>
    <s v="Rejected"/>
    <n v="108000"/>
    <n v="107532"/>
    <s v="Rejected"/>
    <x v="0"/>
    <m/>
    <s v=""/>
    <x v="0"/>
    <x v="3"/>
    <s v="Q3"/>
    <x v="0"/>
  </r>
  <r>
    <s v="EOS0534"/>
    <d v="2025-08-11T00:00:00"/>
    <s v="FB"/>
    <s v="FB"/>
    <s v="SOHIL BABARIYA"/>
    <s v="Ahmedabad"/>
    <s v="Gujarat"/>
    <s v="Rejected"/>
    <n v="108000"/>
    <n v="107533"/>
    <s v="Rejected"/>
    <x v="0"/>
    <m/>
    <s v=""/>
    <x v="0"/>
    <x v="3"/>
    <s v="Q3"/>
    <x v="0"/>
  </r>
  <r>
    <s v="EOS0535"/>
    <d v="2025-08-11T00:00:00"/>
    <s v="FB"/>
    <s v="FB"/>
    <s v="AZEEM SHAIKH"/>
    <m/>
    <s v="Gujarat"/>
    <s v="Rejected"/>
    <n v="108000"/>
    <n v="107534"/>
    <s v="Rejected"/>
    <x v="0"/>
    <m/>
    <s v=""/>
    <x v="0"/>
    <x v="3"/>
    <s v="Q3"/>
    <x v="0"/>
  </r>
  <r>
    <s v="EOS0536"/>
    <d v="2025-08-11T00:00:00"/>
    <s v="WA"/>
    <m/>
    <s v="Shanu mehta"/>
    <m/>
    <s v="Gujarat"/>
    <s v="Rejected"/>
    <n v="177000"/>
    <n v="107535"/>
    <s v="Rejected"/>
    <x v="0"/>
    <m/>
    <s v=""/>
    <x v="1"/>
    <x v="3"/>
    <s v="Q3"/>
    <x v="0"/>
  </r>
  <r>
    <s v="EOS0537"/>
    <d v="2025-08-11T00:00:00"/>
    <s v="WA"/>
    <m/>
    <s v="Panchal smit hareshbhai"/>
    <m/>
    <s v="Gujarat"/>
    <s v="Rejected"/>
    <n v="130000"/>
    <n v="107536"/>
    <s v="Rejected"/>
    <x v="0"/>
    <m/>
    <s v=""/>
    <x v="0"/>
    <x v="3"/>
    <s v="Q3"/>
    <x v="0"/>
  </r>
  <r>
    <s v="EOS0538"/>
    <d v="2025-08-12T00:00:00"/>
    <s v="FB"/>
    <s v="FB"/>
    <s v="Jayanti gar g goswami"/>
    <m/>
    <s v="Gujarat"/>
    <s v="Rejected"/>
    <n v="177000"/>
    <n v="107537"/>
    <s v="Rejected"/>
    <x v="0"/>
    <m/>
    <s v=""/>
    <x v="1"/>
    <x v="3"/>
    <s v="Q3"/>
    <x v="0"/>
  </r>
  <r>
    <s v="EOS0539"/>
    <d v="2025-08-12T00:00:00"/>
    <s v="FB"/>
    <s v="FB"/>
    <s v="Jack Barry"/>
    <s v="Vyara"/>
    <s v="Gujarat"/>
    <s v="Rejected"/>
    <n v="108000"/>
    <n v="107538"/>
    <s v="Rejected"/>
    <x v="0"/>
    <m/>
    <s v=""/>
    <x v="0"/>
    <x v="3"/>
    <s v="Q3"/>
    <x v="0"/>
  </r>
  <r>
    <s v="EOS0540"/>
    <d v="2025-08-12T00:00:00"/>
    <s v="FB"/>
    <s v="FB"/>
    <s v="Sagar Shrimali"/>
    <m/>
    <s v="Gujarat"/>
    <s v="Rejected"/>
    <n v="130000"/>
    <n v="107539"/>
    <s v="Rejected"/>
    <x v="0"/>
    <m/>
    <s v=""/>
    <x v="0"/>
    <x v="3"/>
    <s v="Q3"/>
    <x v="0"/>
  </r>
  <r>
    <s v="EOS0541"/>
    <d v="2025-08-12T00:00:00"/>
    <s v="FB"/>
    <s v="FB"/>
    <s v="Ramesh Parmar"/>
    <m/>
    <s v="Gujarat"/>
    <s v="Rejected"/>
    <n v="130000"/>
    <n v="107540"/>
    <s v="Rejected"/>
    <x v="0"/>
    <m/>
    <s v=""/>
    <x v="0"/>
    <x v="3"/>
    <s v="Q3"/>
    <x v="0"/>
  </r>
  <r>
    <s v="EOS0542"/>
    <d v="2025-08-12T00:00:00"/>
    <s v="FB"/>
    <s v="FB"/>
    <s v="kalpesh parmar"/>
    <m/>
    <s v="Gujarat"/>
    <s v="Rejected"/>
    <n v="108000"/>
    <n v="107541"/>
    <s v="Rejected"/>
    <x v="0"/>
    <m/>
    <s v=""/>
    <x v="0"/>
    <x v="3"/>
    <s v="Q3"/>
    <x v="0"/>
  </r>
  <r>
    <s v="EOS0543"/>
    <d v="2025-08-12T00:00:00"/>
    <s v="WA"/>
    <m/>
    <s v="shilpa Alpesh Shah"/>
    <m/>
    <s v="Gujarat"/>
    <s v="Rejected"/>
    <n v="130000"/>
    <n v="107542"/>
    <s v="Rejected"/>
    <x v="0"/>
    <m/>
    <s v=""/>
    <x v="0"/>
    <x v="3"/>
    <s v="Q3"/>
    <x v="0"/>
  </r>
  <r>
    <s v="EOS0544"/>
    <d v="2025-08-12T00:00:00"/>
    <s v="WA"/>
    <m/>
    <s v="Yogesh parmar"/>
    <m/>
    <s v="Gujarat"/>
    <s v="Rejected"/>
    <n v="177000"/>
    <n v="107543"/>
    <s v="Rejected"/>
    <x v="0"/>
    <m/>
    <s v=""/>
    <x v="1"/>
    <x v="3"/>
    <s v="Q3"/>
    <x v="0"/>
  </r>
  <r>
    <s v="EOS0545"/>
    <d v="2025-08-13T00:00:00"/>
    <s v="FB"/>
    <s v="FB"/>
    <s v="Shish kamali"/>
    <s v="godhra"/>
    <s v="Gujarat"/>
    <s v="Rejected"/>
    <n v="130000"/>
    <n v="107544"/>
    <s v="Rejected"/>
    <x v="0"/>
    <m/>
    <s v=""/>
    <x v="0"/>
    <x v="3"/>
    <s v="Q3"/>
    <x v="0"/>
  </r>
  <r>
    <s v="EOS0546"/>
    <d v="2025-08-13T00:00:00"/>
    <s v="FB"/>
    <s v="FB"/>
    <s v="Moin"/>
    <m/>
    <s v="Gujarat"/>
    <s v="Rejected"/>
    <n v="130000"/>
    <n v="107545"/>
    <s v="Rejected"/>
    <x v="0"/>
    <m/>
    <s v=""/>
    <x v="0"/>
    <x v="3"/>
    <s v="Q3"/>
    <x v="0"/>
  </r>
  <r>
    <s v="EOS0547"/>
    <d v="2025-08-13T00:00:00"/>
    <s v="FB"/>
    <s v="FB"/>
    <s v="Na"/>
    <m/>
    <s v="Gujarat"/>
    <s v="Rejected"/>
    <n v="130000"/>
    <n v="107546"/>
    <s v="Rejected"/>
    <x v="0"/>
    <m/>
    <s v=""/>
    <x v="0"/>
    <x v="3"/>
    <s v="Q3"/>
    <x v="0"/>
  </r>
  <r>
    <s v="EOS0548"/>
    <d v="2025-08-13T00:00:00"/>
    <s v="FB"/>
    <s v="FB"/>
    <s v="Paresh Suthar"/>
    <m/>
    <s v="Gujarat"/>
    <s v="Rejected"/>
    <n v="130000"/>
    <n v="107547"/>
    <s v="Rejected"/>
    <x v="0"/>
    <m/>
    <s v=""/>
    <x v="0"/>
    <x v="3"/>
    <s v="Q3"/>
    <x v="0"/>
  </r>
  <r>
    <s v="EOS0549"/>
    <d v="2025-08-13T00:00:00"/>
    <s v="FB"/>
    <s v="FB"/>
    <s v="Na"/>
    <m/>
    <s v="Gujarat"/>
    <s v="Rejected"/>
    <n v="108000"/>
    <n v="107548"/>
    <s v="Rejected"/>
    <x v="0"/>
    <m/>
    <s v=""/>
    <x v="0"/>
    <x v="3"/>
    <s v="Q3"/>
    <x v="0"/>
  </r>
  <r>
    <s v="EOS0550"/>
    <d v="2025-08-13T00:00:00"/>
    <s v="FB"/>
    <s v="FB"/>
    <s v="Niraj Patej"/>
    <s v="Khambhat"/>
    <s v="Gujarat"/>
    <s v="Rejected"/>
    <n v="108000"/>
    <n v="107549"/>
    <s v="Rejected"/>
    <x v="0"/>
    <m/>
    <s v=""/>
    <x v="0"/>
    <x v="3"/>
    <s v="Q3"/>
    <x v="0"/>
  </r>
  <r>
    <s v="EOS0551"/>
    <d v="2025-08-13T00:00:00"/>
    <s v="WA"/>
    <m/>
    <s v="Vishal patel"/>
    <s v="unja "/>
    <s v="Gujarat"/>
    <s v="Rejected"/>
    <n v="130000"/>
    <n v="107550"/>
    <s v="Rejected"/>
    <x v="0"/>
    <m/>
    <s v=""/>
    <x v="0"/>
    <x v="3"/>
    <s v="Q3"/>
    <x v="0"/>
  </r>
  <r>
    <s v="EOS0552"/>
    <d v="2025-08-14T00:00:00"/>
    <s v="FB"/>
    <s v="FB"/>
    <s v="tushar_4xvr"/>
    <m/>
    <s v="Gujarat"/>
    <s v="Rejected"/>
    <n v="130000"/>
    <n v="107551"/>
    <s v="Rejected"/>
    <x v="0"/>
    <m/>
    <s v=""/>
    <x v="0"/>
    <x v="3"/>
    <s v="Q3"/>
    <x v="0"/>
  </r>
  <r>
    <s v="EOS0553"/>
    <d v="2025-08-14T00:00:00"/>
    <s v="FB"/>
    <s v="FB"/>
    <s v="Chauhan Nik"/>
    <m/>
    <s v="Gujarat"/>
    <s v="Rejected"/>
    <n v="130000"/>
    <n v="107552"/>
    <s v="Rejected"/>
    <x v="0"/>
    <m/>
    <s v=""/>
    <x v="0"/>
    <x v="3"/>
    <s v="Q3"/>
    <x v="0"/>
  </r>
  <r>
    <s v="EOS0554"/>
    <d v="2025-08-14T00:00:00"/>
    <s v="FB"/>
    <s v="FB"/>
    <s v="R.V. Odedra"/>
    <s v="porbandar "/>
    <s v="Gujarat"/>
    <s v="Rejected"/>
    <n v="308000"/>
    <n v="107553"/>
    <s v="Rejected"/>
    <x v="0"/>
    <m/>
    <s v=""/>
    <x v="2"/>
    <x v="3"/>
    <s v="Q3"/>
    <x v="0"/>
  </r>
  <r>
    <s v="EOS0555"/>
    <d v="2025-08-14T00:00:00"/>
    <s v="FB"/>
    <s v="FB"/>
    <s v="Paras Mehta"/>
    <m/>
    <s v="Gujarat"/>
    <s v="Rejected"/>
    <n v="130000"/>
    <n v="107554"/>
    <s v="Rejected"/>
    <x v="0"/>
    <m/>
    <s v=""/>
    <x v="0"/>
    <x v="3"/>
    <s v="Q3"/>
    <x v="0"/>
  </r>
  <r>
    <s v="EOS0556"/>
    <d v="2025-08-14T00:00:00"/>
    <s v="WA"/>
    <m/>
    <s v="Dhamecha Vijay"/>
    <m/>
    <s v="Gujarat"/>
    <s v="Rejected"/>
    <n v="108000"/>
    <n v="107555"/>
    <s v="Rejected"/>
    <x v="0"/>
    <m/>
    <s v=""/>
    <x v="0"/>
    <x v="3"/>
    <s v="Q3"/>
    <x v="0"/>
  </r>
  <r>
    <s v="EOS0557"/>
    <d v="2025-08-16T00:00:00"/>
    <s v="FB"/>
    <s v="FB"/>
    <s v="Firdosh Khan Jat Malek"/>
    <s v="radhanpur"/>
    <s v="Gujarat"/>
    <s v="Rejected"/>
    <n v="177000"/>
    <n v="107556"/>
    <s v="Rejected"/>
    <x v="0"/>
    <m/>
    <s v=""/>
    <x v="1"/>
    <x v="3"/>
    <s v="Q3"/>
    <x v="0"/>
  </r>
  <r>
    <s v="EOS0558"/>
    <d v="2025-08-16T00:00:00"/>
    <s v="FB"/>
    <s v="FB"/>
    <s v="Patel Meet"/>
    <m/>
    <s v="Gujarat"/>
    <s v="Rejected"/>
    <n v="108000"/>
    <n v="107557"/>
    <s v="Rejected"/>
    <x v="0"/>
    <m/>
    <s v=""/>
    <x v="0"/>
    <x v="3"/>
    <s v="Q3"/>
    <x v="0"/>
  </r>
  <r>
    <s v="EOS0559"/>
    <d v="2025-08-16T00:00:00"/>
    <s v="FB"/>
    <s v="FB"/>
    <s v="Tokir Teli"/>
    <s v="Ahmedabad"/>
    <s v="Gujarat"/>
    <s v="Rejected"/>
    <n v="108000"/>
    <n v="107558"/>
    <s v="Rejected"/>
    <x v="0"/>
    <m/>
    <s v=""/>
    <x v="0"/>
    <x v="3"/>
    <s v="Q3"/>
    <x v="0"/>
  </r>
  <r>
    <s v="EOS0560"/>
    <d v="2025-08-16T00:00:00"/>
    <s v="FB"/>
    <s v="FB"/>
    <s v="Jimish Sharma"/>
    <m/>
    <s v="Gujarat"/>
    <s v="Rejected"/>
    <n v="177000"/>
    <n v="107559"/>
    <s v="Rejected"/>
    <x v="0"/>
    <m/>
    <s v=""/>
    <x v="1"/>
    <x v="3"/>
    <s v="Q3"/>
    <x v="0"/>
  </r>
  <r>
    <s v="EOS0561"/>
    <d v="2025-08-16T00:00:00"/>
    <s v="FB"/>
    <s v="FB"/>
    <s v="Vipul Soni"/>
    <m/>
    <s v="Gujarat"/>
    <s v="Rejected"/>
    <n v="130000"/>
    <n v="107560"/>
    <s v="Rejected"/>
    <x v="0"/>
    <m/>
    <s v=""/>
    <x v="0"/>
    <x v="3"/>
    <s v="Q3"/>
    <x v="0"/>
  </r>
  <r>
    <s v="EOS0562"/>
    <d v="2025-08-16T00:00:00"/>
    <s v="FB"/>
    <s v="FB"/>
    <s v="Saurabh Patel"/>
    <m/>
    <s v="Gujarat"/>
    <s v="Rejected"/>
    <n v="130000"/>
    <n v="107561"/>
    <s v="Rejected"/>
    <x v="0"/>
    <m/>
    <s v=""/>
    <x v="0"/>
    <x v="3"/>
    <s v="Q3"/>
    <x v="0"/>
  </r>
  <r>
    <s v="EOS0563"/>
    <d v="2025-08-16T00:00:00"/>
    <s v="FB"/>
    <s v="FB"/>
    <s v="Jiten"/>
    <m/>
    <s v="Gujarat"/>
    <s v="Rejected"/>
    <n v="177000"/>
    <n v="107562"/>
    <s v="Rejected"/>
    <x v="0"/>
    <m/>
    <s v=""/>
    <x v="1"/>
    <x v="3"/>
    <s v="Q3"/>
    <x v="0"/>
  </r>
  <r>
    <s v="EOS0564"/>
    <d v="2025-08-16T00:00:00"/>
    <s v="FB"/>
    <s v="FB"/>
    <s v="C. J Jadav"/>
    <m/>
    <s v="Gujarat"/>
    <s v="Rejected"/>
    <n v="108000"/>
    <n v="107563"/>
    <s v="Rejected"/>
    <x v="0"/>
    <m/>
    <s v=""/>
    <x v="0"/>
    <x v="3"/>
    <s v="Q3"/>
    <x v="0"/>
  </r>
  <r>
    <s v="EOS0565"/>
    <d v="2025-08-16T00:00:00"/>
    <s v="FB"/>
    <s v="FB"/>
    <s v="Kirti Patel"/>
    <m/>
    <s v="Gujarat"/>
    <s v="Rejected"/>
    <n v="130000"/>
    <n v="107564"/>
    <s v="Rejected"/>
    <x v="0"/>
    <m/>
    <s v=""/>
    <x v="0"/>
    <x v="3"/>
    <s v="Q3"/>
    <x v="0"/>
  </r>
  <r>
    <s v="EOS0566"/>
    <d v="2025-08-16T00:00:00"/>
    <s v="FB"/>
    <s v="FB"/>
    <s v="India Voice"/>
    <m/>
    <s v="Gujarat"/>
    <s v="Rejected"/>
    <n v="108000"/>
    <n v="107565"/>
    <s v="Rejected"/>
    <x v="0"/>
    <m/>
    <s v=""/>
    <x v="0"/>
    <x v="3"/>
    <s v="Q3"/>
    <x v="0"/>
  </r>
  <r>
    <s v="EOS0567"/>
    <d v="2025-08-16T00:00:00"/>
    <s v="FB"/>
    <s v="FB"/>
    <s v="Makrani Sahid"/>
    <m/>
    <s v="Gujarat"/>
    <s v="Rejected"/>
    <n v="130000"/>
    <n v="107566"/>
    <s v="Rejected"/>
    <x v="0"/>
    <m/>
    <s v=""/>
    <x v="0"/>
    <x v="3"/>
    <s v="Q3"/>
    <x v="0"/>
  </r>
  <r>
    <s v="EOS0568"/>
    <d v="2025-08-16T00:00:00"/>
    <s v="FB"/>
    <s v="FB"/>
    <s v="Dhruvesh Parekh"/>
    <s v="Vadodara"/>
    <s v="Gujarat"/>
    <s v="Rejected"/>
    <n v="130000"/>
    <n v="107567"/>
    <s v="Rejected"/>
    <x v="0"/>
    <m/>
    <s v=""/>
    <x v="0"/>
    <x v="3"/>
    <s v="Q3"/>
    <x v="0"/>
  </r>
  <r>
    <s v="EOS0569"/>
    <d v="2025-08-16T00:00:00"/>
    <s v="FB"/>
    <s v="FB"/>
    <s v="a b.malek.3051"/>
    <m/>
    <s v="Gujarat"/>
    <s v="Rejected"/>
    <n v="177000"/>
    <n v="107568"/>
    <s v="Rejected"/>
    <x v="0"/>
    <m/>
    <s v=""/>
    <x v="1"/>
    <x v="3"/>
    <s v="Q3"/>
    <x v="0"/>
  </r>
  <r>
    <s v="EOS0570"/>
    <d v="2025-08-16T00:00:00"/>
    <s v="FB"/>
    <s v="FB"/>
    <s v="rathod bittu"/>
    <m/>
    <s v="Gujarat"/>
    <s v="Rejected"/>
    <n v="130000"/>
    <n v="107569"/>
    <s v="Rejected"/>
    <x v="0"/>
    <m/>
    <s v=""/>
    <x v="0"/>
    <x v="3"/>
    <s v="Q3"/>
    <x v="0"/>
  </r>
  <r>
    <s v="EOS0571"/>
    <d v="2025-08-16T00:00:00"/>
    <s v="WA"/>
    <m/>
    <s v="Rajiv sain"/>
    <m/>
    <s v="Gujarat"/>
    <s v="Rejected"/>
    <n v="108000"/>
    <n v="107570"/>
    <s v="Rejected"/>
    <x v="0"/>
    <m/>
    <s v=""/>
    <x v="0"/>
    <x v="3"/>
    <s v="Q3"/>
    <x v="0"/>
  </r>
  <r>
    <s v="EOS0572"/>
    <d v="2025-08-16T00:00:00"/>
    <s v="FB"/>
    <s v="FB"/>
    <s v="Vishal Chauhan"/>
    <s v="surat"/>
    <s v="Gujarat"/>
    <s v="Rejected"/>
    <n v="108000"/>
    <n v="107571"/>
    <s v="Rejected"/>
    <x v="0"/>
    <m/>
    <s v=""/>
    <x v="0"/>
    <x v="3"/>
    <s v="Q3"/>
    <x v="0"/>
  </r>
  <r>
    <s v="EOS0573"/>
    <d v="2025-08-16T00:00:00"/>
    <s v="WA"/>
    <m/>
    <s v="Rajat Kaushal"/>
    <m/>
    <s v="Gujarat"/>
    <s v="Rejected"/>
    <n v="108000"/>
    <n v="107572"/>
    <s v="Rejected"/>
    <x v="0"/>
    <m/>
    <s v=""/>
    <x v="0"/>
    <x v="3"/>
    <s v="Q3"/>
    <x v="0"/>
  </r>
  <r>
    <s v="EOS0574"/>
    <d v="2025-08-16T00:00:00"/>
    <s v="WA"/>
    <m/>
    <s v="Pathan akbarkhan"/>
    <m/>
    <s v="Gujarat"/>
    <s v="Rejected"/>
    <n v="108000"/>
    <n v="107573"/>
    <s v="Rejected"/>
    <x v="0"/>
    <m/>
    <s v=""/>
    <x v="0"/>
    <x v="3"/>
    <s v="Q3"/>
    <x v="0"/>
  </r>
  <r>
    <s v="EOS0575"/>
    <d v="2025-08-16T00:00:00"/>
    <s v="WA"/>
    <m/>
    <s v="Safayat Ali"/>
    <s v="Maheshpur"/>
    <s v="Bihar"/>
    <s v="Rejected"/>
    <n v="130000"/>
    <n v="107574"/>
    <s v="Rejected"/>
    <x v="0"/>
    <m/>
    <s v=""/>
    <x v="0"/>
    <x v="3"/>
    <s v="Q3"/>
    <x v="3"/>
  </r>
  <r>
    <s v="EOS0576"/>
    <d v="2025-08-16T00:00:00"/>
    <s v="FB"/>
    <s v="FB"/>
    <s v="Kuldip Patel"/>
    <s v=" Bhavnagar"/>
    <s v="Gujarat"/>
    <s v="Rejected"/>
    <n v="130000"/>
    <n v="107575"/>
    <s v="Rejected"/>
    <x v="0"/>
    <m/>
    <s v=""/>
    <x v="0"/>
    <x v="3"/>
    <s v="Q3"/>
    <x v="0"/>
  </r>
  <r>
    <s v="EOS0577"/>
    <d v="2025-08-16T00:00:00"/>
    <s v="FB"/>
    <s v="FB"/>
    <s v="Bharatsinh solanki"/>
    <s v="godhra"/>
    <s v="Gujarat"/>
    <s v="Rejected"/>
    <n v="177000"/>
    <n v="107576"/>
    <s v="Rejected"/>
    <x v="0"/>
    <m/>
    <s v=""/>
    <x v="1"/>
    <x v="3"/>
    <s v="Q3"/>
    <x v="0"/>
  </r>
  <r>
    <s v="EOS0578"/>
    <d v="2025-08-16T00:00:00"/>
    <s v="FB"/>
    <s v="FB"/>
    <s v="Meer Ramabhai"/>
    <m/>
    <s v="Gujarat"/>
    <s v="Rejected"/>
    <n v="108000"/>
    <n v="107577"/>
    <s v="Rejected"/>
    <x v="0"/>
    <m/>
    <s v=""/>
    <x v="0"/>
    <x v="3"/>
    <s v="Q3"/>
    <x v="0"/>
  </r>
  <r>
    <s v="EOS0579"/>
    <d v="2025-08-16T00:00:00"/>
    <s v="FB"/>
    <s v="FB"/>
    <s v="Patel Prince"/>
    <m/>
    <s v="Gujarat"/>
    <s v="Rejected"/>
    <n v="130000"/>
    <n v="107578"/>
    <s v="Rejected"/>
    <x v="0"/>
    <m/>
    <s v=""/>
    <x v="0"/>
    <x v="3"/>
    <s v="Q3"/>
    <x v="0"/>
  </r>
  <r>
    <s v="EOS0580"/>
    <d v="2025-08-18T00:00:00"/>
    <s v="FB"/>
    <s v="FB"/>
    <s v="Hardik "/>
    <m/>
    <s v="Gujarat"/>
    <s v="Rejected"/>
    <n v="108000"/>
    <n v="107579"/>
    <s v="Rejected"/>
    <x v="0"/>
    <m/>
    <s v=""/>
    <x v="0"/>
    <x v="3"/>
    <s v="Q3"/>
    <x v="0"/>
  </r>
  <r>
    <s v="EOS0581"/>
    <d v="2025-08-18T00:00:00"/>
    <s v="FB"/>
    <s v="FB"/>
    <s v="Talha Shaikh"/>
    <s v="Valsad"/>
    <s v="Gujarat"/>
    <s v="Rejected"/>
    <n v="308000"/>
    <n v="107580"/>
    <s v="Rejected"/>
    <x v="0"/>
    <m/>
    <s v=""/>
    <x v="2"/>
    <x v="3"/>
    <s v="Q3"/>
    <x v="0"/>
  </r>
  <r>
    <s v="EOS0582"/>
    <d v="2025-08-18T00:00:00"/>
    <s v="FB"/>
    <s v="FB"/>
    <s v="Mohitt G Maru"/>
    <s v="Rajkot"/>
    <s v="Gujarat"/>
    <s v="Rejected"/>
    <n v="130000"/>
    <n v="107581"/>
    <s v="Rejected"/>
    <x v="0"/>
    <m/>
    <s v=""/>
    <x v="0"/>
    <x v="3"/>
    <s v="Q3"/>
    <x v="0"/>
  </r>
  <r>
    <s v="EOS0583"/>
    <d v="2025-08-18T00:00:00"/>
    <s v="FB"/>
    <s v="FB"/>
    <s v="Kishore M Maganani"/>
    <m/>
    <s v="Gujarat"/>
    <s v="Rejected"/>
    <n v="108000"/>
    <n v="107582"/>
    <s v="Rejected"/>
    <x v="0"/>
    <m/>
    <s v=""/>
    <x v="0"/>
    <x v="3"/>
    <s v="Q3"/>
    <x v="0"/>
  </r>
  <r>
    <s v="EOS0584"/>
    <d v="2025-08-18T00:00:00"/>
    <s v="WA"/>
    <m/>
    <s v="Ashish Ladua"/>
    <s v="Veraval "/>
    <s v="Gujarat"/>
    <s v="Rejected"/>
    <n v="177000"/>
    <n v="107583"/>
    <s v="Rejected"/>
    <x v="0"/>
    <m/>
    <s v=""/>
    <x v="1"/>
    <x v="3"/>
    <s v="Q3"/>
    <x v="0"/>
  </r>
  <r>
    <s v="EOS0585"/>
    <d v="2025-08-19T00:00:00"/>
    <s v="WA"/>
    <m/>
    <s v="Adnan Ansari"/>
    <s v="Ahmedabad"/>
    <s v="Gujarat"/>
    <s v="Rejected"/>
    <n v="130000"/>
    <n v="107584"/>
    <s v="Rejected"/>
    <x v="0"/>
    <m/>
    <s v=""/>
    <x v="0"/>
    <x v="3"/>
    <s v="Q3"/>
    <x v="0"/>
  </r>
  <r>
    <s v="EOS0586"/>
    <d v="2025-08-19T00:00:00"/>
    <s v="WA"/>
    <m/>
    <s v="Samir patel"/>
    <m/>
    <s v="Gujarat"/>
    <s v="Rejected"/>
    <n v="108000"/>
    <n v="107585"/>
    <s v="Rejected"/>
    <x v="0"/>
    <m/>
    <s v=""/>
    <x v="0"/>
    <x v="3"/>
    <s v="Q3"/>
    <x v="0"/>
  </r>
  <r>
    <s v="EOS0587"/>
    <d v="2025-08-19T00:00:00"/>
    <s v="WA"/>
    <m/>
    <s v="Shravanbhai kevabhai"/>
    <m/>
    <s v="Gujarat "/>
    <s v="Rejected"/>
    <n v="130000"/>
    <n v="107586"/>
    <s v="Rejected"/>
    <x v="0"/>
    <m/>
    <s v=""/>
    <x v="0"/>
    <x v="3"/>
    <s v="Q3"/>
    <x v="0"/>
  </r>
  <r>
    <s v="EOS0588"/>
    <d v="2025-08-19T00:00:00"/>
    <s v="WA"/>
    <m/>
    <s v="Govind Rastogi"/>
    <m/>
    <s v="Gujarat "/>
    <s v="Rejected"/>
    <n v="108000"/>
    <n v="107587"/>
    <s v="Rejected"/>
    <x v="0"/>
    <m/>
    <s v=""/>
    <x v="0"/>
    <x v="3"/>
    <s v="Q3"/>
    <x v="0"/>
  </r>
  <r>
    <s v="EOS0589"/>
    <d v="2025-08-19T00:00:00"/>
    <s v="WA"/>
    <m/>
    <s v="Satya Ranjan Nayak"/>
    <m/>
    <s v="Gujarat "/>
    <s v="Rejected"/>
    <n v="130000"/>
    <n v="107588"/>
    <s v="Rejected"/>
    <x v="0"/>
    <m/>
    <s v=""/>
    <x v="0"/>
    <x v="3"/>
    <s v="Q3"/>
    <x v="0"/>
  </r>
  <r>
    <s v="EOS0590"/>
    <d v="2025-08-19T00:00:00"/>
    <s v="WA"/>
    <m/>
    <s v="milan "/>
    <m/>
    <s v="Gujarat "/>
    <s v="Rejected"/>
    <n v="130000"/>
    <n v="107589"/>
    <s v="Rejected"/>
    <x v="0"/>
    <m/>
    <s v=""/>
    <x v="0"/>
    <x v="3"/>
    <s v="Q3"/>
    <x v="0"/>
  </r>
  <r>
    <s v="EOS0591"/>
    <d v="2025-08-19T00:00:00"/>
    <s v="WA"/>
    <m/>
    <s v="DHIREN"/>
    <m/>
    <s v="Gujarat "/>
    <s v="Rejected"/>
    <n v="308000"/>
    <n v="107590"/>
    <s v="Rejected"/>
    <x v="0"/>
    <m/>
    <s v=""/>
    <x v="2"/>
    <x v="3"/>
    <s v="Q3"/>
    <x v="0"/>
  </r>
  <r>
    <s v="EOS0592"/>
    <d v="2025-08-19T00:00:00"/>
    <s v="WA"/>
    <m/>
    <s v="Paresh Patel"/>
    <m/>
    <s v="Gujarat "/>
    <s v="Rejected"/>
    <n v="108000"/>
    <n v="107591"/>
    <s v="Rejected"/>
    <x v="0"/>
    <m/>
    <s v=""/>
    <x v="0"/>
    <x v="3"/>
    <s v="Q3"/>
    <x v="0"/>
  </r>
  <r>
    <s v="EOS0593"/>
    <d v="2025-08-20T00:00:00"/>
    <s v="FB"/>
    <s v="FB"/>
    <s v="Raja Malik"/>
    <s v="Vadodara"/>
    <s v="Gujarat"/>
    <s v="Rejected"/>
    <n v="130000"/>
    <n v="107592"/>
    <s v="Rejected"/>
    <x v="0"/>
    <m/>
    <s v=""/>
    <x v="0"/>
    <x v="3"/>
    <s v="Q3"/>
    <x v="0"/>
  </r>
  <r>
    <s v="EOS0594"/>
    <d v="2025-08-20T00:00:00"/>
    <s v="FB"/>
    <s v="FB"/>
    <s v="Ayaan"/>
    <m/>
    <s v="Gujarat"/>
    <s v="Rejected"/>
    <n v="108000"/>
    <n v="107593"/>
    <s v="Rejected"/>
    <x v="0"/>
    <m/>
    <s v=""/>
    <x v="0"/>
    <x v="3"/>
    <s v="Q3"/>
    <x v="0"/>
  </r>
  <r>
    <s v="EOS0595"/>
    <d v="2025-08-20T00:00:00"/>
    <s v="FB"/>
    <s v="FB"/>
    <s v="Aand Sodha"/>
    <m/>
    <s v="Gujarat"/>
    <s v="Rejected"/>
    <n v="130000"/>
    <n v="107594"/>
    <s v="Rejected"/>
    <x v="0"/>
    <m/>
    <s v=""/>
    <x v="0"/>
    <x v="3"/>
    <s v="Q3"/>
    <x v="0"/>
  </r>
  <r>
    <s v="EOS0596"/>
    <d v="2025-08-20T00:00:00"/>
    <s v="FB"/>
    <s v="FB"/>
    <s v="Jitubhai Makwana"/>
    <s v=" Bhavnagar"/>
    <s v="Gujarat "/>
    <s v="Rejected"/>
    <n v="108000"/>
    <n v="107595"/>
    <s v="Rejected"/>
    <x v="0"/>
    <m/>
    <s v=""/>
    <x v="0"/>
    <x v="3"/>
    <s v="Q3"/>
    <x v="0"/>
  </r>
  <r>
    <s v="EOS0597"/>
    <d v="2025-08-20T00:00:00"/>
    <s v="FB"/>
    <s v="FB"/>
    <s v="hemang nathani"/>
    <s v="Ahmedabad"/>
    <s v="Gujarat "/>
    <s v="Rejected"/>
    <n v="130000"/>
    <n v="107596"/>
    <s v="Rejected"/>
    <x v="0"/>
    <m/>
    <s v=""/>
    <x v="0"/>
    <x v="3"/>
    <s v="Q3"/>
    <x v="0"/>
  </r>
  <r>
    <s v="EOS0598"/>
    <d v="2025-08-20T00:00:00"/>
    <s v="FB"/>
    <s v="FB"/>
    <s v="Jasani Suresh "/>
    <m/>
    <s v="Gujarat"/>
    <s v="Rejected"/>
    <n v="130000"/>
    <n v="107597"/>
    <s v="Rejected"/>
    <x v="0"/>
    <m/>
    <s v=""/>
    <x v="0"/>
    <x v="3"/>
    <s v="Q3"/>
    <x v="0"/>
  </r>
  <r>
    <s v="EOS0599"/>
    <d v="2025-08-20T00:00:00"/>
    <s v="FB"/>
    <s v="FB"/>
    <s v="Savan Ahir"/>
    <m/>
    <s v="Gujarat"/>
    <s v="Rejected"/>
    <n v="108000"/>
    <n v="107598"/>
    <s v="Rejected"/>
    <x v="0"/>
    <m/>
    <s v=""/>
    <x v="0"/>
    <x v="3"/>
    <s v="Q3"/>
    <x v="0"/>
  </r>
  <r>
    <s v="EOS0600"/>
    <d v="2025-08-20T00:00:00"/>
    <s v="FB"/>
    <s v="FB"/>
    <s v="Janak "/>
    <m/>
    <s v="Gujarat"/>
    <s v="Rejected"/>
    <n v="108000"/>
    <n v="107599"/>
    <s v="Rejected"/>
    <x v="0"/>
    <m/>
    <s v=""/>
    <x v="0"/>
    <x v="3"/>
    <s v="Q3"/>
    <x v="0"/>
  </r>
  <r>
    <s v="EOS0601"/>
    <d v="2025-08-20T00:00:00"/>
    <s v="FB"/>
    <s v="FB"/>
    <s v="kateshiya_vijay"/>
    <s v="Rajkot"/>
    <s v="Gujarat"/>
    <s v="Rejected"/>
    <n v="130000"/>
    <n v="107600"/>
    <s v="Rejected"/>
    <x v="0"/>
    <m/>
    <s v=""/>
    <x v="0"/>
    <x v="3"/>
    <s v="Q3"/>
    <x v="0"/>
  </r>
  <r>
    <s v="EOS0602"/>
    <d v="2025-08-20T00:00:00"/>
    <s v="FB"/>
    <s v="FB"/>
    <s v="Rajni Bharai"/>
    <s v="Jamnagar"/>
    <s v="Gujarat"/>
    <s v="Rejected"/>
    <n v="108000"/>
    <n v="107601"/>
    <s v="Rejected"/>
    <x v="0"/>
    <m/>
    <s v=""/>
    <x v="0"/>
    <x v="3"/>
    <s v="Q3"/>
    <x v="0"/>
  </r>
  <r>
    <s v="EOS0603"/>
    <d v="2025-08-20T00:00:00"/>
    <s v="FB"/>
    <s v="FB"/>
    <s v="Hari"/>
    <m/>
    <m/>
    <s v="Rejected"/>
    <n v="108000"/>
    <n v="107602"/>
    <s v="Rejected"/>
    <x v="0"/>
    <m/>
    <s v=""/>
    <x v="0"/>
    <x v="3"/>
    <s v="Q3"/>
    <x v="4"/>
  </r>
  <r>
    <s v="EOS0604"/>
    <d v="2025-08-20T00:00:00"/>
    <s v="FB"/>
    <s v="FB"/>
    <s v="Sagathiya BJ"/>
    <m/>
    <s v="Punjab"/>
    <s v="Rejected"/>
    <n v="130000"/>
    <n v="107603"/>
    <s v="Rejected"/>
    <x v="0"/>
    <m/>
    <s v=""/>
    <x v="0"/>
    <x v="3"/>
    <s v="Q3"/>
    <x v="1"/>
  </r>
  <r>
    <s v="EOS0605"/>
    <d v="2025-08-20T00:00:00"/>
    <s v="FB"/>
    <s v="FB"/>
    <s v="Sambhu Singh Rajput"/>
    <s v="Ahmedabad"/>
    <s v="Gujarat"/>
    <s v="Rejected"/>
    <n v="108000"/>
    <n v="107604"/>
    <s v="Rejected"/>
    <x v="0"/>
    <m/>
    <s v=""/>
    <x v="0"/>
    <x v="3"/>
    <s v="Q3"/>
    <x v="0"/>
  </r>
  <r>
    <s v="EOS0606"/>
    <d v="2025-08-20T00:00:00"/>
    <s v="WA"/>
    <m/>
    <s v="shalini maurya"/>
    <m/>
    <s v="Gujarat"/>
    <s v="Rejected"/>
    <n v="108000"/>
    <n v="107605"/>
    <s v="Rejected"/>
    <x v="0"/>
    <m/>
    <s v=""/>
    <x v="0"/>
    <x v="3"/>
    <s v="Q3"/>
    <x v="0"/>
  </r>
  <r>
    <s v="EOS0607"/>
    <d v="2025-08-20T00:00:00"/>
    <s v="WA"/>
    <m/>
    <s v="Anil Kumar yadav"/>
    <s v="Bereli"/>
    <s v="Uttar Pradesh"/>
    <s v="Rejected"/>
    <n v="130000"/>
    <n v="107606"/>
    <s v="Rejected"/>
    <x v="0"/>
    <m/>
    <s v=""/>
    <x v="0"/>
    <x v="3"/>
    <s v="Q3"/>
    <x v="1"/>
  </r>
  <r>
    <s v="EOS0608"/>
    <d v="2025-08-20T00:00:00"/>
    <s v="WA"/>
    <m/>
    <s v="DHIREN"/>
    <m/>
    <m/>
    <s v="Rejected"/>
    <n v="130000"/>
    <n v="107607"/>
    <s v="Rejected"/>
    <x v="0"/>
    <m/>
    <s v=""/>
    <x v="0"/>
    <x v="3"/>
    <s v="Q3"/>
    <x v="4"/>
  </r>
  <r>
    <s v="EOS0609"/>
    <d v="2025-08-21T00:00:00"/>
    <s v="FB"/>
    <s v="FB"/>
    <s v="Sanjay Thakor"/>
    <s v="Mehsana"/>
    <s v="Gujarat"/>
    <s v="Rejected"/>
    <n v="130000"/>
    <n v="107608"/>
    <s v="Rejected"/>
    <x v="0"/>
    <m/>
    <s v=""/>
    <x v="0"/>
    <x v="3"/>
    <s v="Q3"/>
    <x v="0"/>
  </r>
  <r>
    <s v="EOS0610"/>
    <d v="2025-08-21T00:00:00"/>
    <s v="FB"/>
    <s v="FB"/>
    <s v="Zala "/>
    <s v="Balasinor"/>
    <s v="Gujarat"/>
    <s v="Rejected"/>
    <n v="130000"/>
    <n v="107609"/>
    <s v="Rejected"/>
    <x v="0"/>
    <m/>
    <s v=""/>
    <x v="0"/>
    <x v="3"/>
    <s v="Q3"/>
    <x v="0"/>
  </r>
  <r>
    <s v="EOS0611"/>
    <d v="2025-08-22T00:00:00"/>
    <s v="WA"/>
    <m/>
    <s v=" ANIL"/>
    <m/>
    <m/>
    <s v="Rejected"/>
    <n v="130000"/>
    <n v="107610"/>
    <s v="Rejected"/>
    <x v="0"/>
    <m/>
    <s v=""/>
    <x v="0"/>
    <x v="3"/>
    <s v="Q3"/>
    <x v="4"/>
  </r>
  <r>
    <s v="EOS0612"/>
    <d v="2025-08-22T00:00:00"/>
    <s v="WA"/>
    <m/>
    <s v="Arun Kumar Rathor"/>
    <m/>
    <s v="Uttar Pradesh "/>
    <s v="Rejected"/>
    <n v="177000"/>
    <n v="107611"/>
    <s v="Rejected"/>
    <x v="0"/>
    <m/>
    <s v=""/>
    <x v="1"/>
    <x v="3"/>
    <s v="Q3"/>
    <x v="1"/>
  </r>
  <r>
    <s v="EOS0613"/>
    <d v="2025-04-21T00:00:00"/>
    <s v="WA"/>
    <m/>
    <s v="Manishkumar mistry"/>
    <m/>
    <s v="Gujarat"/>
    <s v="Rejected"/>
    <n v="130000"/>
    <n v="107612"/>
    <s v="Rejected"/>
    <x v="0"/>
    <m/>
    <s v=""/>
    <x v="0"/>
    <x v="4"/>
    <s v="Q2"/>
    <x v="0"/>
  </r>
  <r>
    <s v="EOS0614"/>
    <d v="2025-08-22T00:00:00"/>
    <s v="FB"/>
    <s v="FB"/>
    <s v="na"/>
    <m/>
    <s v="Gujarat"/>
    <s v="Rejected"/>
    <n v="177000"/>
    <n v="107613"/>
    <s v="Rejected"/>
    <x v="0"/>
    <m/>
    <s v=""/>
    <x v="1"/>
    <x v="3"/>
    <s v="Q3"/>
    <x v="0"/>
  </r>
  <r>
    <s v="EOS0615"/>
    <d v="2025-08-22T00:00:00"/>
    <s v="FB"/>
    <s v="FB"/>
    <s v="lala Bharwad "/>
    <m/>
    <s v="Gujarat"/>
    <s v="Rejected"/>
    <n v="130000"/>
    <n v="107614"/>
    <s v="Rejected"/>
    <x v="0"/>
    <m/>
    <s v=""/>
    <x v="0"/>
    <x v="3"/>
    <s v="Q3"/>
    <x v="0"/>
  </r>
  <r>
    <s v="EOS0616"/>
    <d v="2025-08-23T00:00:00"/>
    <s v="WA"/>
    <m/>
    <s v="Mahavir Jain"/>
    <s v="Ahmedabad"/>
    <s v="Gujarat"/>
    <s v="Rejected"/>
    <n v="108000"/>
    <n v="107615"/>
    <s v="Rejected"/>
    <x v="0"/>
    <m/>
    <s v=""/>
    <x v="0"/>
    <x v="3"/>
    <s v="Q3"/>
    <x v="0"/>
  </r>
  <r>
    <s v="EOS0617"/>
    <d v="2025-08-25T00:00:00"/>
    <s v="FB"/>
    <s v="FB"/>
    <s v="Keyur Paghdal"/>
    <m/>
    <s v="Gujarat"/>
    <s v="Rejected"/>
    <n v="130000"/>
    <n v="107616"/>
    <s v="Rejected"/>
    <x v="0"/>
    <m/>
    <s v=""/>
    <x v="0"/>
    <x v="3"/>
    <s v="Q3"/>
    <x v="0"/>
  </r>
  <r>
    <s v="EOS0618"/>
    <d v="2025-08-25T00:00:00"/>
    <s v="FB"/>
    <s v="FB"/>
    <s v="Yogesh nai"/>
    <s v="Surat "/>
    <s v="Gujarat"/>
    <s v="Rejected"/>
    <n v="130000"/>
    <n v="107617"/>
    <s v="Rejected"/>
    <x v="0"/>
    <m/>
    <s v=""/>
    <x v="0"/>
    <x v="3"/>
    <s v="Q3"/>
    <x v="0"/>
  </r>
  <r>
    <s v="EOS0619"/>
    <d v="2025-08-25T00:00:00"/>
    <s v="FB"/>
    <s v="FB"/>
    <s v="Naim Noor"/>
    <m/>
    <s v="Gujarat"/>
    <s v="Rejected"/>
    <n v="177000"/>
    <n v="107618"/>
    <s v="Rejected"/>
    <x v="0"/>
    <m/>
    <s v=""/>
    <x v="1"/>
    <x v="3"/>
    <s v="Q3"/>
    <x v="0"/>
  </r>
  <r>
    <s v="EOS0620"/>
    <d v="2025-08-25T00:00:00"/>
    <s v="FB"/>
    <s v="FB"/>
    <s v="sajid sakhidas"/>
    <m/>
    <s v="Gujarat"/>
    <s v="Rejected"/>
    <n v="130000"/>
    <n v="107619"/>
    <s v="Rejected"/>
    <x v="0"/>
    <m/>
    <s v=""/>
    <x v="0"/>
    <x v="3"/>
    <s v="Q3"/>
    <x v="0"/>
  </r>
  <r>
    <s v="EOS0621"/>
    <d v="2025-08-25T00:00:00"/>
    <s v="FB"/>
    <s v="FB"/>
    <s v="Jayesh Parmar"/>
    <s v="vaah "/>
    <s v="Gujarat"/>
    <s v="Rejected"/>
    <n v="130000"/>
    <n v="107620"/>
    <s v="Rejected"/>
    <x v="0"/>
    <m/>
    <s v=""/>
    <x v="0"/>
    <x v="3"/>
    <s v="Q3"/>
    <x v="0"/>
  </r>
  <r>
    <s v="EOS0622"/>
    <d v="2025-08-25T00:00:00"/>
    <s v="WA"/>
    <m/>
    <s v="Dayabhai"/>
    <m/>
    <s v="Gujarat"/>
    <s v="Rejected"/>
    <n v="108000"/>
    <n v="107621"/>
    <s v="Rejected"/>
    <x v="0"/>
    <m/>
    <s v=""/>
    <x v="0"/>
    <x v="3"/>
    <s v="Q3"/>
    <x v="0"/>
  </r>
  <r>
    <s v="EOS0623"/>
    <d v="2025-08-25T00:00:00"/>
    <s v="WA"/>
    <m/>
    <s v="Ganesh Mahato"/>
    <m/>
    <s v="Gujarat"/>
    <s v="Rejected"/>
    <n v="108000"/>
    <n v="107622"/>
    <s v="Rejected"/>
    <x v="0"/>
    <m/>
    <s v=""/>
    <x v="0"/>
    <x v="3"/>
    <s v="Q3"/>
    <x v="0"/>
  </r>
  <r>
    <s v="EOS0624"/>
    <d v="2025-08-25T00:00:00"/>
    <s v="WA"/>
    <m/>
    <s v="Bhargav Mehra"/>
    <m/>
    <s v="Gujarat"/>
    <s v="Rejected"/>
    <n v="177000"/>
    <n v="107623"/>
    <s v="Rejected"/>
    <x v="0"/>
    <m/>
    <s v=""/>
    <x v="1"/>
    <x v="3"/>
    <s v="Q3"/>
    <x v="0"/>
  </r>
  <r>
    <s v="EOS0625"/>
    <d v="2025-08-25T00:00:00"/>
    <s v="WA"/>
    <m/>
    <s v="Gopal porwal"/>
    <m/>
    <s v="Gujarat"/>
    <s v="Rejected"/>
    <n v="177000"/>
    <n v="107624"/>
    <s v="Rejected"/>
    <x v="0"/>
    <m/>
    <s v=""/>
    <x v="1"/>
    <x v="3"/>
    <s v="Q3"/>
    <x v="0"/>
  </r>
  <r>
    <s v="EOS0626"/>
    <d v="2025-08-25T00:00:00"/>
    <s v="FB"/>
    <s v="FB"/>
    <s v="Kazi Faisal"/>
    <s v="Kadi"/>
    <s v="Gujarat"/>
    <s v="Rejected"/>
    <n v="177000"/>
    <n v="107625"/>
    <s v="Rejected"/>
    <x v="0"/>
    <m/>
    <s v=""/>
    <x v="1"/>
    <x v="3"/>
    <s v="Q3"/>
    <x v="0"/>
  </r>
  <r>
    <s v="EOS0627"/>
    <d v="2025-08-25T00:00:00"/>
    <s v="FB"/>
    <s v="FB"/>
    <s v="Precision Telecom"/>
    <s v="Amreli"/>
    <s v="Gujarat"/>
    <s v="Rejected"/>
    <n v="130000"/>
    <n v="107626"/>
    <s v="Rejected"/>
    <x v="0"/>
    <m/>
    <s v=""/>
    <x v="0"/>
    <x v="3"/>
    <s v="Q3"/>
    <x v="0"/>
  </r>
  <r>
    <s v="EOS0628"/>
    <d v="2025-08-25T00:00:00"/>
    <s v="FB"/>
    <s v="FB"/>
    <s v="SANJAY ALGOTAR"/>
    <m/>
    <s v="Gujarat"/>
    <s v="Rejected"/>
    <n v="130000"/>
    <n v="107627"/>
    <s v="Rejected"/>
    <x v="0"/>
    <m/>
    <s v=""/>
    <x v="0"/>
    <x v="3"/>
    <s v="Q3"/>
    <x v="0"/>
  </r>
  <r>
    <s v="EOS0629"/>
    <d v="2025-08-25T00:00:00"/>
    <s v="WA"/>
    <m/>
    <s v="Haresh H Nihalani"/>
    <m/>
    <s v="Gujarat"/>
    <s v="Rejected"/>
    <n v="130000"/>
    <n v="107628"/>
    <s v="Rejected"/>
    <x v="0"/>
    <m/>
    <s v=""/>
    <x v="0"/>
    <x v="3"/>
    <s v="Q3"/>
    <x v="0"/>
  </r>
  <r>
    <s v="EOS0630"/>
    <d v="2025-08-25T00:00:00"/>
    <s v="WA"/>
    <m/>
    <s v="Pratyush sahani"/>
    <s v="Gorakhpur"/>
    <s v="Uttar Pradesh "/>
    <s v="Rejected"/>
    <n v="130000"/>
    <n v="107629"/>
    <s v="Deal"/>
    <x v="1"/>
    <m/>
    <s v=""/>
    <x v="0"/>
    <x v="3"/>
    <s v="Q3"/>
    <x v="1"/>
  </r>
  <r>
    <s v="EOS0631"/>
    <d v="2025-08-27T00:00:00"/>
    <s v="WA"/>
    <m/>
    <s v="Rahul Gujar"/>
    <m/>
    <s v="Gujarat"/>
    <s v="Rejected"/>
    <n v="130000"/>
    <n v="107630"/>
    <s v="Rejected"/>
    <x v="0"/>
    <m/>
    <s v=""/>
    <x v="0"/>
    <x v="3"/>
    <s v="Q3"/>
    <x v="0"/>
  </r>
  <r>
    <s v="EOS0632"/>
    <d v="2025-08-28T00:00:00"/>
    <s v="FB"/>
    <s v="FB"/>
    <s v="Jayesh R Tarasriya"/>
    <m/>
    <s v="Gujarat"/>
    <s v="Rejected"/>
    <n v="108000"/>
    <n v="107631"/>
    <s v="Rejected"/>
    <x v="0"/>
    <m/>
    <s v=""/>
    <x v="0"/>
    <x v="3"/>
    <s v="Q3"/>
    <x v="0"/>
  </r>
  <r>
    <s v="EOS0633"/>
    <d v="2025-08-28T00:00:00"/>
    <s v="WA"/>
    <m/>
    <s v="Arjun Mata"/>
    <s v="Bharuch"/>
    <s v="Gujarat "/>
    <s v="Rejected"/>
    <n v="130000"/>
    <n v="107632"/>
    <s v="Rejected"/>
    <x v="0"/>
    <m/>
    <s v=""/>
    <x v="0"/>
    <x v="3"/>
    <s v="Q3"/>
    <x v="0"/>
  </r>
  <r>
    <s v="EOS0634"/>
    <d v="2025-08-28T00:00:00"/>
    <s v="WA"/>
    <m/>
    <s v="Vipul jain"/>
    <m/>
    <s v="Gujarat "/>
    <s v="Rejected"/>
    <n v="177000"/>
    <n v="107633"/>
    <s v="Rejected"/>
    <x v="0"/>
    <m/>
    <s v=""/>
    <x v="1"/>
    <x v="3"/>
    <s v="Q3"/>
    <x v="0"/>
  </r>
  <r>
    <s v="EOS0635"/>
    <d v="2025-08-28T00:00:00"/>
    <s v="WA"/>
    <m/>
    <s v="Ankit BHADORIYA"/>
    <m/>
    <s v="Gujarat "/>
    <s v="Rejected"/>
    <n v="108000"/>
    <n v="107634"/>
    <s v="Rejected"/>
    <x v="0"/>
    <m/>
    <s v=""/>
    <x v="0"/>
    <x v="3"/>
    <s v="Q3"/>
    <x v="0"/>
  </r>
  <r>
    <s v="EOS0636"/>
    <d v="2025-08-28T00:00:00"/>
    <s v="FB"/>
    <s v="FB"/>
    <s v="Tejash Gohil"/>
    <m/>
    <s v="Gujarat "/>
    <s v="Rejected"/>
    <n v="177000"/>
    <n v="107635"/>
    <s v="Rejected"/>
    <x v="0"/>
    <m/>
    <s v=""/>
    <x v="1"/>
    <x v="3"/>
    <s v="Q3"/>
    <x v="0"/>
  </r>
  <r>
    <s v="EOS0637"/>
    <d v="2025-08-28T00:00:00"/>
    <s v="FB"/>
    <s v="FB"/>
    <s v="Mogal Cris"/>
    <s v="Gondal "/>
    <s v="Gujarat "/>
    <s v="Rejected"/>
    <n v="177000"/>
    <n v="107636"/>
    <s v="Rejected"/>
    <x v="0"/>
    <m/>
    <s v=""/>
    <x v="1"/>
    <x v="3"/>
    <s v="Q3"/>
    <x v="0"/>
  </r>
  <r>
    <s v="EOS0638"/>
    <d v="2025-08-28T00:00:00"/>
    <s v="FB"/>
    <s v="FB"/>
    <s v="Dhaval Dasadiya"/>
    <s v="Surendranagar"/>
    <s v="Gujarat "/>
    <s v="Rejected"/>
    <n v="108000"/>
    <n v="107637"/>
    <s v="Rejected"/>
    <x v="0"/>
    <m/>
    <s v=""/>
    <x v="0"/>
    <x v="3"/>
    <s v="Q3"/>
    <x v="0"/>
  </r>
  <r>
    <s v="EOS0639"/>
    <d v="2025-08-28T00:00:00"/>
    <s v="FB"/>
    <s v="FB"/>
    <s v="Faishal yakubbhai patel"/>
    <m/>
    <s v="Gujarat "/>
    <s v="Rejected"/>
    <n v="108000"/>
    <n v="107638"/>
    <s v="Rejected"/>
    <x v="0"/>
    <m/>
    <s v=""/>
    <x v="0"/>
    <x v="3"/>
    <s v="Q3"/>
    <x v="0"/>
  </r>
  <r>
    <s v="EOS0640"/>
    <d v="2025-08-28T00:00:00"/>
    <s v="FB"/>
    <s v="FB"/>
    <s v="SADHU YASH"/>
    <m/>
    <s v="Gujarat "/>
    <s v="Rejected"/>
    <n v="130000"/>
    <n v="107639"/>
    <s v="Rejected"/>
    <x v="0"/>
    <m/>
    <s v=""/>
    <x v="0"/>
    <x v="3"/>
    <s v="Q3"/>
    <x v="0"/>
  </r>
  <r>
    <s v="EOS0641"/>
    <d v="2025-08-28T00:00:00"/>
    <s v="FB"/>
    <s v="FB"/>
    <s v="Hitesh Shah"/>
    <m/>
    <s v="Gujarat "/>
    <s v="Rejected"/>
    <n v="130000"/>
    <n v="107640"/>
    <s v="Rejected"/>
    <x v="0"/>
    <m/>
    <s v=""/>
    <x v="0"/>
    <x v="3"/>
    <s v="Q3"/>
    <x v="0"/>
  </r>
  <r>
    <s v="EOS0642"/>
    <d v="2025-08-28T00:00:00"/>
    <s v="FB"/>
    <s v="FB"/>
    <s v="Mohammed hafiz"/>
    <m/>
    <s v="Gujarat "/>
    <s v="Rejected"/>
    <n v="108000"/>
    <n v="107641"/>
    <s v="Rejected"/>
    <x v="0"/>
    <m/>
    <s v=""/>
    <x v="0"/>
    <x v="3"/>
    <s v="Q3"/>
    <x v="0"/>
  </r>
  <r>
    <s v="EOS0643"/>
    <d v="2025-08-28T00:00:00"/>
    <s v="FB"/>
    <s v="FB"/>
    <s v="Amardeepsinh Rajput"/>
    <m/>
    <s v="Gujarat "/>
    <s v="Rejected"/>
    <n v="108000"/>
    <n v="107642"/>
    <s v="Rejected"/>
    <x v="0"/>
    <m/>
    <s v=""/>
    <x v="0"/>
    <x v="3"/>
    <s v="Q3"/>
    <x v="0"/>
  </r>
  <r>
    <s v="EOS0644"/>
    <d v="2025-08-28T00:00:00"/>
    <s v="FB"/>
    <s v="FB"/>
    <s v="Belim Rizwan"/>
    <s v="Palanpur"/>
    <s v="Gujarat "/>
    <s v="Rejected"/>
    <n v="108000"/>
    <n v="107643"/>
    <s v="Rejected"/>
    <x v="0"/>
    <m/>
    <s v=""/>
    <x v="0"/>
    <x v="3"/>
    <s v="Q3"/>
    <x v="0"/>
  </r>
  <r>
    <s v="EOS0645"/>
    <d v="2025-08-28T00:00:00"/>
    <s v="FB"/>
    <s v="FB"/>
    <s v="dhruvil "/>
    <m/>
    <s v="Gujarat "/>
    <s v="Rejected"/>
    <n v="108000"/>
    <n v="107644"/>
    <s v="Rejected"/>
    <x v="0"/>
    <m/>
    <s v=""/>
    <x v="0"/>
    <x v="3"/>
    <s v="Q3"/>
    <x v="0"/>
  </r>
  <r>
    <s v="EOS0646"/>
    <d v="2025-08-28T00:00:00"/>
    <s v="FB"/>
    <s v="FB"/>
    <s v="Bhuva Rushik"/>
    <s v="Rajkot"/>
    <s v="Gujarat "/>
    <s v="Rejected"/>
    <n v="108000"/>
    <n v="107645"/>
    <s v="Rejected"/>
    <x v="0"/>
    <m/>
    <s v=""/>
    <x v="0"/>
    <x v="3"/>
    <s v="Q3"/>
    <x v="0"/>
  </r>
  <r>
    <s v="EOS0647"/>
    <d v="2025-08-28T00:00:00"/>
    <s v="WA"/>
    <m/>
    <s v="Rahul Gujar"/>
    <m/>
    <s v="Madhya Pradesh"/>
    <s v="Rejected"/>
    <n v="177000"/>
    <n v="107646"/>
    <s v="Deal"/>
    <x v="1"/>
    <m/>
    <s v=""/>
    <x v="1"/>
    <x v="3"/>
    <s v="Q3"/>
    <x v="2"/>
  </r>
  <r>
    <s v="EOS0648"/>
    <d v="2025-08-28T00:00:00"/>
    <s v="WA"/>
    <m/>
    <s v="Utsav sharma"/>
    <s v="Sehore"/>
    <s v="Gujarat "/>
    <s v="Rejected"/>
    <n v="108000"/>
    <n v="107647"/>
    <s v="Rejected"/>
    <x v="0"/>
    <m/>
    <s v=""/>
    <x v="0"/>
    <x v="3"/>
    <s v="Q3"/>
    <x v="0"/>
  </r>
  <r>
    <s v="EOS0649"/>
    <d v="2025-08-28T00:00:00"/>
    <s v="WA"/>
    <m/>
    <s v="Sharad Harishchandra dave"/>
    <s v="Surat "/>
    <s v="Gujarat "/>
    <s v="Rejected"/>
    <n v="130000"/>
    <n v="107648"/>
    <s v="Rejected"/>
    <x v="0"/>
    <m/>
    <s v=""/>
    <x v="0"/>
    <x v="3"/>
    <s v="Q3"/>
    <x v="0"/>
  </r>
  <r>
    <s v="EOS0650"/>
    <d v="2025-08-28T00:00:00"/>
    <s v="FB"/>
    <s v="FB"/>
    <s v="Akshay Vaghela"/>
    <m/>
    <s v="Gujarat "/>
    <s v="Rejected"/>
    <n v="130000"/>
    <n v="107649"/>
    <s v="Rejected"/>
    <x v="0"/>
    <m/>
    <s v=""/>
    <x v="0"/>
    <x v="3"/>
    <s v="Q3"/>
    <x v="0"/>
  </r>
  <r>
    <s v="EOS0651"/>
    <d v="2025-08-29T00:00:00"/>
    <s v="FB"/>
    <s v="FB"/>
    <s v="Dillip Senapati"/>
    <m/>
    <m/>
    <s v="Rejected"/>
    <n v="108000"/>
    <n v="107650"/>
    <s v="Rejected"/>
    <x v="0"/>
    <m/>
    <s v=""/>
    <x v="0"/>
    <x v="3"/>
    <s v="Q3"/>
    <x v="4"/>
  </r>
  <r>
    <s v="EOS0652"/>
    <d v="2025-08-29T00:00:00"/>
    <s v="WA"/>
    <m/>
    <s v="Soumen bhowmik"/>
    <m/>
    <s v="West Bengal"/>
    <s v="Rejected"/>
    <n v="130000"/>
    <n v="107651"/>
    <s v="Rejected"/>
    <x v="0"/>
    <m/>
    <s v=""/>
    <x v="0"/>
    <x v="3"/>
    <s v="Q3"/>
    <x v="3"/>
  </r>
  <r>
    <s v="EOS0653"/>
    <d v="2025-08-29T00:00:00"/>
    <s v="WA"/>
    <m/>
    <s v="Md.Safi Shah"/>
    <s v="Gotat"/>
    <s v="Gujarat"/>
    <s v="Rejected"/>
    <n v="130000"/>
    <n v="107652"/>
    <s v="Rejected"/>
    <x v="0"/>
    <m/>
    <s v=""/>
    <x v="0"/>
    <x v="3"/>
    <s v="Q3"/>
    <x v="0"/>
  </r>
  <r>
    <s v="EOS0654"/>
    <d v="2025-08-30T00:00:00"/>
    <s v="WA"/>
    <m/>
    <s v="Sameer "/>
    <m/>
    <s v="Uttar Pradesh "/>
    <s v="Rejected"/>
    <n v="108000"/>
    <n v="107653"/>
    <s v="Rejected"/>
    <x v="0"/>
    <m/>
    <s v=""/>
    <x v="0"/>
    <x v="3"/>
    <s v="Q3"/>
    <x v="1"/>
  </r>
  <r>
    <s v="EOS0655"/>
    <d v="2025-08-30T00:00:00"/>
    <s v="FB"/>
    <s v="FB"/>
    <s v="Sameer "/>
    <s v="jashi"/>
    <s v="Uttar Pradesh "/>
    <s v="Rejected"/>
    <n v="108000"/>
    <n v="107654"/>
    <s v="Rejected"/>
    <x v="0"/>
    <m/>
    <s v=""/>
    <x v="0"/>
    <x v="3"/>
    <s v="Q3"/>
    <x v="1"/>
  </r>
  <r>
    <s v="EOS0656"/>
    <d v="2025-08-30T00:00:00"/>
    <s v="FB"/>
    <s v="FB"/>
    <s v="Bharat"/>
    <m/>
    <s v="Gujarat"/>
    <s v="Rejected"/>
    <n v="108000"/>
    <n v="107655"/>
    <s v="Rejected"/>
    <x v="0"/>
    <m/>
    <s v=""/>
    <x v="0"/>
    <x v="3"/>
    <s v="Q3"/>
    <x v="0"/>
  </r>
  <r>
    <s v="EOS0657"/>
    <d v="2025-08-30T00:00:00"/>
    <s v="FB"/>
    <s v="FB"/>
    <s v="Pankaj D Parmar"/>
    <m/>
    <s v="Gujarat"/>
    <s v="Rejected"/>
    <n v="108000"/>
    <n v="107656"/>
    <s v="Rejected"/>
    <x v="0"/>
    <m/>
    <s v=""/>
    <x v="0"/>
    <x v="3"/>
    <s v="Q3"/>
    <x v="0"/>
  </r>
  <r>
    <s v="EOS0658"/>
    <d v="2025-08-30T00:00:00"/>
    <s v="FB"/>
    <s v="FB"/>
    <s v="Dinesh Shah"/>
    <m/>
    <s v="Gujarat"/>
    <s v="Rejected"/>
    <n v="108000"/>
    <n v="107657"/>
    <s v="Rejected"/>
    <x v="0"/>
    <m/>
    <s v=""/>
    <x v="0"/>
    <x v="3"/>
    <s v="Q3"/>
    <x v="0"/>
  </r>
  <r>
    <s v="EOS0659"/>
    <d v="2025-08-30T00:00:00"/>
    <s v="FB"/>
    <s v="FB"/>
    <s v="Ashish Baraiya"/>
    <m/>
    <s v="Gujarat"/>
    <s v="Rejected"/>
    <n v="130000"/>
    <n v="107658"/>
    <s v="Rejected"/>
    <x v="0"/>
    <m/>
    <s v=""/>
    <x v="0"/>
    <x v="3"/>
    <s v="Q3"/>
    <x v="0"/>
  </r>
  <r>
    <s v="EOS0660"/>
    <d v="2025-08-30T00:00:00"/>
    <s v="FB"/>
    <s v="FB"/>
    <s v="Nitin Bhanushali"/>
    <m/>
    <s v="Gujarat"/>
    <s v="Rejected"/>
    <n v="177000"/>
    <n v="107659"/>
    <s v="Rejected"/>
    <x v="0"/>
    <m/>
    <s v=""/>
    <x v="1"/>
    <x v="3"/>
    <s v="Q3"/>
    <x v="0"/>
  </r>
  <r>
    <s v="EOS0661"/>
    <d v="2025-08-31T00:00:00"/>
    <s v="FB"/>
    <s v="FB"/>
    <s v="Bhatti ARFAT"/>
    <s v="Jafarabad "/>
    <s v="Gujarat "/>
    <s v="Rejected"/>
    <n v="130000"/>
    <n v="107660"/>
    <s v="Rejected"/>
    <x v="0"/>
    <m/>
    <s v=""/>
    <x v="0"/>
    <x v="3"/>
    <s v="Q3"/>
    <x v="0"/>
  </r>
  <r>
    <s v="EOS0662"/>
    <d v="2025-08-31T00:00:00"/>
    <s v="FB"/>
    <s v="FB"/>
    <s v="Safvan"/>
    <s v="Godhra"/>
    <s v="Gujarat "/>
    <s v="Rejected"/>
    <n v="108000"/>
    <n v="107661"/>
    <s v="Rejected"/>
    <x v="0"/>
    <m/>
    <s v=""/>
    <x v="0"/>
    <x v="3"/>
    <s v="Q3"/>
    <x v="0"/>
  </r>
  <r>
    <s v="EOS0663"/>
    <d v="2025-08-31T00:00:00"/>
    <s v="FB"/>
    <s v="FB"/>
    <s v="Jignashu Shroff"/>
    <s v="Ahmedabad"/>
    <s v="Gujarat "/>
    <s v="Rejected"/>
    <n v="130000"/>
    <n v="107662"/>
    <s v="Rejected"/>
    <x v="0"/>
    <m/>
    <s v=""/>
    <x v="0"/>
    <x v="3"/>
    <s v="Q3"/>
    <x v="0"/>
  </r>
  <r>
    <s v="EOS0664"/>
    <d v="2025-08-31T00:00:00"/>
    <s v="FB"/>
    <s v="FB"/>
    <s v="Dhairya Joshi"/>
    <s v="Sidpur "/>
    <s v="Gujarat"/>
    <s v="Rejected"/>
    <n v="108000"/>
    <n v="107663"/>
    <s v="Rejected"/>
    <x v="0"/>
    <m/>
    <s v=""/>
    <x v="0"/>
    <x v="3"/>
    <s v="Q3"/>
    <x v="0"/>
  </r>
  <r>
    <s v="EOS0665"/>
    <d v="2025-08-31T00:00:00"/>
    <s v="FB"/>
    <s v="FB"/>
    <s v="Vaghri vinod kantibhai"/>
    <m/>
    <s v="Gujarat "/>
    <s v="Rejected"/>
    <n v="130000"/>
    <n v="107664"/>
    <s v="Rejected"/>
    <x v="0"/>
    <m/>
    <s v=""/>
    <x v="0"/>
    <x v="3"/>
    <s v="Q3"/>
    <x v="0"/>
  </r>
  <r>
    <s v="EOS0666"/>
    <d v="2025-08-31T00:00:00"/>
    <s v="FB"/>
    <s v="FB"/>
    <s v="Solanki aniruddhsinh i"/>
    <m/>
    <s v="Gujarat "/>
    <s v="Rejected"/>
    <n v="108000"/>
    <n v="107665"/>
    <s v="Rejected"/>
    <x v="0"/>
    <m/>
    <s v=""/>
    <x v="0"/>
    <x v="3"/>
    <s v="Q3"/>
    <x v="0"/>
  </r>
  <r>
    <s v="EOS0667"/>
    <d v="2025-08-31T00:00:00"/>
    <s v="FB"/>
    <s v="FB"/>
    <s v="ashish shah"/>
    <m/>
    <s v="Gujarat "/>
    <s v="Rejected"/>
    <n v="108000"/>
    <n v="107666"/>
    <s v="Rejected"/>
    <x v="0"/>
    <m/>
    <s v=""/>
    <x v="0"/>
    <x v="3"/>
    <s v="Q3"/>
    <x v="0"/>
  </r>
  <r>
    <s v="EOS0668"/>
    <d v="2025-08-31T00:00:00"/>
    <s v="FB"/>
    <s v="FB"/>
    <s v="Srujal Nayak"/>
    <s v="Mehsana"/>
    <s v="Gujarat "/>
    <s v="Rejected"/>
    <n v="108000"/>
    <n v="107667"/>
    <s v="Rejected"/>
    <x v="0"/>
    <m/>
    <s v=""/>
    <x v="0"/>
    <x v="3"/>
    <s v="Q3"/>
    <x v="0"/>
  </r>
  <r>
    <s v="EOS0669"/>
    <d v="2025-08-31T00:00:00"/>
    <s v="FB"/>
    <s v="FB"/>
    <s v="SHAILESH CHAUDHARY"/>
    <m/>
    <s v="Gujarat "/>
    <s v="Rejected"/>
    <n v="177000"/>
    <n v="107668"/>
    <s v="Rejected"/>
    <x v="0"/>
    <m/>
    <s v=""/>
    <x v="1"/>
    <x v="3"/>
    <s v="Q3"/>
    <x v="0"/>
  </r>
  <r>
    <s v="EOS0670"/>
    <d v="2025-08-31T00:00:00"/>
    <s v="FB"/>
    <s v="FB"/>
    <s v="NanDa upendra "/>
    <s v="Jamnagar"/>
    <s v="Gujarat "/>
    <s v="Rejected"/>
    <n v="108000"/>
    <n v="107669"/>
    <s v="Rejected"/>
    <x v="0"/>
    <m/>
    <s v=""/>
    <x v="0"/>
    <x v="3"/>
    <s v="Q3"/>
    <x v="0"/>
  </r>
  <r>
    <s v="EOS0671"/>
    <d v="2025-08-31T00:00:00"/>
    <s v="FB"/>
    <s v="FB"/>
    <s v="Gaurang Darodker"/>
    <s v="Ahmedabad"/>
    <s v="Gujarat "/>
    <s v="Rejected"/>
    <n v="108000"/>
    <n v="107670"/>
    <s v="Rejected"/>
    <x v="0"/>
    <m/>
    <s v=""/>
    <x v="0"/>
    <x v="3"/>
    <s v="Q3"/>
    <x v="0"/>
  </r>
  <r>
    <s v="EOS0672"/>
    <d v="2025-08-31T00:00:00"/>
    <s v="FB"/>
    <s v="FB"/>
    <s v="grish "/>
    <s v="Gandhinagar"/>
    <s v="Gujarat "/>
    <s v="Rejected"/>
    <n v="108000"/>
    <n v="107671"/>
    <s v="Rejected"/>
    <x v="0"/>
    <m/>
    <s v=""/>
    <x v="0"/>
    <x v="3"/>
    <s v="Q3"/>
    <x v="0"/>
  </r>
  <r>
    <s v="EOS0673"/>
    <d v="2025-08-31T00:00:00"/>
    <s v="FB"/>
    <s v="FB"/>
    <s v="Madhavendra"/>
    <s v="Agar"/>
    <s v="Uttar Pradesh "/>
    <s v="Rejected"/>
    <n v="130000"/>
    <n v="107672"/>
    <s v="Rejected"/>
    <x v="0"/>
    <m/>
    <s v=""/>
    <x v="0"/>
    <x v="3"/>
    <s v="Q3"/>
    <x v="1"/>
  </r>
  <r>
    <s v="EOS0674"/>
    <d v="2025-09-01T00:00:00"/>
    <s v="FB"/>
    <s v="FB"/>
    <s v="Amrut Gohil"/>
    <s v="Ahmedabad"/>
    <s v="Gujarat"/>
    <s v="Rejected"/>
    <n v="108000"/>
    <n v="107673"/>
    <s v="Rejected"/>
    <x v="0"/>
    <m/>
    <s v=""/>
    <x v="0"/>
    <x v="5"/>
    <s v="Q3"/>
    <x v="0"/>
  </r>
  <r>
    <s v="EOS0675"/>
    <d v="2025-09-01T00:00:00"/>
    <s v="FB"/>
    <s v="FB"/>
    <s v="Vishal Sharma"/>
    <m/>
    <s v="Gujarat "/>
    <s v="Rejected"/>
    <n v="130000"/>
    <n v="107674"/>
    <s v="Rejected"/>
    <x v="0"/>
    <m/>
    <s v=""/>
    <x v="0"/>
    <x v="5"/>
    <s v="Q3"/>
    <x v="0"/>
  </r>
  <r>
    <s v="EOS0676"/>
    <d v="2025-09-01T00:00:00"/>
    <s v="WA"/>
    <m/>
    <n v="0"/>
    <m/>
    <s v="West Bengal"/>
    <s v="Rejected"/>
    <n v="108000"/>
    <n v="107675"/>
    <s v="Rejected"/>
    <x v="0"/>
    <m/>
    <s v=""/>
    <x v="0"/>
    <x v="5"/>
    <s v="Q3"/>
    <x v="3"/>
  </r>
  <r>
    <s v="EOS0677"/>
    <d v="2025-09-01T00:00:00"/>
    <s v="WA"/>
    <m/>
    <s v="Arpit jain"/>
    <s v="SitaPur "/>
    <s v="Uttar Pradesh"/>
    <s v="Rejected"/>
    <n v="130000"/>
    <n v="107676"/>
    <s v="Rejected"/>
    <x v="0"/>
    <m/>
    <s v=""/>
    <x v="0"/>
    <x v="5"/>
    <s v="Q3"/>
    <x v="1"/>
  </r>
  <r>
    <s v="EOS0678"/>
    <d v="2025-09-01T00:00:00"/>
    <s v="WA"/>
    <m/>
    <s v="Jitendra Singh"/>
    <m/>
    <m/>
    <s v="Rejected"/>
    <n v="130000"/>
    <n v="107677"/>
    <s v="Rejected"/>
    <x v="0"/>
    <m/>
    <s v=""/>
    <x v="0"/>
    <x v="5"/>
    <s v="Q3"/>
    <x v="4"/>
  </r>
  <r>
    <s v="EOS0679"/>
    <d v="2025-09-01T00:00:00"/>
    <s v="WA"/>
    <m/>
    <s v="Sachin"/>
    <m/>
    <s v="Gujarat"/>
    <s v="Rejected"/>
    <n v="130000"/>
    <n v="107678"/>
    <s v="Rejected"/>
    <x v="0"/>
    <m/>
    <s v=""/>
    <x v="0"/>
    <x v="5"/>
    <s v="Q3"/>
    <x v="0"/>
  </r>
  <r>
    <s v="EOS0680"/>
    <d v="2025-09-01T00:00:00"/>
    <s v="WA"/>
    <m/>
    <s v="Rajveer Singh Kushwaha"/>
    <m/>
    <s v="Gujarat "/>
    <s v="Rejected"/>
    <n v="108000"/>
    <n v="107679"/>
    <s v="Rejected"/>
    <x v="0"/>
    <m/>
    <s v=""/>
    <x v="0"/>
    <x v="5"/>
    <s v="Q3"/>
    <x v="0"/>
  </r>
  <r>
    <s v="EOS0681"/>
    <d v="2025-09-02T00:00:00"/>
    <s v="FB"/>
    <s v="FB"/>
    <s v="Vaibhav M panchal"/>
    <s v="Ahmedabad"/>
    <s v="Gujarat "/>
    <s v="Rejected"/>
    <n v="177000"/>
    <n v="107680"/>
    <s v="Rejected"/>
    <x v="0"/>
    <m/>
    <s v=""/>
    <x v="1"/>
    <x v="5"/>
    <s v="Q3"/>
    <x v="0"/>
  </r>
  <r>
    <s v="EOS0682"/>
    <d v="2025-09-02T00:00:00"/>
    <s v="WA"/>
    <m/>
    <s v="Pushparaj jaiswal"/>
    <m/>
    <s v="Madhya Pradesh"/>
    <s v="Rejected"/>
    <n v="177000"/>
    <n v="107681"/>
    <s v="Rejected"/>
    <x v="0"/>
    <m/>
    <s v=""/>
    <x v="1"/>
    <x v="5"/>
    <s v="Q3"/>
    <x v="2"/>
  </r>
  <r>
    <s v="EOS0683"/>
    <d v="2025-09-02T00:00:00"/>
    <s v="WA"/>
    <m/>
    <s v="Yash Singh"/>
    <s v="jauhpur"/>
    <s v="Uttar Pradesh"/>
    <s v="Rejected"/>
    <n v="108000"/>
    <n v="107682"/>
    <s v="Rejected"/>
    <x v="0"/>
    <m/>
    <s v=""/>
    <x v="0"/>
    <x v="5"/>
    <s v="Q3"/>
    <x v="1"/>
  </r>
  <r>
    <s v="EOS0684"/>
    <d v="2025-09-02T00:00:00"/>
    <s v="WA"/>
    <m/>
    <s v="Ashish Saxena"/>
    <s v="noida "/>
    <s v="Uttar Pradesh"/>
    <s v="Rejected"/>
    <n v="130000"/>
    <n v="107683"/>
    <s v="Rejected"/>
    <x v="0"/>
    <m/>
    <s v=""/>
    <x v="0"/>
    <x v="5"/>
    <s v="Q3"/>
    <x v="1"/>
  </r>
  <r>
    <s v="EOS0685"/>
    <d v="2025-09-02T00:00:00"/>
    <s v="WA"/>
    <m/>
    <s v="Om Srivastava"/>
    <m/>
    <m/>
    <s v="Rejected"/>
    <n v="108000"/>
    <n v="107684"/>
    <s v="Rejected"/>
    <x v="0"/>
    <m/>
    <s v=""/>
    <x v="0"/>
    <x v="5"/>
    <s v="Q3"/>
    <x v="4"/>
  </r>
  <r>
    <s v="EOS0686"/>
    <d v="2025-09-02T00:00:00"/>
    <s v="WA"/>
    <m/>
    <s v="Amit Kumar"/>
    <m/>
    <m/>
    <s v="Rejected"/>
    <n v="108000"/>
    <n v="107685"/>
    <s v="Rejected"/>
    <x v="0"/>
    <m/>
    <s v=""/>
    <x v="0"/>
    <x v="5"/>
    <s v="Q3"/>
    <x v="4"/>
  </r>
  <r>
    <s v="EOS0687"/>
    <d v="2025-09-03T00:00:00"/>
    <s v="WA"/>
    <m/>
    <s v="Tejpal Kushwaha"/>
    <s v="Ujjain"/>
    <s v="Madhya Pradesh"/>
    <s v="Rejected"/>
    <n v="108000"/>
    <n v="107686"/>
    <s v="Rejected"/>
    <x v="0"/>
    <m/>
    <s v=""/>
    <x v="0"/>
    <x v="5"/>
    <s v="Q3"/>
    <x v="2"/>
  </r>
  <r>
    <s v="EOS0688"/>
    <d v="2025-09-03T00:00:00"/>
    <s v="WA"/>
    <m/>
    <s v="Amitabh Jain"/>
    <m/>
    <s v="Madhya Pradesh"/>
    <s v="Rejected"/>
    <n v="108000"/>
    <n v="107687"/>
    <s v="Rejected"/>
    <x v="0"/>
    <m/>
    <s v=""/>
    <x v="0"/>
    <x v="5"/>
    <s v="Q3"/>
    <x v="2"/>
  </r>
  <r>
    <s v="EOS0689"/>
    <d v="2025-09-03T00:00:00"/>
    <s v="FB"/>
    <s v="FB"/>
    <s v="Prakash Kumar"/>
    <s v="Deesa"/>
    <s v="Gujarat "/>
    <s v="Rejected"/>
    <n v="108000"/>
    <n v="107688"/>
    <s v="Rejected"/>
    <x v="0"/>
    <m/>
    <s v=""/>
    <x v="0"/>
    <x v="5"/>
    <s v="Q3"/>
    <x v="0"/>
  </r>
  <r>
    <s v="EOS0690"/>
    <d v="2025-09-03T00:00:00"/>
    <s v="FB"/>
    <s v="FB"/>
    <s v="_chaudhary"/>
    <s v="Surat"/>
    <s v="Gujarat "/>
    <s v="Rejected"/>
    <n v="108000"/>
    <n v="107689"/>
    <s v="Rejected"/>
    <x v="0"/>
    <m/>
    <s v=""/>
    <x v="0"/>
    <x v="5"/>
    <s v="Q3"/>
    <x v="0"/>
  </r>
  <r>
    <s v="EOS0691"/>
    <d v="2025-09-03T00:00:00"/>
    <s v="FB"/>
    <s v="FB"/>
    <s v="Ajay Rathi"/>
    <s v="barrod "/>
    <s v="Uttar Pradesh "/>
    <s v="Rejected"/>
    <n v="108000"/>
    <n v="107690"/>
    <s v="Rejected"/>
    <x v="0"/>
    <m/>
    <s v=""/>
    <x v="0"/>
    <x v="5"/>
    <s v="Q3"/>
    <x v="1"/>
  </r>
  <r>
    <s v="EOS0692"/>
    <d v="2025-09-04T00:00:00"/>
    <s v="FB"/>
    <s v="FB"/>
    <s v="Praful Sanchaniya"/>
    <s v="Rajkot"/>
    <s v="Gujarat"/>
    <s v="Rejected"/>
    <n v="130000"/>
    <n v="107691"/>
    <s v="Rejected"/>
    <x v="0"/>
    <m/>
    <s v=""/>
    <x v="0"/>
    <x v="5"/>
    <s v="Q3"/>
    <x v="0"/>
  </r>
  <r>
    <s v="EOS0693"/>
    <d v="2025-09-04T00:00:00"/>
    <s v="FB"/>
    <s v="FB"/>
    <s v="Ganesh Choudhari"/>
    <s v="Vadodara"/>
    <s v="Gujarat"/>
    <s v="Rejected"/>
    <n v="130000"/>
    <n v="107692"/>
    <s v="Rejected"/>
    <x v="0"/>
    <m/>
    <s v=""/>
    <x v="0"/>
    <x v="5"/>
    <s v="Q3"/>
    <x v="0"/>
  </r>
  <r>
    <s v="EOS0694"/>
    <d v="2025-09-05T00:00:00"/>
    <s v="FB"/>
    <s v="FB"/>
    <s v="gala yuvraj "/>
    <m/>
    <s v="Gujarat"/>
    <s v="Rejected"/>
    <n v="108000"/>
    <n v="107693"/>
    <s v="Rejected"/>
    <x v="0"/>
    <m/>
    <s v=""/>
    <x v="0"/>
    <x v="5"/>
    <s v="Q3"/>
    <x v="0"/>
  </r>
  <r>
    <s v="EOS0695"/>
    <d v="2025-09-05T00:00:00"/>
    <s v="FB"/>
    <s v="FB"/>
    <s v="Aamin Shekh"/>
    <m/>
    <s v="Gujarat"/>
    <s v="Rejected"/>
    <n v="130000"/>
    <n v="107694"/>
    <s v="Rejected"/>
    <x v="0"/>
    <m/>
    <s v=""/>
    <x v="0"/>
    <x v="5"/>
    <s v="Q3"/>
    <x v="0"/>
  </r>
  <r>
    <s v="EOS0696"/>
    <d v="2025-09-05T00:00:00"/>
    <s v="FB"/>
    <s v="FB"/>
    <s v="K J GONDALIYA"/>
    <m/>
    <s v="Gujarat"/>
    <s v="Rejected"/>
    <n v="130000"/>
    <n v="107695"/>
    <s v="Rejected"/>
    <x v="0"/>
    <m/>
    <s v=""/>
    <x v="0"/>
    <x v="5"/>
    <s v="Q3"/>
    <x v="0"/>
  </r>
  <r>
    <s v="EOS0697"/>
    <d v="2025-09-05T00:00:00"/>
    <s v="FB"/>
    <s v="FB"/>
    <s v="RAVISC PARMAR"/>
    <m/>
    <s v="Gujarat"/>
    <s v="Rejected"/>
    <n v="108000"/>
    <n v="107696"/>
    <s v="Rejected"/>
    <x v="0"/>
    <m/>
    <s v=""/>
    <x v="0"/>
    <x v="5"/>
    <s v="Q3"/>
    <x v="0"/>
  </r>
  <r>
    <s v="EOS0698"/>
    <d v="2025-09-05T00:00:00"/>
    <s v="FB"/>
    <s v="FB"/>
    <s v="krunal shah"/>
    <m/>
    <s v="Gujarat"/>
    <s v="Rejected"/>
    <n v="108000"/>
    <n v="107697"/>
    <s v="Rejected"/>
    <x v="0"/>
    <m/>
    <s v=""/>
    <x v="0"/>
    <x v="5"/>
    <s v="Q3"/>
    <x v="0"/>
  </r>
  <r>
    <s v="EOS0699"/>
    <d v="2025-09-05T00:00:00"/>
    <s v="FB"/>
    <s v="FB"/>
    <s v="P_I_Y_U_S_H"/>
    <m/>
    <s v="Gujarat"/>
    <s v="Rejected"/>
    <n v="108000"/>
    <n v="107698"/>
    <s v="Rejected"/>
    <x v="0"/>
    <m/>
    <s v=""/>
    <x v="0"/>
    <x v="5"/>
    <s v="Q3"/>
    <x v="0"/>
  </r>
  <r>
    <s v="EOS0700"/>
    <d v="2025-09-05T00:00:00"/>
    <s v="FB"/>
    <s v="FB"/>
    <s v="Kamil Vahora"/>
    <m/>
    <s v="Gujarat"/>
    <s v="Rejected"/>
    <n v="108000"/>
    <n v="107699"/>
    <s v="Rejected"/>
    <x v="0"/>
    <m/>
    <s v=""/>
    <x v="0"/>
    <x v="5"/>
    <s v="Q3"/>
    <x v="0"/>
  </r>
  <r>
    <s v="EOS0701"/>
    <d v="2025-09-05T00:00:00"/>
    <s v="FB"/>
    <s v="FB"/>
    <s v="Pappu jhaa"/>
    <m/>
    <s v="Gujarat"/>
    <s v="Rejected"/>
    <n v="108000"/>
    <n v="107700"/>
    <s v="Rejected"/>
    <x v="0"/>
    <m/>
    <s v=""/>
    <x v="0"/>
    <x v="5"/>
    <s v="Q3"/>
    <x v="0"/>
  </r>
  <r>
    <s v="EOS0702"/>
    <d v="2025-09-05T00:00:00"/>
    <s v="FB"/>
    <s v="FB"/>
    <s v="Shah meet "/>
    <m/>
    <s v="Gujarat"/>
    <s v="Rejected"/>
    <n v="108000"/>
    <n v="107701"/>
    <s v="Rejected"/>
    <x v="0"/>
    <m/>
    <s v=""/>
    <x v="0"/>
    <x v="5"/>
    <s v="Q3"/>
    <x v="0"/>
  </r>
  <r>
    <s v="EOS0703"/>
    <d v="2025-09-05T00:00:00"/>
    <s v="FB"/>
    <s v="FB"/>
    <s v="Mitesh "/>
    <s v="Surat "/>
    <s v="Gujarat"/>
    <s v="Rejected"/>
    <n v="108000"/>
    <n v="107702"/>
    <s v="Rejected"/>
    <x v="0"/>
    <m/>
    <s v=""/>
    <x v="0"/>
    <x v="5"/>
    <s v="Q3"/>
    <x v="0"/>
  </r>
  <r>
    <s v="EOS0704"/>
    <d v="2025-09-08T00:00:00"/>
    <s v="WA"/>
    <m/>
    <s v="Vinod"/>
    <m/>
    <s v="Gujarat"/>
    <s v="Rejected"/>
    <n v="108000"/>
    <n v="107703"/>
    <s v="Rejected"/>
    <x v="0"/>
    <m/>
    <s v=""/>
    <x v="0"/>
    <x v="5"/>
    <s v="Q3"/>
    <x v="0"/>
  </r>
  <r>
    <s v="EOS0705"/>
    <d v="2025-09-08T00:00:00"/>
    <s v="FB"/>
    <s v="FB"/>
    <s v="mahavir dhadha"/>
    <m/>
    <s v="Gujarat"/>
    <s v="Rejected"/>
    <n v="108000"/>
    <n v="107704"/>
    <s v="Rejected"/>
    <x v="0"/>
    <m/>
    <s v=""/>
    <x v="0"/>
    <x v="5"/>
    <s v="Q3"/>
    <x v="0"/>
  </r>
  <r>
    <s v="EOS0706"/>
    <d v="2025-09-08T00:00:00"/>
    <s v="FB"/>
    <s v="FB"/>
    <s v="Nikhil Kalal"/>
    <s v="Surat "/>
    <s v="Gujarat"/>
    <s v="Rejected"/>
    <n v="130000"/>
    <n v="107705"/>
    <s v="Rejected"/>
    <x v="0"/>
    <m/>
    <s v=""/>
    <x v="0"/>
    <x v="5"/>
    <s v="Q3"/>
    <x v="0"/>
  </r>
  <r>
    <s v="EOS0707"/>
    <d v="2025-09-08T00:00:00"/>
    <s v="FB"/>
    <s v="FB"/>
    <s v="Kunal Mandani"/>
    <s v="Ahmedabad"/>
    <s v="Gujarat"/>
    <s v="Rejected"/>
    <n v="108000"/>
    <n v="107706"/>
    <s v="Rejected"/>
    <x v="0"/>
    <m/>
    <s v=""/>
    <x v="0"/>
    <x v="5"/>
    <s v="Q3"/>
    <x v="0"/>
  </r>
  <r>
    <s v="EOS0708"/>
    <d v="2025-09-08T00:00:00"/>
    <s v="FB"/>
    <s v="FB"/>
    <s v="Nayan Patel"/>
    <s v="Vadodara"/>
    <s v="Gujarat"/>
    <s v="Rejected"/>
    <n v="130000"/>
    <n v="107707"/>
    <s v="Rejected"/>
    <x v="0"/>
    <m/>
    <s v=""/>
    <x v="0"/>
    <x v="5"/>
    <s v="Q3"/>
    <x v="0"/>
  </r>
  <r>
    <s v="EOS0709"/>
    <d v="2025-09-08T00:00:00"/>
    <s v="FB"/>
    <s v="FB"/>
    <s v="Asmat Varaiya"/>
    <s v="Ahmedabad"/>
    <s v="Gujarat"/>
    <s v="Rejected"/>
    <n v="177000"/>
    <n v="107708"/>
    <s v="Rejected"/>
    <x v="0"/>
    <m/>
    <s v=""/>
    <x v="1"/>
    <x v="5"/>
    <s v="Q3"/>
    <x v="0"/>
  </r>
  <r>
    <s v="EOS0710"/>
    <d v="2025-09-08T00:00:00"/>
    <s v="FB"/>
    <s v="FB"/>
    <s v="Md Fyaj"/>
    <s v="Surat"/>
    <s v="Gujarat"/>
    <s v="Rejected"/>
    <n v="108000"/>
    <n v="107709"/>
    <s v="Rejected"/>
    <x v="0"/>
    <m/>
    <s v=""/>
    <x v="0"/>
    <x v="5"/>
    <s v="Q3"/>
    <x v="0"/>
  </r>
  <r>
    <s v="EOS0711"/>
    <d v="2025-09-08T00:00:00"/>
    <s v="FB"/>
    <s v="FB"/>
    <s v="Naksh Rajput"/>
    <s v="Surendranagar"/>
    <s v="Gujarat"/>
    <s v="Rejected"/>
    <n v="130000"/>
    <n v="107710"/>
    <s v="Rejected"/>
    <x v="0"/>
    <m/>
    <s v=""/>
    <x v="0"/>
    <x v="5"/>
    <s v="Q3"/>
    <x v="0"/>
  </r>
  <r>
    <s v="EOS0712"/>
    <d v="2025-09-08T00:00:00"/>
    <s v="FB"/>
    <s v="FB"/>
    <s v="Pragnesh Bhadka"/>
    <s v="Surendranagar"/>
    <s v="Gujarat"/>
    <s v="Rejected"/>
    <n v="130000"/>
    <n v="107711"/>
    <s v="Rejected"/>
    <x v="0"/>
    <m/>
    <s v=""/>
    <x v="0"/>
    <x v="5"/>
    <s v="Q3"/>
    <x v="0"/>
  </r>
  <r>
    <s v="EOS0713"/>
    <d v="2025-09-08T00:00:00"/>
    <s v="FB"/>
    <s v="FB"/>
    <s v="Pinal Parekh"/>
    <s v="Bharuch"/>
    <s v="Gujarat"/>
    <s v="Rejected"/>
    <n v="130000"/>
    <n v="107712"/>
    <s v="Rejected"/>
    <x v="0"/>
    <m/>
    <s v=""/>
    <x v="0"/>
    <x v="5"/>
    <s v="Q3"/>
    <x v="0"/>
  </r>
  <r>
    <s v="EOS0714"/>
    <d v="2025-09-08T00:00:00"/>
    <s v="FB"/>
    <s v="FB"/>
    <s v="Jignesh kumar Manilal patel"/>
    <s v="Virpur"/>
    <s v="Gujarat"/>
    <s v="Rejected"/>
    <n v="130000"/>
    <n v="107713"/>
    <s v="Rejected"/>
    <x v="0"/>
    <m/>
    <s v=""/>
    <x v="0"/>
    <x v="5"/>
    <s v="Q3"/>
    <x v="0"/>
  </r>
  <r>
    <s v="EOS0715"/>
    <d v="2025-09-08T00:00:00"/>
    <s v="FB"/>
    <s v="FB"/>
    <s v="Arjun"/>
    <s v="Jamnagar"/>
    <s v="Gujarat"/>
    <s v="Rejected"/>
    <n v="177000"/>
    <n v="107714"/>
    <s v="Rejected"/>
    <x v="0"/>
    <m/>
    <s v=""/>
    <x v="1"/>
    <x v="5"/>
    <s v="Q3"/>
    <x v="0"/>
  </r>
  <r>
    <s v="EOS0716"/>
    <d v="2025-09-08T00:00:00"/>
    <s v="FB"/>
    <s v="FB"/>
    <s v="A�kit Patel"/>
    <s v="Surat "/>
    <s v="Gujarat"/>
    <s v="Rejected"/>
    <n v="130000"/>
    <n v="107715"/>
    <s v="Rejected"/>
    <x v="0"/>
    <m/>
    <s v=""/>
    <x v="0"/>
    <x v="5"/>
    <s v="Q3"/>
    <x v="0"/>
  </r>
  <r>
    <s v="EOS0717"/>
    <d v="2025-09-08T00:00:00"/>
    <s v="FB"/>
    <s v="FB"/>
    <s v="Bhavesh Khamal"/>
    <s v="Surat "/>
    <s v="Gujarat"/>
    <s v="Rejected"/>
    <n v="308000"/>
    <n v="107716"/>
    <s v="Rejected"/>
    <x v="0"/>
    <m/>
    <s v=""/>
    <x v="2"/>
    <x v="5"/>
    <s v="Q3"/>
    <x v="0"/>
  </r>
  <r>
    <s v="EOS0718"/>
    <d v="2025-09-08T00:00:00"/>
    <s v="FB"/>
    <s v="FB"/>
    <s v="kishor"/>
    <m/>
    <s v="Gujarat"/>
    <s v="Rejected"/>
    <n v="130000"/>
    <n v="107717"/>
    <s v="Rejected"/>
    <x v="0"/>
    <m/>
    <s v=""/>
    <x v="0"/>
    <x v="5"/>
    <s v="Q3"/>
    <x v="0"/>
  </r>
  <r>
    <s v="EOS0719"/>
    <d v="2025-09-08T00:00:00"/>
    <s v="WA"/>
    <m/>
    <s v="Shaminur rahman"/>
    <m/>
    <s v="Meghalaya"/>
    <s v="Rejected"/>
    <n v="108000"/>
    <n v="107718"/>
    <s v="Rejected"/>
    <x v="0"/>
    <m/>
    <s v=""/>
    <x v="0"/>
    <x v="5"/>
    <s v="Q3"/>
    <x v="3"/>
  </r>
  <r>
    <s v="EOS0720"/>
    <d v="2025-09-08T00:00:00"/>
    <s v="WA"/>
    <m/>
    <s v="Devendra gosavi"/>
    <m/>
    <s v="Madhya Pradesh"/>
    <s v="Rejected"/>
    <n v="108000"/>
    <n v="107719"/>
    <s v="Rejected"/>
    <x v="0"/>
    <m/>
    <s v=""/>
    <x v="0"/>
    <x v="5"/>
    <s v="Q3"/>
    <x v="2"/>
  </r>
  <r>
    <s v="EOS0721"/>
    <d v="2025-09-08T00:00:00"/>
    <s v="WA"/>
    <m/>
    <s v="Pathik patel"/>
    <s v="Amroli Surat "/>
    <s v="Gujarat"/>
    <s v="Rejected"/>
    <n v="130000"/>
    <n v="107720"/>
    <s v="Rejected"/>
    <x v="0"/>
    <m/>
    <s v=""/>
    <x v="0"/>
    <x v="5"/>
    <s v="Q3"/>
    <x v="0"/>
  </r>
  <r>
    <s v="EOS0722"/>
    <d v="2025-09-09T00:00:00"/>
    <s v="FB"/>
    <s v="FB"/>
    <s v="Aniket "/>
    <s v="Idar"/>
    <s v="Gujarat"/>
    <s v="Rejected"/>
    <n v="308000"/>
    <n v="107721"/>
    <s v="Rejected"/>
    <x v="0"/>
    <m/>
    <s v=""/>
    <x v="2"/>
    <x v="5"/>
    <s v="Q3"/>
    <x v="0"/>
  </r>
  <r>
    <s v="EOS0723"/>
    <d v="2025-09-09T00:00:00"/>
    <s v="FB"/>
    <s v="FB"/>
    <s v="Hasmita Jadeja "/>
    <m/>
    <s v="Gujarat"/>
    <s v="Rejected"/>
    <n v="130000"/>
    <n v="107722"/>
    <s v="Rejected"/>
    <x v="0"/>
    <m/>
    <s v=""/>
    <x v="0"/>
    <x v="5"/>
    <s v="Q3"/>
    <x v="0"/>
  </r>
  <r>
    <s v="EOS0724"/>
    <d v="2025-09-09T00:00:00"/>
    <s v="FB"/>
    <s v="FB"/>
    <s v="Vishal Ahir"/>
    <s v="Rajkot"/>
    <s v="Gujarat"/>
    <s v="Rejected"/>
    <n v="130000"/>
    <n v="107723"/>
    <s v="Rejected"/>
    <x v="0"/>
    <m/>
    <s v=""/>
    <x v="0"/>
    <x v="5"/>
    <s v="Q3"/>
    <x v="0"/>
  </r>
  <r>
    <s v="EOS0725"/>
    <d v="2025-09-09T00:00:00"/>
    <s v="FB"/>
    <s v="FB"/>
    <s v="Vala Divyaraj Sin"/>
    <s v="Jamnagar"/>
    <s v="Gujarat"/>
    <s v="Rejected"/>
    <n v="108000"/>
    <n v="107724"/>
    <s v="Rejected"/>
    <x v="0"/>
    <m/>
    <s v=""/>
    <x v="0"/>
    <x v="5"/>
    <s v="Q3"/>
    <x v="0"/>
  </r>
  <r>
    <s v="EOS0726"/>
    <d v="2025-09-09T00:00:00"/>
    <s v="WA"/>
    <m/>
    <s v="Balkrishna Baldha"/>
    <m/>
    <m/>
    <s v="Rejected"/>
    <n v="130000"/>
    <n v="107725"/>
    <s v="Rejected"/>
    <x v="0"/>
    <m/>
    <s v=""/>
    <x v="0"/>
    <x v="5"/>
    <s v="Q3"/>
    <x v="4"/>
  </r>
  <r>
    <s v="EOS0727"/>
    <d v="2025-09-09T00:00:00"/>
    <s v="WA"/>
    <m/>
    <s v="Kadar Kakal"/>
    <s v="Jamnagar"/>
    <s v="Gujarat "/>
    <s v="Rejected"/>
    <n v="177000"/>
    <n v="107726"/>
    <s v="Rejected"/>
    <x v="0"/>
    <m/>
    <s v=""/>
    <x v="1"/>
    <x v="5"/>
    <s v="Q3"/>
    <x v="0"/>
  </r>
  <r>
    <s v="EOS0728"/>
    <d v="2025-09-09T00:00:00"/>
    <s v="WA"/>
    <m/>
    <s v="Jaydip vajkani"/>
    <s v="Rajkot"/>
    <s v="Gujarat "/>
    <s v="Rejected"/>
    <n v="130000"/>
    <n v="107727"/>
    <s v="Rejected"/>
    <x v="0"/>
    <m/>
    <s v=""/>
    <x v="0"/>
    <x v="5"/>
    <s v="Q3"/>
    <x v="0"/>
  </r>
  <r>
    <s v="EOS0729"/>
    <d v="2025-09-09T00:00:00"/>
    <s v="WA"/>
    <m/>
    <s v="Pankaj sharma"/>
    <s v="Jamnagar"/>
    <s v="Gujarat "/>
    <s v="Rejected"/>
    <n v="108000"/>
    <n v="107728"/>
    <s v="Rejected"/>
    <x v="0"/>
    <m/>
    <s v=""/>
    <x v="0"/>
    <x v="5"/>
    <s v="Q3"/>
    <x v="0"/>
  </r>
  <r>
    <s v="EOS0730"/>
    <d v="2025-09-10T00:00:00"/>
    <s v="FB"/>
    <s v="FB"/>
    <s v="Adity chaudhary"/>
    <s v="Patan"/>
    <s v="Gujarat "/>
    <s v="Rejected"/>
    <n v="130000"/>
    <n v="107729"/>
    <s v="Rejected"/>
    <x v="0"/>
    <m/>
    <s v=""/>
    <x v="0"/>
    <x v="5"/>
    <s v="Q3"/>
    <x v="0"/>
  </r>
  <r>
    <s v="EOS0731"/>
    <d v="2025-09-10T00:00:00"/>
    <s v="FB"/>
    <s v="FB"/>
    <s v="Ravi Chopda"/>
    <s v="Veraval"/>
    <s v="Gujarat "/>
    <s v="Rejected"/>
    <n v="108000"/>
    <n v="107730"/>
    <s v="Rejected"/>
    <x v="0"/>
    <m/>
    <s v=""/>
    <x v="0"/>
    <x v="5"/>
    <s v="Q3"/>
    <x v="0"/>
  </r>
  <r>
    <s v="EOS0732"/>
    <d v="2025-09-10T00:00:00"/>
    <s v="FB"/>
    <s v="FB"/>
    <s v="Omkar Gauswami"/>
    <s v="Patan"/>
    <s v="Gujarat "/>
    <s v="Rejected"/>
    <n v="177000"/>
    <n v="107731"/>
    <s v="Rejected"/>
    <x v="0"/>
    <m/>
    <s v=""/>
    <x v="1"/>
    <x v="5"/>
    <s v="Q3"/>
    <x v="0"/>
  </r>
  <r>
    <s v="EOS0733"/>
    <d v="2025-09-10T00:00:00"/>
    <s v="FB"/>
    <s v="FB"/>
    <s v="Koli Amit"/>
    <s v="Vadodara"/>
    <s v="Gujarat "/>
    <s v="Rejected"/>
    <n v="108000"/>
    <n v="107732"/>
    <s v="Rejected"/>
    <x v="0"/>
    <m/>
    <s v=""/>
    <x v="0"/>
    <x v="5"/>
    <s v="Q3"/>
    <x v="0"/>
  </r>
  <r>
    <s v="EOS0734"/>
    <d v="2025-09-10T00:00:00"/>
    <s v="FB"/>
    <s v="FB"/>
    <s v="Aryankumar Ganeshbhai Bharwad"/>
    <s v="Ahmedabad"/>
    <s v="Gujarat "/>
    <s v="Rejected"/>
    <n v="108000"/>
    <n v="107733"/>
    <s v="Rejected"/>
    <x v="0"/>
    <m/>
    <s v=""/>
    <x v="0"/>
    <x v="5"/>
    <s v="Q3"/>
    <x v="0"/>
  </r>
  <r>
    <s v="EOS0735"/>
    <d v="2025-09-10T00:00:00"/>
    <s v="FB"/>
    <s v="FB"/>
    <s v="DAVID KATHAD"/>
    <s v="Sutrapada"/>
    <s v="Gujarat "/>
    <s v="Rejected"/>
    <n v="130000"/>
    <n v="107734"/>
    <s v="Rejected"/>
    <x v="0"/>
    <m/>
    <s v=""/>
    <x v="0"/>
    <x v="5"/>
    <s v="Q3"/>
    <x v="0"/>
  </r>
  <r>
    <s v="EOS0736"/>
    <d v="2025-09-10T00:00:00"/>
    <s v="WA"/>
    <m/>
    <s v="Ritesh panchal"/>
    <s v="Vadodara"/>
    <s v="Gujarat "/>
    <s v="Deal "/>
    <n v="130000"/>
    <n v="107735"/>
    <s v="Deal"/>
    <x v="1"/>
    <d v="2025-09-18T00:00:00"/>
    <n v="8"/>
    <x v="0"/>
    <x v="5"/>
    <s v="Q3"/>
    <x v="0"/>
  </r>
  <r>
    <s v="EOS0737"/>
    <d v="2025-09-10T00:00:00"/>
    <s v="WA"/>
    <m/>
    <s v="Manohar"/>
    <s v="Vadodara"/>
    <s v="Gujarat "/>
    <s v="Rejected"/>
    <n v="108000"/>
    <n v="107736"/>
    <s v="Rejected"/>
    <x v="0"/>
    <m/>
    <s v=""/>
    <x v="0"/>
    <x v="5"/>
    <s v="Q3"/>
    <x v="0"/>
  </r>
  <r>
    <s v="EOS0738"/>
    <d v="2025-09-11T00:00:00"/>
    <s v="FB"/>
    <s v="FB"/>
    <s v="Manish Bhoi"/>
    <m/>
    <s v="Gujarat "/>
    <s v="Rejected"/>
    <n v="130000"/>
    <n v="107737"/>
    <s v="Rejected"/>
    <x v="0"/>
    <m/>
    <s v=""/>
    <x v="0"/>
    <x v="5"/>
    <s v="Q3"/>
    <x v="0"/>
  </r>
  <r>
    <s v="EOS0739"/>
    <d v="2025-09-11T00:00:00"/>
    <s v="FB"/>
    <s v="FB"/>
    <s v="Vinay Attu"/>
    <s v="Dahod"/>
    <s v="Gujarat "/>
    <s v="Rejected"/>
    <n v="130000"/>
    <n v="107738"/>
    <s v="Rejected"/>
    <x v="0"/>
    <m/>
    <s v=""/>
    <x v="0"/>
    <x v="5"/>
    <s v="Q3"/>
    <x v="0"/>
  </r>
  <r>
    <s v="EOS0740"/>
    <d v="2025-09-11T00:00:00"/>
    <s v="FB"/>
    <s v="FB"/>
    <s v="Rajendersingh Sisodiya"/>
    <s v="Ahmedabad"/>
    <s v="Gujarat "/>
    <s v="Rejected"/>
    <n v="108000"/>
    <n v="107739"/>
    <s v="Rejected"/>
    <x v="0"/>
    <m/>
    <s v=""/>
    <x v="0"/>
    <x v="5"/>
    <s v="Q3"/>
    <x v="0"/>
  </r>
  <r>
    <s v="EOS0741"/>
    <d v="2025-09-11T00:00:00"/>
    <s v="FB"/>
    <s v="FB"/>
    <s v="HARSH"/>
    <s v="Una"/>
    <s v="Gujarat "/>
    <s v="Rejected"/>
    <n v="130000"/>
    <n v="107740"/>
    <s v="Rejected"/>
    <x v="0"/>
    <m/>
    <s v=""/>
    <x v="0"/>
    <x v="5"/>
    <s v="Q3"/>
    <x v="0"/>
  </r>
  <r>
    <s v="EOS0742"/>
    <d v="2025-09-11T00:00:00"/>
    <s v="FB"/>
    <s v="FB"/>
    <s v="Chavda"/>
    <m/>
    <s v="Gujarat "/>
    <s v="Rejected"/>
    <n v="177000"/>
    <n v="107741"/>
    <s v="Rejected"/>
    <x v="0"/>
    <m/>
    <s v=""/>
    <x v="1"/>
    <x v="5"/>
    <s v="Q3"/>
    <x v="0"/>
  </r>
  <r>
    <s v="EOS0743"/>
    <d v="2025-09-11T00:00:00"/>
    <s v="FB"/>
    <s v="FB"/>
    <s v="Mohd Sheikh "/>
    <m/>
    <s v="Gujarat "/>
    <s v="Rejected"/>
    <n v="177000"/>
    <n v="107742"/>
    <s v="Rejected"/>
    <x v="0"/>
    <m/>
    <s v=""/>
    <x v="1"/>
    <x v="5"/>
    <s v="Q3"/>
    <x v="0"/>
  </r>
  <r>
    <s v="EOS0744"/>
    <d v="2025-09-11T00:00:00"/>
    <s v="WA"/>
    <m/>
    <s v="Parmar ramde"/>
    <s v="Bhogat"/>
    <s v="Gujarat"/>
    <s v="Rejected"/>
    <n v="177000"/>
    <n v="107743"/>
    <s v="Rejected"/>
    <x v="0"/>
    <m/>
    <s v=""/>
    <x v="1"/>
    <x v="5"/>
    <s v="Q3"/>
    <x v="0"/>
  </r>
  <r>
    <s v="EOS0745"/>
    <d v="2025-09-12T00:00:00"/>
    <s v="FB"/>
    <s v="FB"/>
    <s v="Dharmendrasinh Rathod"/>
    <s v="Botad"/>
    <s v="Gujarat "/>
    <s v="Rejected"/>
    <n v="108000"/>
    <n v="107744"/>
    <s v="Rejected"/>
    <x v="0"/>
    <m/>
    <s v=""/>
    <x v="0"/>
    <x v="5"/>
    <s v="Q3"/>
    <x v="0"/>
  </r>
  <r>
    <s v="EOS0746"/>
    <d v="2025-09-12T00:00:00"/>
    <s v="WA"/>
    <m/>
    <s v="Subal das"/>
    <m/>
    <s v="West Bengal"/>
    <s v="Rejected"/>
    <n v="130000"/>
    <n v="107745"/>
    <s v="Rejected"/>
    <x v="0"/>
    <m/>
    <s v=""/>
    <x v="0"/>
    <x v="5"/>
    <s v="Q3"/>
    <x v="3"/>
  </r>
  <r>
    <s v="EOS0747"/>
    <d v="2025-09-12T00:00:00"/>
    <s v="FB"/>
    <s v="FB"/>
    <s v="Dharmesh Darji"/>
    <s v="Ahmedabad"/>
    <s v="Gujarat "/>
    <s v="Rejected"/>
    <n v="130000"/>
    <n v="107746"/>
    <s v="Rejected"/>
    <x v="0"/>
    <m/>
    <s v=""/>
    <x v="0"/>
    <x v="5"/>
    <s v="Q3"/>
    <x v="0"/>
  </r>
  <r>
    <s v="EOS0748"/>
    <d v="2025-09-12T00:00:00"/>
    <s v="FB"/>
    <s v="FB"/>
    <s v="Kevalsinh Thakor"/>
    <s v="Patan"/>
    <s v="Gujarat "/>
    <s v="Rejected"/>
    <n v="108000"/>
    <n v="107747"/>
    <s v="Rejected"/>
    <x v="0"/>
    <m/>
    <s v=""/>
    <x v="0"/>
    <x v="5"/>
    <s v="Q3"/>
    <x v="0"/>
  </r>
  <r>
    <s v="EOS0749"/>
    <d v="2025-09-12T00:00:00"/>
    <s v="FB"/>
    <s v="FB"/>
    <s v="Vishal"/>
    <s v="Santramapur"/>
    <s v="Gujarat "/>
    <s v="Rejected"/>
    <n v="108000"/>
    <n v="107748"/>
    <s v="Rejected"/>
    <x v="0"/>
    <m/>
    <s v=""/>
    <x v="0"/>
    <x v="5"/>
    <s v="Q3"/>
    <x v="0"/>
  </r>
  <r>
    <s v="EOS0750"/>
    <d v="2025-09-12T00:00:00"/>
    <s v="FB"/>
    <s v="FB"/>
    <s v="Naresh Thakor"/>
    <m/>
    <s v="Gujarat "/>
    <s v="Rejected"/>
    <n v="108000"/>
    <n v="107749"/>
    <s v="Rejected"/>
    <x v="0"/>
    <m/>
    <s v=""/>
    <x v="0"/>
    <x v="5"/>
    <s v="Q3"/>
    <x v="0"/>
  </r>
  <r>
    <s v="EOS0751"/>
    <d v="2025-09-12T00:00:00"/>
    <s v="FB"/>
    <s v="FB"/>
    <s v="Kasid Malik"/>
    <s v="Jaipur"/>
    <s v="Rajasthan"/>
    <s v="Rejected"/>
    <n v="130000"/>
    <n v="107750"/>
    <s v="Rejected"/>
    <x v="0"/>
    <m/>
    <s v=""/>
    <x v="0"/>
    <x v="5"/>
    <s v="Q3"/>
    <x v="0"/>
  </r>
  <r>
    <s v="EOS0752"/>
    <d v="2025-09-12T00:00:00"/>
    <s v="FB"/>
    <s v="FB"/>
    <s v="Maharaj Saurabh Rawat"/>
    <m/>
    <m/>
    <s v="Rejected"/>
    <n v="108000"/>
    <n v="107751"/>
    <s v="Rejected"/>
    <x v="0"/>
    <m/>
    <s v=""/>
    <x v="0"/>
    <x v="5"/>
    <s v="Q3"/>
    <x v="4"/>
  </r>
  <r>
    <s v="EOS0753"/>
    <d v="2025-09-12T00:00:00"/>
    <s v="WA"/>
    <m/>
    <s v="Ankit Bhatia"/>
    <s v="Delhi"/>
    <s v="Delhi"/>
    <s v="Rejected"/>
    <n v="108000"/>
    <n v="107752"/>
    <s v="Rejected"/>
    <x v="0"/>
    <m/>
    <s v=""/>
    <x v="0"/>
    <x v="5"/>
    <s v="Q3"/>
    <x v="1"/>
  </r>
  <r>
    <s v="EOS0754"/>
    <d v="2025-09-12T00:00:00"/>
    <s v="WA"/>
    <m/>
    <s v="Ameer Meena"/>
    <s v="Jaipur "/>
    <s v="Rajasthan"/>
    <s v="Rejected"/>
    <n v="130000"/>
    <n v="107753"/>
    <s v="Rejected"/>
    <x v="0"/>
    <m/>
    <s v=""/>
    <x v="0"/>
    <x v="5"/>
    <s v="Q3"/>
    <x v="0"/>
  </r>
  <r>
    <s v="EOS0755"/>
    <d v="2025-09-12T00:00:00"/>
    <s v="FB"/>
    <s v="FB"/>
    <s v="Suraj "/>
    <s v="Gandhinagar"/>
    <s v="Gujarat "/>
    <s v="Rejected"/>
    <n v="130000"/>
    <n v="107754"/>
    <s v="Rejected"/>
    <x v="0"/>
    <m/>
    <s v=""/>
    <x v="0"/>
    <x v="5"/>
    <s v="Q3"/>
    <x v="0"/>
  </r>
  <r>
    <s v="EOS0756"/>
    <d v="2025-09-12T00:00:00"/>
    <s v="FB"/>
    <s v="FB"/>
    <s v="Varu Chhatrajitbhai"/>
    <s v="Amreli"/>
    <s v="Gujarat "/>
    <s v="Rejected"/>
    <n v="130000"/>
    <n v="107755"/>
    <s v="Rejected"/>
    <x v="0"/>
    <m/>
    <s v=""/>
    <x v="0"/>
    <x v="5"/>
    <s v="Q3"/>
    <x v="0"/>
  </r>
  <r>
    <s v="EOS0757"/>
    <d v="2025-09-12T00:00:00"/>
    <s v="FB"/>
    <s v="FB"/>
    <s v="Dipak parmar"/>
    <s v="Rajpipla"/>
    <s v="Gujarat "/>
    <s v="Rejected"/>
    <n v="108000"/>
    <n v="107756"/>
    <s v="Rejected"/>
    <x v="0"/>
    <m/>
    <s v=""/>
    <x v="0"/>
    <x v="5"/>
    <s v="Q3"/>
    <x v="0"/>
  </r>
  <r>
    <s v="EOS0758"/>
    <d v="2025-09-12T00:00:00"/>
    <s v="FB"/>
    <s v="FB"/>
    <s v="Premji Vaghel"/>
    <s v="patan "/>
    <s v="Gujarat "/>
    <s v="Rejected"/>
    <n v="177000"/>
    <n v="107757"/>
    <s v="Rejected"/>
    <x v="0"/>
    <m/>
    <s v=""/>
    <x v="1"/>
    <x v="5"/>
    <s v="Q3"/>
    <x v="0"/>
  </r>
  <r>
    <s v="EOS0759"/>
    <d v="2025-09-12T00:00:00"/>
    <s v="FB"/>
    <s v="FB"/>
    <s v="Farhin mohsi"/>
    <s v="Vadodara"/>
    <s v="Gujarat "/>
    <s v="Rejected"/>
    <n v="130000"/>
    <n v="107758"/>
    <s v="Rejected"/>
    <x v="0"/>
    <m/>
    <s v=""/>
    <x v="0"/>
    <x v="5"/>
    <s v="Q3"/>
    <x v="0"/>
  </r>
  <r>
    <s v="EOS0760"/>
    <d v="2025-09-12T00:00:00"/>
    <s v="FB"/>
    <s v="FB"/>
    <s v="Darshak"/>
    <s v="Dwarka"/>
    <s v="Gujarat "/>
    <s v="Rejected"/>
    <n v="108000"/>
    <n v="107759"/>
    <s v="Rejected"/>
    <x v="0"/>
    <m/>
    <s v=""/>
    <x v="0"/>
    <x v="5"/>
    <s v="Q3"/>
    <x v="0"/>
  </r>
  <r>
    <s v="EOS0761"/>
    <d v="2025-09-12T00:00:00"/>
    <s v="FB"/>
    <s v="FB"/>
    <s v="Dhaval Rathod"/>
    <s v="Ahmedabad"/>
    <s v="Gujarat "/>
    <s v="Rejected"/>
    <n v="130000"/>
    <n v="107760"/>
    <s v="Rejected"/>
    <x v="0"/>
    <m/>
    <s v=""/>
    <x v="0"/>
    <x v="5"/>
    <s v="Q3"/>
    <x v="0"/>
  </r>
  <r>
    <s v="EOS0762"/>
    <d v="2025-09-12T00:00:00"/>
    <s v="FB"/>
    <s v="FB"/>
    <s v="rathod kanaksinh"/>
    <s v="Jamnagar"/>
    <s v="Gujarat "/>
    <s v="Rejected"/>
    <n v="130000"/>
    <n v="107761"/>
    <s v="Rejected"/>
    <x v="0"/>
    <m/>
    <s v=""/>
    <x v="0"/>
    <x v="5"/>
    <s v="Q3"/>
    <x v="0"/>
  </r>
  <r>
    <s v="EOS0763"/>
    <d v="2025-09-13T00:00:00"/>
    <s v="FB"/>
    <s v="FB"/>
    <s v="Rupak Ranja"/>
    <s v="Surat "/>
    <s v="Gujarat "/>
    <s v="Rejected"/>
    <n v="130000"/>
    <n v="107762"/>
    <s v="Rejected"/>
    <x v="0"/>
    <m/>
    <s v=""/>
    <x v="0"/>
    <x v="5"/>
    <s v="Q3"/>
    <x v="0"/>
  </r>
  <r>
    <s v="EOS0764"/>
    <d v="2025-09-13T00:00:00"/>
    <s v="FB"/>
    <s v="FB"/>
    <s v="Kiran Modhavadiya"/>
    <s v="porbandra"/>
    <s v="Gujarat "/>
    <s v="Rejected"/>
    <n v="177000"/>
    <n v="107763"/>
    <s v="Rejected"/>
    <x v="0"/>
    <m/>
    <s v=""/>
    <x v="1"/>
    <x v="5"/>
    <s v="Q3"/>
    <x v="0"/>
  </r>
  <r>
    <s v="EOS0765"/>
    <d v="2025-09-13T00:00:00"/>
    <s v="FB"/>
    <s v="FB"/>
    <s v="Dharesh Gamara"/>
    <m/>
    <m/>
    <s v="Rejected"/>
    <n v="108000"/>
    <n v="107764"/>
    <s v="Rejected"/>
    <x v="0"/>
    <m/>
    <s v=""/>
    <x v="0"/>
    <x v="5"/>
    <s v="Q3"/>
    <x v="4"/>
  </r>
  <r>
    <s v="EOS0766"/>
    <d v="2025-09-13T00:00:00"/>
    <s v="FB"/>
    <s v="FB"/>
    <s v="Hiren Patel"/>
    <s v="Surat "/>
    <s v="Gujarat"/>
    <s v="Deal "/>
    <n v="130000"/>
    <n v="107765"/>
    <s v="Deal"/>
    <x v="1"/>
    <d v="2025-09-28T00:00:00"/>
    <n v="15"/>
    <x v="0"/>
    <x v="5"/>
    <s v="Q3"/>
    <x v="0"/>
  </r>
  <r>
    <s v="EOS0767"/>
    <d v="2025-09-13T00:00:00"/>
    <s v="FB"/>
    <s v="FB"/>
    <s v="Hirani mansukh"/>
    <s v="Bhuj"/>
    <s v="Gujarat "/>
    <s v="Rejected"/>
    <n v="130000"/>
    <n v="107766"/>
    <s v="Rejected"/>
    <x v="0"/>
    <m/>
    <s v=""/>
    <x v="0"/>
    <x v="5"/>
    <s v="Q3"/>
    <x v="0"/>
  </r>
  <r>
    <s v="EOS0768"/>
    <d v="2025-09-13T00:00:00"/>
    <s v="FB"/>
    <s v="FB"/>
    <s v="Ayzaz"/>
    <s v="Palanpur"/>
    <s v="Gujarat "/>
    <s v="Rejected"/>
    <n v="108000"/>
    <n v="107767"/>
    <s v="Rejected"/>
    <x v="0"/>
    <m/>
    <s v=""/>
    <x v="0"/>
    <x v="5"/>
    <s v="Q3"/>
    <x v="0"/>
  </r>
  <r>
    <s v="EOS0769"/>
    <d v="2025-09-15T00:00:00"/>
    <s v="FB"/>
    <s v="FB"/>
    <s v="Sunilbhai"/>
    <s v="Vadodara"/>
    <s v="Gujarat "/>
    <s v="Rejected"/>
    <n v="130000"/>
    <n v="107768"/>
    <s v="Rejected"/>
    <x v="0"/>
    <m/>
    <s v=""/>
    <x v="0"/>
    <x v="5"/>
    <s v="Q3"/>
    <x v="0"/>
  </r>
  <r>
    <s v="EOS0770"/>
    <d v="2025-09-15T00:00:00"/>
    <s v="FB"/>
    <s v="FB"/>
    <s v="Sunil Joshi"/>
    <s v="Vadodara"/>
    <s v="Gujarat "/>
    <s v="Rejected"/>
    <n v="130000"/>
    <n v="107769"/>
    <s v="Rejected"/>
    <x v="0"/>
    <m/>
    <s v=""/>
    <x v="0"/>
    <x v="5"/>
    <s v="Q3"/>
    <x v="0"/>
  </r>
  <r>
    <s v="EOS0771"/>
    <d v="2025-09-15T00:00:00"/>
    <s v="FB"/>
    <s v="FB"/>
    <s v="Natvarsinh kalyansinh Makavan"/>
    <s v="himmatnagar"/>
    <s v="Gujarat "/>
    <s v="Rejected"/>
    <n v="108000"/>
    <n v="107770"/>
    <s v="Rejected"/>
    <x v="0"/>
    <m/>
    <s v=""/>
    <x v="0"/>
    <x v="5"/>
    <s v="Q3"/>
    <x v="0"/>
  </r>
  <r>
    <s v="EOS0772"/>
    <d v="2025-09-15T00:00:00"/>
    <s v="FB"/>
    <s v="FB"/>
    <s v="Pulkit Pathak"/>
    <m/>
    <s v="Gujarat "/>
    <s v="Rejected"/>
    <n v="108000"/>
    <n v="107771"/>
    <s v="Rejected"/>
    <x v="0"/>
    <m/>
    <s v=""/>
    <x v="0"/>
    <x v="5"/>
    <s v="Q3"/>
    <x v="0"/>
  </r>
  <r>
    <s v="EOS0773"/>
    <d v="2025-09-15T00:00:00"/>
    <s v="FB"/>
    <s v="FB"/>
    <s v="Patel rajesh"/>
    <m/>
    <s v="Gujarat "/>
    <s v="Rejected"/>
    <n v="108000"/>
    <n v="107772"/>
    <s v="Rejected"/>
    <x v="0"/>
    <m/>
    <s v=""/>
    <x v="0"/>
    <x v="5"/>
    <s v="Q3"/>
    <x v="0"/>
  </r>
  <r>
    <s v="EOS0774"/>
    <d v="2025-09-15T00:00:00"/>
    <s v="FB"/>
    <s v="FB"/>
    <s v="Avdhesh Mishra"/>
    <m/>
    <s v="Gujarat "/>
    <s v="Rejected"/>
    <n v="108000"/>
    <n v="107773"/>
    <s v="Rejected"/>
    <x v="0"/>
    <m/>
    <s v=""/>
    <x v="0"/>
    <x v="5"/>
    <s v="Q3"/>
    <x v="0"/>
  </r>
  <r>
    <s v="EOS0775"/>
    <d v="2025-09-15T00:00:00"/>
    <s v="FB"/>
    <s v="FB"/>
    <s v="savan_thakor_9739"/>
    <s v="Sacan"/>
    <s v="Gujarat "/>
    <s v="Rejected"/>
    <n v="130000"/>
    <n v="107774"/>
    <s v="Rejected"/>
    <x v="0"/>
    <m/>
    <s v=""/>
    <x v="0"/>
    <x v="5"/>
    <s v="Q3"/>
    <x v="0"/>
  </r>
  <r>
    <s v="EOS0776"/>
    <d v="2025-09-15T00:00:00"/>
    <s v="FB"/>
    <s v="FB"/>
    <s v="Priya"/>
    <m/>
    <s v="Gujarat "/>
    <s v="Rejected"/>
    <n v="177000"/>
    <n v="107775"/>
    <s v="Rejected"/>
    <x v="0"/>
    <m/>
    <s v=""/>
    <x v="1"/>
    <x v="5"/>
    <s v="Q3"/>
    <x v="0"/>
  </r>
  <r>
    <s v="EOS0777"/>
    <d v="2025-09-16T00:00:00"/>
    <s v="FB"/>
    <s v="FB"/>
    <s v="Shiv"/>
    <s v="Ahmedabad"/>
    <s v="Gujarat "/>
    <s v="Rejected"/>
    <n v="108000"/>
    <n v="107776"/>
    <s v="Rejected"/>
    <x v="0"/>
    <m/>
    <s v=""/>
    <x v="0"/>
    <x v="5"/>
    <s v="Q3"/>
    <x v="0"/>
  </r>
  <r>
    <s v="EOS0778"/>
    <d v="2025-09-16T00:00:00"/>
    <s v="FB"/>
    <s v="FB"/>
    <s v="Kamil Vahora"/>
    <m/>
    <s v="Gujarat "/>
    <s v="Rejected"/>
    <n v="130000"/>
    <n v="107777"/>
    <s v="Rejected"/>
    <x v="0"/>
    <m/>
    <s v=""/>
    <x v="0"/>
    <x v="5"/>
    <s v="Q3"/>
    <x v="0"/>
  </r>
  <r>
    <s v="EOS0779"/>
    <d v="2025-09-16T00:00:00"/>
    <s v="FB"/>
    <s v="FB"/>
    <s v="Raja Malik"/>
    <m/>
    <s v="Gujarat "/>
    <s v="Rejected"/>
    <n v="130000"/>
    <n v="107778"/>
    <s v="Rejected"/>
    <x v="0"/>
    <m/>
    <s v=""/>
    <x v="0"/>
    <x v="5"/>
    <s v="Q3"/>
    <x v="0"/>
  </r>
  <r>
    <s v="EOS0780"/>
    <d v="2025-09-18T00:00:00"/>
    <s v="FB"/>
    <s v="FB"/>
    <s v="Rizwan Khamu"/>
    <s v="Vadodara"/>
    <s v="Gujarat "/>
    <s v="Rejected"/>
    <n v="130000"/>
    <n v="107779"/>
    <s v="Rejected"/>
    <x v="0"/>
    <m/>
    <s v=""/>
    <x v="0"/>
    <x v="5"/>
    <s v="Q3"/>
    <x v="0"/>
  </r>
  <r>
    <s v="EOS0781"/>
    <d v="2025-09-18T00:00:00"/>
    <s v="FB"/>
    <s v="FB"/>
    <s v="Mayur boliya"/>
    <m/>
    <s v="Gujarat "/>
    <s v="Rejected"/>
    <n v="130000"/>
    <n v="107780"/>
    <s v="Rejected"/>
    <x v="0"/>
    <m/>
    <s v=""/>
    <x v="0"/>
    <x v="5"/>
    <s v="Q3"/>
    <x v="0"/>
  </r>
  <r>
    <s v="EOS0782"/>
    <d v="2025-09-18T00:00:00"/>
    <s v="FB"/>
    <s v="FB"/>
    <s v="Moghaji"/>
    <m/>
    <s v="Gujarat "/>
    <s v="Rejected"/>
    <n v="130000"/>
    <n v="107781"/>
    <s v="Rejected"/>
    <x v="0"/>
    <m/>
    <s v=""/>
    <x v="0"/>
    <x v="5"/>
    <s v="Q3"/>
    <x v="0"/>
  </r>
  <r>
    <s v="EOS0783"/>
    <d v="2025-09-19T00:00:00"/>
    <s v="FB"/>
    <s v="FB"/>
    <s v="Meet bhansali"/>
    <s v="Surat "/>
    <s v="Gujarat "/>
    <s v="Rejected"/>
    <n v="177000"/>
    <n v="107782"/>
    <s v="Rejected"/>
    <x v="0"/>
    <m/>
    <s v=""/>
    <x v="1"/>
    <x v="5"/>
    <s v="Q3"/>
    <x v="0"/>
  </r>
  <r>
    <s v="EOS0784"/>
    <d v="2025-09-19T00:00:00"/>
    <s v="FB"/>
    <s v="FB"/>
    <s v="Rushikesh Solanki"/>
    <s v=" Bhavnagar"/>
    <s v="Gujarat "/>
    <s v="Rejected"/>
    <n v="130000"/>
    <n v="107783"/>
    <s v="Rejected"/>
    <x v="0"/>
    <m/>
    <s v=""/>
    <x v="0"/>
    <x v="5"/>
    <s v="Q3"/>
    <x v="0"/>
  </r>
  <r>
    <s v="EOS0785"/>
    <d v="2025-09-19T00:00:00"/>
    <s v="FB"/>
    <s v="FB"/>
    <s v="Bhagirath Kucha"/>
    <m/>
    <s v="Gujarat "/>
    <s v="Rejected"/>
    <n v="130000"/>
    <n v="107784"/>
    <s v="Rejected"/>
    <x v="0"/>
    <m/>
    <s v=""/>
    <x v="0"/>
    <x v="5"/>
    <s v="Q3"/>
    <x v="0"/>
  </r>
  <r>
    <s v="EOS0786"/>
    <d v="2025-09-19T00:00:00"/>
    <s v="FB"/>
    <s v="FB"/>
    <s v="vaibhav Patel"/>
    <m/>
    <s v="Gujarat "/>
    <s v="Rejected"/>
    <n v="108000"/>
    <n v="107785"/>
    <s v="Rejected"/>
    <x v="0"/>
    <m/>
    <s v=""/>
    <x v="0"/>
    <x v="5"/>
    <s v="Q3"/>
    <x v="0"/>
  </r>
  <r>
    <s v="EOS0787"/>
    <d v="2025-09-19T00:00:00"/>
    <s v="FB"/>
    <s v="FB"/>
    <s v="Sandip Pandya"/>
    <s v="Gandhinagar"/>
    <s v="Gujarat "/>
    <s v="Rejected"/>
    <n v="108000"/>
    <n v="107786"/>
    <s v="Rejected"/>
    <x v="0"/>
    <m/>
    <s v=""/>
    <x v="0"/>
    <x v="5"/>
    <s v="Q3"/>
    <x v="0"/>
  </r>
  <r>
    <s v="EOS0788"/>
    <d v="2025-09-20T00:00:00"/>
    <s v="FB"/>
    <s v="FB"/>
    <s v="Jugal Rathod"/>
    <s v="Surat"/>
    <s v="Gujarat "/>
    <s v="Rejected"/>
    <n v="108000"/>
    <n v="107787"/>
    <s v="Rejected"/>
    <x v="0"/>
    <m/>
    <s v=""/>
    <x v="0"/>
    <x v="5"/>
    <s v="Q3"/>
    <x v="0"/>
  </r>
  <r>
    <s v="EOS0789"/>
    <d v="2025-09-20T00:00:00"/>
    <s v="FB"/>
    <s v="FB"/>
    <s v="VIMLESH PATEL"/>
    <s v="Surat "/>
    <s v="Gujarat "/>
    <s v="Rejected"/>
    <n v="130000"/>
    <n v="107788"/>
    <s v="Rejected"/>
    <x v="0"/>
    <m/>
    <s v=""/>
    <x v="0"/>
    <x v="5"/>
    <s v="Q3"/>
    <x v="0"/>
  </r>
  <r>
    <s v="EOS0790"/>
    <d v="2025-09-20T00:00:00"/>
    <s v="FB"/>
    <s v="FB"/>
    <s v="Mohsin pinjari"/>
    <s v="Surat "/>
    <s v="Gujarat "/>
    <s v="Rejected"/>
    <n v="108000"/>
    <n v="107789"/>
    <s v="Rejected"/>
    <x v="0"/>
    <m/>
    <s v=""/>
    <x v="0"/>
    <x v="5"/>
    <s v="Q3"/>
    <x v="0"/>
  </r>
  <r>
    <s v="EOS0791"/>
    <d v="2025-09-20T00:00:00"/>
    <s v="FB"/>
    <s v="FB"/>
    <s v="DIXIT PANDYA"/>
    <s v="Surat "/>
    <s v="Gujarat "/>
    <s v="Rejected"/>
    <n v="108000"/>
    <n v="107790"/>
    <s v="Rejected"/>
    <x v="0"/>
    <m/>
    <s v=""/>
    <x v="0"/>
    <x v="5"/>
    <s v="Q3"/>
    <x v="0"/>
  </r>
  <r>
    <s v="EOS0792"/>
    <d v="2025-09-20T00:00:00"/>
    <s v="FB"/>
    <s v="FB"/>
    <s v="VISHAL MAKWAN"/>
    <s v="Ahmedabad"/>
    <s v="Gujarat "/>
    <s v="Rejected"/>
    <n v="177000"/>
    <n v="107791"/>
    <s v="Rejected"/>
    <x v="0"/>
    <m/>
    <s v=""/>
    <x v="1"/>
    <x v="5"/>
    <s v="Q3"/>
    <x v="0"/>
  </r>
  <r>
    <s v="EOS0793"/>
    <d v="2025-09-20T00:00:00"/>
    <s v="FB"/>
    <s v="FB"/>
    <s v="Pratik Savliya"/>
    <s v="Amreli"/>
    <s v="Gujarat "/>
    <s v="Rejected"/>
    <n v="108000"/>
    <n v="107792"/>
    <s v="Rejected"/>
    <x v="0"/>
    <m/>
    <s v=""/>
    <x v="0"/>
    <x v="5"/>
    <s v="Q3"/>
    <x v="0"/>
  </r>
  <r>
    <s v="EOS0794"/>
    <d v="2025-09-20T00:00:00"/>
    <s v="FB"/>
    <s v="FB"/>
    <s v="Satish"/>
    <s v="Surendranagar"/>
    <s v="Gujarat "/>
    <s v="Rejected"/>
    <n v="108000"/>
    <n v="107793"/>
    <s v="Rejected"/>
    <x v="0"/>
    <m/>
    <s v=""/>
    <x v="0"/>
    <x v="5"/>
    <s v="Q3"/>
    <x v="0"/>
  </r>
  <r>
    <s v="EOS0795"/>
    <d v="2025-09-20T00:00:00"/>
    <s v="FB"/>
    <s v="FB"/>
    <s v="Mukesh Paida"/>
    <s v="Gandhinagar"/>
    <s v="Gujarat "/>
    <s v="Rejected"/>
    <n v="130000"/>
    <n v="107794"/>
    <s v="Rejected"/>
    <x v="0"/>
    <m/>
    <s v=""/>
    <x v="0"/>
    <x v="5"/>
    <s v="Q3"/>
    <x v="0"/>
  </r>
  <r>
    <s v="EOS0796"/>
    <d v="2025-09-20T00:00:00"/>
    <s v="FB"/>
    <s v="FB"/>
    <s v="Parag Pandya"/>
    <s v="Rajkot"/>
    <s v="Gujarat "/>
    <s v="Rejected"/>
    <n v="177000"/>
    <n v="107795"/>
    <s v="Rejected"/>
    <x v="0"/>
    <m/>
    <s v=""/>
    <x v="1"/>
    <x v="5"/>
    <s v="Q3"/>
    <x v="0"/>
  </r>
  <r>
    <s v="EOS0797"/>
    <d v="2025-09-20T00:00:00"/>
    <s v="FB"/>
    <s v="FB"/>
    <s v="Gohil "/>
    <m/>
    <s v="Gujarat "/>
    <s v="Rejected"/>
    <n v="108000"/>
    <n v="107796"/>
    <s v="Rejected"/>
    <x v="0"/>
    <m/>
    <s v=""/>
    <x v="0"/>
    <x v="5"/>
    <s v="Q3"/>
    <x v="0"/>
  </r>
  <r>
    <s v="EOS0798"/>
    <d v="2025-09-20T00:00:00"/>
    <s v="FB"/>
    <s v="FB"/>
    <s v="Parmar Ajay"/>
    <s v="Surat"/>
    <s v="Gujarat "/>
    <s v="Rejected"/>
    <n v="130000"/>
    <n v="107797"/>
    <s v="Rejected"/>
    <x v="0"/>
    <m/>
    <s v=""/>
    <x v="0"/>
    <x v="5"/>
    <s v="Q3"/>
    <x v="0"/>
  </r>
  <r>
    <s v="EOS0799"/>
    <d v="2025-09-22T00:00:00"/>
    <s v="FB"/>
    <s v="FB"/>
    <s v="Yagnik Malani"/>
    <s v="Kundla "/>
    <s v="Gujarat "/>
    <s v="Rejected"/>
    <n v="130000"/>
    <n v="107798"/>
    <s v="Rejected"/>
    <x v="0"/>
    <m/>
    <s v=""/>
    <x v="0"/>
    <x v="5"/>
    <s v="Q3"/>
    <x v="0"/>
  </r>
  <r>
    <s v="EOS0800"/>
    <d v="2025-09-22T00:00:00"/>
    <s v="FB"/>
    <s v="FB"/>
    <s v="Iqbal Patel"/>
    <s v="Bharuch"/>
    <s v="Gujarat "/>
    <s v="Rejected"/>
    <n v="108000"/>
    <n v="107799"/>
    <s v="Rejected"/>
    <x v="0"/>
    <m/>
    <s v=""/>
    <x v="0"/>
    <x v="5"/>
    <s v="Q3"/>
    <x v="0"/>
  </r>
  <r>
    <s v="EOS0801"/>
    <d v="2025-09-22T00:00:00"/>
    <s v="FB"/>
    <s v="FB"/>
    <s v="Paresh Dhobi"/>
    <m/>
    <s v="Gujarat "/>
    <s v="Rejected"/>
    <n v="130000"/>
    <n v="107800"/>
    <s v="Rejected"/>
    <x v="0"/>
    <m/>
    <s v=""/>
    <x v="0"/>
    <x v="5"/>
    <s v="Q3"/>
    <x v="0"/>
  </r>
  <r>
    <s v="EOS0802"/>
    <d v="2025-09-22T00:00:00"/>
    <s v="FB"/>
    <s v="FB"/>
    <s v="Emran Shekh"/>
    <s v="Jafarabad"/>
    <s v="Gujarat "/>
    <s v="Rejected"/>
    <n v="308000"/>
    <n v="107801"/>
    <s v="Rejected"/>
    <x v="0"/>
    <m/>
    <s v=""/>
    <x v="2"/>
    <x v="5"/>
    <s v="Q3"/>
    <x v="0"/>
  </r>
  <r>
    <s v="EOS0803"/>
    <d v="2025-09-22T00:00:00"/>
    <s v="FB"/>
    <s v="FB"/>
    <s v="rohit_18"/>
    <s v="Jambusar"/>
    <s v="Gujarat "/>
    <s v="Rejected"/>
    <n v="308000"/>
    <n v="107802"/>
    <s v="Rejected"/>
    <x v="0"/>
    <m/>
    <s v=""/>
    <x v="2"/>
    <x v="5"/>
    <s v="Q3"/>
    <x v="0"/>
  </r>
  <r>
    <s v="EOS0804"/>
    <d v="2025-09-22T00:00:00"/>
    <s v="FB"/>
    <s v="FB"/>
    <s v="BAVALIYA ASHOKBHAI"/>
    <s v="Botad "/>
    <s v="Gujarat "/>
    <s v="Rejected"/>
    <n v="108000"/>
    <n v="107803"/>
    <s v="Rejected"/>
    <x v="0"/>
    <m/>
    <s v=""/>
    <x v="0"/>
    <x v="5"/>
    <s v="Q3"/>
    <x v="0"/>
  </r>
  <r>
    <s v="EOS0805"/>
    <d v="2025-09-22T00:00:00"/>
    <s v="FB"/>
    <s v="FB"/>
    <s v="Riyaz Saiyed Qutbi"/>
    <s v="Anand "/>
    <s v="Gujarat "/>
    <s v="Rejected"/>
    <n v="130000"/>
    <n v="107804"/>
    <s v="Rejected"/>
    <x v="0"/>
    <m/>
    <s v=""/>
    <x v="0"/>
    <x v="5"/>
    <s v="Q3"/>
    <x v="0"/>
  </r>
  <r>
    <s v="EOS0806"/>
    <d v="2025-09-22T00:00:00"/>
    <s v="FB"/>
    <s v="FB"/>
    <s v="Naresh Boliya"/>
    <s v="surat"/>
    <s v="Gujarat "/>
    <s v="Rejected"/>
    <n v="108000"/>
    <n v="107805"/>
    <s v="Rejected"/>
    <x v="0"/>
    <m/>
    <s v=""/>
    <x v="0"/>
    <x v="5"/>
    <s v="Q3"/>
    <x v="0"/>
  </r>
  <r>
    <s v="EOS0807"/>
    <d v="2025-09-22T00:00:00"/>
    <s v="FB"/>
    <s v="FB"/>
    <s v="Suyansh Rojiya"/>
    <s v="surat"/>
    <s v="Gujarat "/>
    <s v="Rejected"/>
    <n v="108000"/>
    <n v="107806"/>
    <s v="Rejected"/>
    <x v="0"/>
    <m/>
    <s v=""/>
    <x v="0"/>
    <x v="5"/>
    <s v="Q3"/>
    <x v="0"/>
  </r>
  <r>
    <s v="EOS0808"/>
    <d v="2025-09-22T00:00:00"/>
    <s v="FB"/>
    <s v="FB"/>
    <s v="Dhrutish Prajapati"/>
    <s v="kadi "/>
    <s v="Gujarat "/>
    <s v="Rejected"/>
    <n v="108000"/>
    <n v="107807"/>
    <s v="Rejected"/>
    <x v="0"/>
    <m/>
    <s v=""/>
    <x v="0"/>
    <x v="5"/>
    <s v="Q3"/>
    <x v="0"/>
  </r>
  <r>
    <s v="EOS0809"/>
    <d v="2025-09-22T00:00:00"/>
    <s v="FB"/>
    <s v="FB"/>
    <s v="Kalariya Vijay"/>
    <s v="Upetla "/>
    <s v="Gujarat "/>
    <s v="Rejected"/>
    <n v="177000"/>
    <n v="107808"/>
    <s v="Rejected"/>
    <x v="0"/>
    <m/>
    <s v=""/>
    <x v="1"/>
    <x v="5"/>
    <s v="Q3"/>
    <x v="0"/>
  </r>
  <r>
    <s v="EOS0810"/>
    <d v="2025-09-22T00:00:00"/>
    <s v="FB"/>
    <s v="FB"/>
    <s v="Mukesh Chaudhary"/>
    <s v="Tarad "/>
    <s v="Gujarat "/>
    <s v="Rejected"/>
    <n v="108000"/>
    <n v="107809"/>
    <s v="Rejected"/>
    <x v="0"/>
    <m/>
    <s v=""/>
    <x v="0"/>
    <x v="5"/>
    <s v="Q3"/>
    <x v="0"/>
  </r>
  <r>
    <s v="EOS0811"/>
    <d v="2025-09-23T00:00:00"/>
    <s v="FB"/>
    <s v="FB"/>
    <s v="Kanabhai Chauhan"/>
    <s v="Palanpur"/>
    <s v="Gujarat "/>
    <s v="Rejected"/>
    <n v="130000"/>
    <n v="107810"/>
    <s v="Rejected"/>
    <x v="0"/>
    <m/>
    <s v=""/>
    <x v="0"/>
    <x v="5"/>
    <s v="Q3"/>
    <x v="0"/>
  </r>
  <r>
    <s v="EOS0812"/>
    <d v="2025-09-23T00:00:00"/>
    <s v="FB"/>
    <s v="FB"/>
    <s v="Barkat Mehar"/>
    <s v="Tharad"/>
    <s v="Gujarat "/>
    <s v="Rejected"/>
    <n v="108000"/>
    <n v="107811"/>
    <s v="Rejected"/>
    <x v="0"/>
    <m/>
    <s v=""/>
    <x v="0"/>
    <x v="5"/>
    <s v="Q3"/>
    <x v="0"/>
  </r>
  <r>
    <s v="EOS0813"/>
    <d v="2025-09-23T00:00:00"/>
    <s v="FB"/>
    <s v="FB"/>
    <s v="Huzaifa Mulla"/>
    <s v="Chikali"/>
    <s v="Gujarat "/>
    <s v="Rejected"/>
    <n v="130000"/>
    <n v="107812"/>
    <s v="Rejected"/>
    <x v="0"/>
    <m/>
    <s v=""/>
    <x v="0"/>
    <x v="5"/>
    <s v="Q3"/>
    <x v="0"/>
  </r>
  <r>
    <s v="EOS0814"/>
    <d v="2025-09-23T00:00:00"/>
    <s v="FB"/>
    <s v="FB"/>
    <s v="Mahek Kher"/>
    <s v="Amreli"/>
    <s v="Gujarat "/>
    <s v="Rejected"/>
    <n v="130000"/>
    <n v="107813"/>
    <s v="Rejected"/>
    <x v="0"/>
    <m/>
    <s v=""/>
    <x v="0"/>
    <x v="5"/>
    <s v="Q3"/>
    <x v="0"/>
  </r>
  <r>
    <s v="EOS0815"/>
    <d v="2025-09-23T00:00:00"/>
    <s v="FB"/>
    <s v="FB"/>
    <s v="Kishan Kanmiya"/>
    <s v=" Bhavnagar"/>
    <s v="Gujarat "/>
    <s v="Rejected"/>
    <n v="108000"/>
    <n v="107814"/>
    <s v="Rejected"/>
    <x v="0"/>
    <m/>
    <s v=""/>
    <x v="0"/>
    <x v="5"/>
    <s v="Q3"/>
    <x v="0"/>
  </r>
  <r>
    <s v="EOS0816"/>
    <d v="2025-09-23T00:00:00"/>
    <s v="FB"/>
    <s v="FB"/>
    <s v="rathod Pradipsinh"/>
    <s v="Ahmedabad"/>
    <s v="Gujarat "/>
    <s v="Rejected"/>
    <n v="108000"/>
    <n v="107815"/>
    <s v="Rejected"/>
    <x v="0"/>
    <m/>
    <s v=""/>
    <x v="0"/>
    <x v="5"/>
    <s v="Q3"/>
    <x v="0"/>
  </r>
  <r>
    <s v="EOS0817"/>
    <d v="2025-09-23T00:00:00"/>
    <s v="WA"/>
    <m/>
    <s v="Raj"/>
    <s v="Surat "/>
    <s v="Gujarat "/>
    <s v="Rejected"/>
    <n v="108000"/>
    <n v="107816"/>
    <s v="Rejected"/>
    <x v="0"/>
    <m/>
    <s v=""/>
    <x v="0"/>
    <x v="5"/>
    <s v="Q3"/>
    <x v="0"/>
  </r>
  <r>
    <s v="EOS0818"/>
    <d v="2025-09-23T00:00:00"/>
    <s v="WA"/>
    <m/>
    <s v="Firoz"/>
    <s v="kalol"/>
    <s v="Gujarat "/>
    <s v="Rejected"/>
    <n v="130000"/>
    <n v="107817"/>
    <s v="Rejected"/>
    <x v="0"/>
    <m/>
    <s v=""/>
    <x v="0"/>
    <x v="5"/>
    <s v="Q3"/>
    <x v="0"/>
  </r>
  <r>
    <s v="EOS0819"/>
    <d v="2025-09-25T00:00:00"/>
    <s v="FB"/>
    <s v="FB"/>
    <s v="Mohit "/>
    <s v="Rajkot"/>
    <s v="Gujarat "/>
    <s v="Rejected"/>
    <n v="130000"/>
    <n v="107818"/>
    <s v="Rejected"/>
    <x v="0"/>
    <m/>
    <s v=""/>
    <x v="0"/>
    <x v="5"/>
    <s v="Q3"/>
    <x v="0"/>
  </r>
  <r>
    <s v="EOS0820"/>
    <d v="2025-09-24T00:00:00"/>
    <s v="FB"/>
    <s v="FB"/>
    <s v="Sheth Ankit"/>
    <m/>
    <s v="Gujarat "/>
    <s v="Rejected"/>
    <n v="130000"/>
    <n v="107819"/>
    <s v="Rejected"/>
    <x v="0"/>
    <m/>
    <s v=""/>
    <x v="0"/>
    <x v="5"/>
    <s v="Q3"/>
    <x v="0"/>
  </r>
  <r>
    <s v="EOS0821"/>
    <d v="2025-09-25T00:00:00"/>
    <s v="FB"/>
    <s v="FB"/>
    <s v="Mayur Ratiya"/>
    <s v="porbandra "/>
    <s v="Gujarat "/>
    <s v="Rejected"/>
    <n v="177000"/>
    <n v="107820"/>
    <s v="Rejected"/>
    <x v="0"/>
    <m/>
    <s v=""/>
    <x v="1"/>
    <x v="5"/>
    <s v="Q3"/>
    <x v="0"/>
  </r>
  <r>
    <s v="EOS0822"/>
    <d v="2025-09-24T00:00:00"/>
    <s v="FB"/>
    <s v="FB"/>
    <s v="Mahmad Iqbal Sheikh"/>
    <s v=" Bhavnagar"/>
    <s v="Gujarat "/>
    <s v="Rejected"/>
    <n v="108000"/>
    <n v="107821"/>
    <s v="Rejected"/>
    <x v="0"/>
    <m/>
    <s v=""/>
    <x v="0"/>
    <x v="5"/>
    <s v="Q3"/>
    <x v="0"/>
  </r>
  <r>
    <s v="EOS0823"/>
    <d v="2025-09-25T00:00:00"/>
    <s v="FB"/>
    <s v="FB"/>
    <s v="Jagdish Chauhan"/>
    <s v="Tarapur"/>
    <s v="Gujarat "/>
    <s v="Rejected"/>
    <n v="130000"/>
    <n v="107822"/>
    <s v="Rejected"/>
    <x v="0"/>
    <m/>
    <s v=""/>
    <x v="0"/>
    <x v="5"/>
    <s v="Q3"/>
    <x v="0"/>
  </r>
  <r>
    <s v="EOS0824"/>
    <d v="2025-09-25T00:00:00"/>
    <s v="WA"/>
    <m/>
    <s v="SHAH KEYUR PARESHBHAI"/>
    <s v="Nadiad"/>
    <s v="Gujarat "/>
    <s v="Rejected"/>
    <n v="130000"/>
    <n v="107823"/>
    <s v="Rejected"/>
    <x v="0"/>
    <m/>
    <s v=""/>
    <x v="0"/>
    <x v="5"/>
    <s v="Q3"/>
    <x v="0"/>
  </r>
  <r>
    <s v="EOS0825"/>
    <d v="2025-09-25T00:00:00"/>
    <s v="FB"/>
    <s v="FB"/>
    <s v="Baraiya Darshu"/>
    <m/>
    <s v="Gujarat "/>
    <s v="Rejected"/>
    <n v="108000"/>
    <n v="107824"/>
    <s v="Rejected"/>
    <x v="0"/>
    <m/>
    <s v=""/>
    <x v="0"/>
    <x v="5"/>
    <s v="Q3"/>
    <x v="0"/>
  </r>
  <r>
    <s v="EOS0826"/>
    <d v="2025-09-25T00:00:00"/>
    <s v="FB"/>
    <s v="FB"/>
    <s v="Piyush Rathod"/>
    <s v="Dhawka "/>
    <s v="Gujarat "/>
    <s v="Follow up "/>
    <n v="108000"/>
    <n v="107825"/>
    <s v="Follow up"/>
    <x v="2"/>
    <m/>
    <s v=""/>
    <x v="0"/>
    <x v="5"/>
    <s v="Q3"/>
    <x v="0"/>
  </r>
  <r>
    <s v="EOS0827"/>
    <d v="2025-09-25T00:00:00"/>
    <s v="FB"/>
    <s v="FB"/>
    <s v="Ankur Gamit"/>
    <s v="Surat "/>
    <s v="Gujarat "/>
    <s v="Follow up "/>
    <n v="108000"/>
    <n v="107826"/>
    <s v="Follow up"/>
    <x v="2"/>
    <m/>
    <s v=""/>
    <x v="0"/>
    <x v="5"/>
    <s v="Q3"/>
    <x v="0"/>
  </r>
  <r>
    <s v="EOS0828"/>
    <d v="2025-09-25T00:00:00"/>
    <s v="FB"/>
    <s v="FB"/>
    <s v="Lokesh"/>
    <s v="Ahmedabad "/>
    <s v="Gujarat "/>
    <s v="Follow up "/>
    <n v="108000"/>
    <n v="107827"/>
    <s v="Follow up"/>
    <x v="2"/>
    <m/>
    <s v=""/>
    <x v="0"/>
    <x v="5"/>
    <s v="Q3"/>
    <x v="0"/>
  </r>
  <r>
    <s v="EOS0829"/>
    <d v="2025-09-25T00:00:00"/>
    <s v="FB"/>
    <s v="FB"/>
    <s v="Jaypalsinh Chauhan"/>
    <s v="UMRETH"/>
    <s v="Gujarat "/>
    <s v="Follow up "/>
    <n v="130000"/>
    <n v="107828"/>
    <s v="Follow up"/>
    <x v="2"/>
    <m/>
    <s v=""/>
    <x v="0"/>
    <x v="5"/>
    <s v="Q3"/>
    <x v="0"/>
  </r>
  <r>
    <s v="EOS0830"/>
    <d v="2025-09-27T00:00:00"/>
    <s v="FB"/>
    <s v="FB"/>
    <s v="Meena ben parek"/>
    <m/>
    <s v="Gujarat "/>
    <s v="Rejected"/>
    <n v="130000"/>
    <n v="107829"/>
    <s v="Rejected"/>
    <x v="0"/>
    <m/>
    <s v=""/>
    <x v="0"/>
    <x v="5"/>
    <s v="Q3"/>
    <x v="0"/>
  </r>
  <r>
    <s v="EOS0831"/>
    <d v="2025-09-27T00:00:00"/>
    <s v="FB"/>
    <s v="FB"/>
    <s v="Adil Modasiya"/>
    <s v="Dahod"/>
    <s v="Gujarat "/>
    <s v="Rejected"/>
    <n v="130000"/>
    <n v="107830"/>
    <s v="Rejected"/>
    <x v="0"/>
    <m/>
    <s v=""/>
    <x v="0"/>
    <x v="5"/>
    <s v="Q3"/>
    <x v="0"/>
  </r>
  <r>
    <s v="EOS0832"/>
    <d v="2025-09-27T00:00:00"/>
    <s v="FB"/>
    <s v="FB"/>
    <s v="Pratap"/>
    <s v="rajkot"/>
    <s v="Gujarat "/>
    <s v="Rejected"/>
    <n v="130000"/>
    <n v="107831"/>
    <s v="Rejected"/>
    <x v="0"/>
    <m/>
    <s v=""/>
    <x v="0"/>
    <x v="5"/>
    <s v="Q3"/>
    <x v="0"/>
  </r>
  <r>
    <s v="EOS0833"/>
    <d v="2025-09-27T00:00:00"/>
    <s v="FB"/>
    <s v="FB"/>
    <s v="Jay rakholiya"/>
    <s v="Gondal "/>
    <s v="Gujarat "/>
    <s v="Rejected"/>
    <n v="108000"/>
    <n v="107832"/>
    <s v="Rejected"/>
    <x v="0"/>
    <m/>
    <s v=""/>
    <x v="0"/>
    <x v="5"/>
    <s v="Q3"/>
    <x v="0"/>
  </r>
  <r>
    <s v="EOS0834"/>
    <d v="2025-09-27T00:00:00"/>
    <s v="FB"/>
    <s v="FB"/>
    <s v="Ashish"/>
    <s v="Jamnagar"/>
    <s v="Gujarat "/>
    <s v="Rejected"/>
    <n v="130000"/>
    <n v="107833"/>
    <s v="Rejected"/>
    <x v="0"/>
    <m/>
    <s v=""/>
    <x v="0"/>
    <x v="5"/>
    <s v="Q3"/>
    <x v="0"/>
  </r>
  <r>
    <s v="EOS0835"/>
    <d v="2025-09-27T00:00:00"/>
    <s v="FB"/>
    <s v="FB"/>
    <s v="Satish Ahir"/>
    <s v="Rajkot"/>
    <s v="Gujarat "/>
    <s v="Follow up "/>
    <n v="130000"/>
    <n v="107834"/>
    <s v="Follow up"/>
    <x v="2"/>
    <m/>
    <s v=""/>
    <x v="0"/>
    <x v="5"/>
    <s v="Q3"/>
    <x v="0"/>
  </r>
  <r>
    <s v="EOS0836"/>
    <d v="2025-09-28T00:00:00"/>
    <s v="FB"/>
    <s v="FB"/>
    <s v="Atul Raval"/>
    <s v="Ahmedabad"/>
    <s v="Gujarat "/>
    <s v="Follow up "/>
    <n v="108000"/>
    <n v="107835"/>
    <s v="Follow up"/>
    <x v="2"/>
    <m/>
    <s v=""/>
    <x v="0"/>
    <x v="5"/>
    <s v="Q3"/>
    <x v="0"/>
  </r>
  <r>
    <s v="EOS0837"/>
    <d v="2025-09-28T00:00:00"/>
    <s v="FB"/>
    <s v="FB"/>
    <s v="Krunal"/>
    <s v="patan "/>
    <s v="Gujarat "/>
    <s v="Follow up "/>
    <n v="130000"/>
    <n v="107836"/>
    <s v="Follow up"/>
    <x v="2"/>
    <m/>
    <s v=""/>
    <x v="0"/>
    <x v="5"/>
    <s v="Q3"/>
    <x v="0"/>
  </r>
  <r>
    <s v="EOS0838"/>
    <d v="2025-09-28T00:00:00"/>
    <s v="FB"/>
    <s v="FB"/>
    <s v="charoliya safvan"/>
    <s v="patan "/>
    <s v="Gujarat "/>
    <s v="Rejected"/>
    <n v="108000"/>
    <n v="107837"/>
    <s v="Rejected"/>
    <x v="0"/>
    <m/>
    <s v=""/>
    <x v="0"/>
    <x v="5"/>
    <s v="Q3"/>
    <x v="0"/>
  </r>
  <r>
    <s v="EOS0839"/>
    <d v="2025-09-28T00:00:00"/>
    <s v="FB"/>
    <s v="FB"/>
    <s v="Kamlesh Kamlesh"/>
    <s v="Gandhinagar"/>
    <s v="Gujarat "/>
    <s v="Follow up "/>
    <n v="130000"/>
    <n v="107838"/>
    <s v="Follow up"/>
    <x v="2"/>
    <m/>
    <s v=""/>
    <x v="0"/>
    <x v="5"/>
    <s v="Q3"/>
    <x v="0"/>
  </r>
  <r>
    <s v="EOS0840"/>
    <d v="2025-09-29T00:00:00"/>
    <s v="FB"/>
    <s v="FB"/>
    <s v="Aasim Sherpurawala"/>
    <s v="Bharuch"/>
    <s v="Gujarat "/>
    <s v="Follow up "/>
    <n v="108000"/>
    <n v="107839"/>
    <s v="Follow up"/>
    <x v="2"/>
    <m/>
    <s v=""/>
    <x v="0"/>
    <x v="5"/>
    <s v="Q3"/>
    <x v="0"/>
  </r>
  <r>
    <s v="EOS0841"/>
    <d v="2025-09-29T00:00:00"/>
    <s v="FB"/>
    <s v="FB"/>
    <s v="Md.Safi Shah"/>
    <s v="Botad"/>
    <s v="Gujarat "/>
    <s v="Follow up "/>
    <n v="130000"/>
    <n v="107840"/>
    <s v="Follow up"/>
    <x v="2"/>
    <m/>
    <s v=""/>
    <x v="0"/>
    <x v="5"/>
    <s v="Q3"/>
    <x v="0"/>
  </r>
  <r>
    <s v="EOS0842"/>
    <d v="2025-09-29T00:00:00"/>
    <s v="FB"/>
    <s v="FB"/>
    <s v="Akram "/>
    <s v="Ulpeta "/>
    <s v="Gujarat "/>
    <s v="Rejected"/>
    <n v="130000"/>
    <n v="107841"/>
    <s v="Rejected"/>
    <x v="0"/>
    <m/>
    <s v=""/>
    <x v="0"/>
    <x v="5"/>
    <s v="Q3"/>
    <x v="0"/>
  </r>
  <r>
    <s v="EOS0843"/>
    <d v="2025-09-29T00:00:00"/>
    <s v="FB"/>
    <s v="FB"/>
    <s v="Mori parvin"/>
    <s v="Ahmedabad"/>
    <s v="Gujarat "/>
    <s v="Rejected"/>
    <n v="108000"/>
    <n v="107842"/>
    <s v="Rejected"/>
    <x v="0"/>
    <m/>
    <s v=""/>
    <x v="0"/>
    <x v="5"/>
    <s v="Q3"/>
    <x v="0"/>
  </r>
  <r>
    <s v="EOS0844"/>
    <d v="2025-09-30T00:00:00"/>
    <s v="FB"/>
    <s v="FB"/>
    <s v="Sheikh Adnan"/>
    <s v="Porbandra "/>
    <s v="Gujarat "/>
    <s v="Rejected"/>
    <n v="108000"/>
    <n v="107843"/>
    <s v="Rejected"/>
    <x v="0"/>
    <m/>
    <s v=""/>
    <x v="0"/>
    <x v="5"/>
    <s v="Q3"/>
    <x v="0"/>
  </r>
  <r>
    <s v="EOS0845"/>
    <d v="2025-09-30T00:00:00"/>
    <s v="FB"/>
    <s v="FB"/>
    <s v="Shahrukh Kadiwala"/>
    <s v="Dhaboi"/>
    <s v="Gujarat "/>
    <s v="Follow up "/>
    <n v="130000"/>
    <n v="107844"/>
    <s v="Follow up"/>
    <x v="2"/>
    <m/>
    <s v=""/>
    <x v="0"/>
    <x v="5"/>
    <s v="Q3"/>
    <x v="0"/>
  </r>
  <r>
    <s v="EOS0846"/>
    <d v="2025-09-30T00:00:00"/>
    <s v="FB"/>
    <s v="FB"/>
    <s v="Shubham "/>
    <m/>
    <s v="Gujarat "/>
    <s v="Follow up "/>
    <n v="130000"/>
    <n v="107845"/>
    <s v="Follow up"/>
    <x v="2"/>
    <m/>
    <s v=""/>
    <x v="0"/>
    <x v="5"/>
    <s v="Q3"/>
    <x v="0"/>
  </r>
  <r>
    <s v="EOS0847"/>
    <d v="2025-09-30T00:00:00"/>
    <s v="FB"/>
    <s v="FB"/>
    <s v="Mushtaq kapadia"/>
    <s v="Surat "/>
    <s v="Gujarat "/>
    <s v="Follow up "/>
    <n v="130000"/>
    <n v="107846"/>
    <s v="Deal"/>
    <x v="1"/>
    <m/>
    <s v=""/>
    <x v="0"/>
    <x v="5"/>
    <s v="Q3"/>
    <x v="0"/>
  </r>
  <r>
    <s v="EOS0848"/>
    <d v="2025-10-01T00:00:00"/>
    <s v="FB"/>
    <s v="FB"/>
    <s v="himanshu ( Girish)"/>
    <s v="Mehsana"/>
    <s v="Gujarat "/>
    <s v="Follow up "/>
    <n v="130000"/>
    <n v="107847"/>
    <s v="Deal"/>
    <x v="1"/>
    <m/>
    <s v=""/>
    <x v="0"/>
    <x v="6"/>
    <s v="Q4"/>
    <x v="0"/>
  </r>
  <r>
    <s v="EOS0849"/>
    <d v="2025-09-30T00:00:00"/>
    <s v="FB"/>
    <s v="FB"/>
    <s v="Harish Panchal"/>
    <s v="Limdi"/>
    <s v="Gujarat "/>
    <s v="Rejected"/>
    <n v="130000"/>
    <n v="107848"/>
    <s v="Rejected"/>
    <x v="0"/>
    <m/>
    <s v=""/>
    <x v="0"/>
    <x v="5"/>
    <s v="Q3"/>
    <x v="0"/>
  </r>
  <r>
    <s v="EOS0850"/>
    <d v="2025-09-30T00:00:00"/>
    <s v="FB"/>
    <s v="FB"/>
    <s v="Mohan desai"/>
    <s v="Ahmedabad"/>
    <s v="Gujarat "/>
    <s v="Rejected"/>
    <n v="177000"/>
    <n v="107849"/>
    <s v="Rejected"/>
    <x v="0"/>
    <m/>
    <s v=""/>
    <x v="1"/>
    <x v="5"/>
    <s v="Q3"/>
    <x v="0"/>
  </r>
  <r>
    <s v="EOS0851"/>
    <d v="2025-09-30T00:00:00"/>
    <s v="FB"/>
    <s v="FB"/>
    <s v="chigs@Gym Love"/>
    <s v="Ahmedabad"/>
    <s v="Gujarat "/>
    <s v="Follow up "/>
    <n v="108000"/>
    <n v="107850"/>
    <s v="Deal"/>
    <x v="1"/>
    <m/>
    <s v=""/>
    <x v="0"/>
    <x v="5"/>
    <s v="Q3"/>
    <x v="0"/>
  </r>
  <r>
    <s v="EOS0852"/>
    <d v="2025-10-03T00:00:00"/>
    <s v="FB"/>
    <s v="FB"/>
    <s v="Vaghela Rahul Kaushik"/>
    <s v="Vadodara"/>
    <s v="Gujarat "/>
    <s v="Follow up "/>
    <n v="108000"/>
    <n v="107851"/>
    <s v="Deal"/>
    <x v="1"/>
    <m/>
    <s v=""/>
    <x v="0"/>
    <x v="6"/>
    <s v="Q4"/>
    <x v="0"/>
  </r>
  <r>
    <s v="EOS0853"/>
    <d v="2025-10-03T00:00:00"/>
    <s v="FB"/>
    <s v="FB"/>
    <s v="Vinod N Prajapati"/>
    <s v="Ahmedabad"/>
    <s v="Gujarat "/>
    <s v="Rejected"/>
    <n v="177000"/>
    <n v="107852"/>
    <s v="Deal"/>
    <x v="1"/>
    <m/>
    <s v=""/>
    <x v="1"/>
    <x v="6"/>
    <s v="Q4"/>
    <x v="0"/>
  </r>
  <r>
    <s v="EOS0854"/>
    <d v="2025-10-03T00:00:00"/>
    <s v="FB"/>
    <s v="FB"/>
    <s v="Pritesh Mehta"/>
    <s v="Ahmedabad"/>
    <s v="Gujarat "/>
    <s v="Rejected"/>
    <n v="130000"/>
    <n v="107853"/>
    <s v="Deal"/>
    <x v="1"/>
    <m/>
    <s v=""/>
    <x v="0"/>
    <x v="6"/>
    <s v="Q4"/>
    <x v="0"/>
  </r>
  <r>
    <s v="EOS0855"/>
    <d v="2025-10-03T00:00:00"/>
    <s v="FB"/>
    <s v="FB"/>
    <s v="Mustafa Gondalwala"/>
    <s v="Rajkot"/>
    <s v="Gujarat "/>
    <s v="Rejected"/>
    <n v="108000"/>
    <n v="107854"/>
    <s v="Deal"/>
    <x v="1"/>
    <m/>
    <s v=""/>
    <x v="0"/>
    <x v="6"/>
    <s v="Q4"/>
    <x v="0"/>
  </r>
  <r>
    <s v="EOS0856"/>
    <d v="2025-10-03T00:00:00"/>
    <s v="FB"/>
    <s v="FB"/>
    <s v="Pruthvirajsinh Vala"/>
    <s v="Talala"/>
    <s v="Gujarat "/>
    <s v="Rejected"/>
    <n v="130000"/>
    <n v="107855"/>
    <s v="Rejected"/>
    <x v="0"/>
    <m/>
    <s v=""/>
    <x v="0"/>
    <x v="6"/>
    <s v="Q4"/>
    <x v="0"/>
  </r>
  <r>
    <s v="EOS0857"/>
    <d v="2025-10-03T00:00:00"/>
    <s v="FB"/>
    <s v="FB"/>
    <s v="Milan Thacker"/>
    <s v="Bhuj"/>
    <s v="Gujarat "/>
    <s v="Follow up "/>
    <n v="108000"/>
    <n v="107856"/>
    <s v="Follow up"/>
    <x v="2"/>
    <m/>
    <s v=""/>
    <x v="0"/>
    <x v="6"/>
    <s v="Q4"/>
    <x v="0"/>
  </r>
  <r>
    <s v="EOS0858"/>
    <d v="2025-10-03T00:00:00"/>
    <s v="FB"/>
    <s v="FB"/>
    <s v="KAUSHIK Kumar s modi"/>
    <m/>
    <s v="Gujarat "/>
    <s v="Follow up "/>
    <n v="130000"/>
    <n v="107857"/>
    <s v="Deal"/>
    <x v="1"/>
    <m/>
    <s v=""/>
    <x v="0"/>
    <x v="6"/>
    <s v="Q4"/>
    <x v="0"/>
  </r>
  <r>
    <s v="EOS0859"/>
    <d v="2025-10-08T00:00:00"/>
    <s v="FB"/>
    <s v="FB"/>
    <s v="Dhanraj patil"/>
    <s v="Surat"/>
    <s v="Gujarat "/>
    <s v="Follow up "/>
    <n v="130000"/>
    <n v="107858"/>
    <s v="Follow up"/>
    <x v="2"/>
    <m/>
    <s v=""/>
    <x v="0"/>
    <x v="6"/>
    <s v="Q4"/>
    <x v="0"/>
  </r>
  <r>
    <s v="EOS0860"/>
    <d v="2025-10-08T00:00:00"/>
    <s v="FB"/>
    <s v="FB"/>
    <s v="Desai"/>
    <m/>
    <s v="Gujarat "/>
    <s v="Follow up "/>
    <n v="130000"/>
    <n v="107859"/>
    <s v="Deal"/>
    <x v="1"/>
    <m/>
    <s v=""/>
    <x v="0"/>
    <x v="6"/>
    <s v="Q4"/>
    <x v="0"/>
  </r>
  <r>
    <s v="EOS0861"/>
    <d v="2025-10-08T00:00:00"/>
    <s v="FB"/>
    <s v="FB"/>
    <s v="Maggy Shah"/>
    <m/>
    <s v="Gujarat "/>
    <s v="Follow up "/>
    <n v="130000"/>
    <n v="107860"/>
    <s v="Follow up"/>
    <x v="2"/>
    <m/>
    <s v=""/>
    <x v="0"/>
    <x v="6"/>
    <s v="Q4"/>
    <x v="0"/>
  </r>
  <r>
    <s v="EOS0862"/>
    <d v="2025-10-08T00:00:00"/>
    <s v="FB"/>
    <s v="FB"/>
    <s v="Vipul Desai"/>
    <s v="tharad"/>
    <s v="Gujarat "/>
    <s v="Follow up "/>
    <n v="130000"/>
    <n v="107861"/>
    <s v="Follow up"/>
    <x v="2"/>
    <m/>
    <s v=""/>
    <x v="0"/>
    <x v="6"/>
    <s v="Q4"/>
    <x v="0"/>
  </r>
  <r>
    <s v="EOS0863"/>
    <d v="2025-10-08T00:00:00"/>
    <s v="FB"/>
    <s v="FB"/>
    <s v="Het Goswam"/>
    <s v="Mandvi"/>
    <s v="Gujarat "/>
    <s v="Follow up "/>
    <n v="130000"/>
    <n v="107862"/>
    <s v="Follow up"/>
    <x v="2"/>
    <m/>
    <s v=""/>
    <x v="0"/>
    <x v="6"/>
    <s v="Q4"/>
    <x v="0"/>
  </r>
  <r>
    <s v="EOS0864"/>
    <d v="2025-10-08T00:00:00"/>
    <s v="FB"/>
    <s v="FB"/>
    <s v="Jignesh Shukla"/>
    <s v=" Bhavnagar"/>
    <s v="Gujarat "/>
    <s v="Rejected"/>
    <n v="108000"/>
    <n v="107863"/>
    <s v="Deal"/>
    <x v="1"/>
    <m/>
    <s v=""/>
    <x v="0"/>
    <x v="6"/>
    <s v="Q4"/>
    <x v="0"/>
  </r>
  <r>
    <s v="EOS0865"/>
    <d v="2025-10-08T00:00:00"/>
    <s v="FB"/>
    <s v="FB"/>
    <s v="Gajendrasinh R Vaghela"/>
    <s v="Rajkot"/>
    <s v="Gujarat "/>
    <s v="Follow up "/>
    <n v="108000"/>
    <n v="107864"/>
    <s v="Deal"/>
    <x v="1"/>
    <m/>
    <s v=""/>
    <x v="0"/>
    <x v="6"/>
    <s v="Q4"/>
    <x v="0"/>
  </r>
  <r>
    <s v="EOS0866"/>
    <d v="2025-10-08T00:00:00"/>
    <s v="FB"/>
    <s v="FB"/>
    <s v="Sandhya Prajapati"/>
    <m/>
    <s v="Gujarat "/>
    <s v="Follow up "/>
    <n v="130000"/>
    <n v="107865"/>
    <s v="Follow up"/>
    <x v="2"/>
    <m/>
    <s v=""/>
    <x v="0"/>
    <x v="6"/>
    <s v="Q4"/>
    <x v="0"/>
  </r>
  <r>
    <s v="EOS0867"/>
    <d v="2025-10-08T00:00:00"/>
    <s v="FB"/>
    <s v="FB"/>
    <s v="Jayesh"/>
    <m/>
    <s v="Gujarat "/>
    <s v="Follow up "/>
    <n v="177000"/>
    <n v="107866"/>
    <s v="Follow up"/>
    <x v="2"/>
    <m/>
    <s v=""/>
    <x v="1"/>
    <x v="6"/>
    <s v="Q4"/>
    <x v="0"/>
  </r>
  <r>
    <s v="EOS0868"/>
    <d v="2025-10-08T00:00:00"/>
    <s v="FB"/>
    <s v="FB"/>
    <m/>
    <m/>
    <s v="Gujarat "/>
    <s v="Follow up "/>
    <n v="108000"/>
    <n v="107867"/>
    <s v="Follow up"/>
    <x v="2"/>
    <m/>
    <s v=""/>
    <x v="0"/>
    <x v="6"/>
    <s v="Q4"/>
    <x v="0"/>
  </r>
  <r>
    <s v="EOS0869"/>
    <d v="2025-10-08T00:00:00"/>
    <s v="FB"/>
    <s v="FB"/>
    <s v="Arif Malek"/>
    <m/>
    <s v="Gujarat "/>
    <s v="Follow up "/>
    <n v="108000"/>
    <n v="107868"/>
    <s v="Follow up"/>
    <x v="2"/>
    <m/>
    <s v=""/>
    <x v="0"/>
    <x v="6"/>
    <s v="Q4"/>
    <x v="0"/>
  </r>
  <r>
    <s v="EOS0870"/>
    <d v="2025-10-08T00:00:00"/>
    <s v="FB"/>
    <s v="FB"/>
    <s v="Vikrant Pachoriya"/>
    <m/>
    <s v="Gujarat "/>
    <s v="Follow up "/>
    <n v="130000"/>
    <n v="107869"/>
    <s v="Follow up"/>
    <x v="2"/>
    <m/>
    <s v=""/>
    <x v="0"/>
    <x v="6"/>
    <s v="Q4"/>
    <x v="0"/>
  </r>
  <r>
    <s v="EOS0871"/>
    <d v="2025-10-08T00:00:00"/>
    <s v="FB"/>
    <s v="FB"/>
    <s v="Rawana Prem Singh Mertiya"/>
    <m/>
    <s v="Gujarat "/>
    <s v="Follow up "/>
    <n v="108000"/>
    <n v="107870"/>
    <s v="Follow up"/>
    <x v="2"/>
    <m/>
    <s v=""/>
    <x v="0"/>
    <x v="6"/>
    <s v="Q4"/>
    <x v="0"/>
  </r>
  <r>
    <s v="EOS0872"/>
    <d v="2025-10-08T00:00:00"/>
    <s v="FB"/>
    <s v="FB"/>
    <s v="Gprocks the world"/>
    <m/>
    <s v="Gujarat "/>
    <s v="Follow up "/>
    <n v="130000"/>
    <n v="107871"/>
    <s v="Follow up"/>
    <x v="2"/>
    <m/>
    <s v=""/>
    <x v="0"/>
    <x v="6"/>
    <s v="Q4"/>
    <x v="0"/>
  </r>
  <r>
    <s v="EOS0873"/>
    <d v="2025-10-08T00:00:00"/>
    <s v="FB"/>
    <s v="FB"/>
    <s v="Kirti Patel"/>
    <m/>
    <s v="Gujarat "/>
    <s v="Follow up "/>
    <n v="130000"/>
    <n v="107872"/>
    <s v="Follow up"/>
    <x v="2"/>
    <m/>
    <s v=""/>
    <x v="0"/>
    <x v="6"/>
    <s v="Q4"/>
    <x v="0"/>
  </r>
  <r>
    <s v="EOS0874"/>
    <d v="2025-10-08T00:00:00"/>
    <s v="FB"/>
    <s v="FB"/>
    <s v="Kiran Kumar Vuppala"/>
    <s v="Gandhidham"/>
    <s v="Gujarat "/>
    <s v="Follow up "/>
    <n v="108000"/>
    <n v="107873"/>
    <s v="Follow up"/>
    <x v="2"/>
    <m/>
    <s v=""/>
    <x v="0"/>
    <x v="6"/>
    <s v="Q4"/>
    <x v="0"/>
  </r>
  <r>
    <s v="EOS0875"/>
    <d v="2025-10-09T00:00:00"/>
    <s v="FB"/>
    <s v="FB"/>
    <s v="Virendra Sinh Zala"/>
    <m/>
    <s v="Gujarat "/>
    <s v="Follow up "/>
    <n v="130000"/>
    <n v="107874"/>
    <s v="Follow up"/>
    <x v="2"/>
    <m/>
    <s v=""/>
    <x v="0"/>
    <x v="6"/>
    <s v="Q4"/>
    <x v="0"/>
  </r>
  <r>
    <s v="EOS0876"/>
    <d v="2025-10-11T00:00:00"/>
    <s v="FB"/>
    <s v="FB"/>
    <s v="Bhavik Parmar"/>
    <m/>
    <s v="Gujarat "/>
    <s v="Follow up "/>
    <n v="108000"/>
    <n v="107875"/>
    <s v="Follow up"/>
    <x v="2"/>
    <m/>
    <s v=""/>
    <x v="0"/>
    <x v="6"/>
    <s v="Q4"/>
    <x v="0"/>
  </r>
  <r>
    <s v="EOS0877"/>
    <d v="2025-10-13T00:00:00"/>
    <s v="FB"/>
    <s v="FB"/>
    <s v="Alkm Dan"/>
    <m/>
    <s v="Gujarat "/>
    <s v="Rejected"/>
    <n v="130000"/>
    <n v="107876"/>
    <s v="Rejected"/>
    <x v="0"/>
    <m/>
    <s v=""/>
    <x v="0"/>
    <x v="6"/>
    <s v="Q4"/>
    <x v="0"/>
  </r>
  <r>
    <s v="EOS0878"/>
    <d v="2025-10-14T00:00:00"/>
    <s v="FB"/>
    <s v="FB"/>
    <s v="Dev Rana"/>
    <m/>
    <s v="Gujarat "/>
    <s v="Follow up "/>
    <n v="177000"/>
    <n v="107877"/>
    <s v="Follow up"/>
    <x v="2"/>
    <m/>
    <s v=""/>
    <x v="1"/>
    <x v="6"/>
    <s v="Q4"/>
    <x v="0"/>
  </r>
  <r>
    <s v="EOS0879"/>
    <d v="2025-10-14T00:00:00"/>
    <s v="FB"/>
    <s v="FB"/>
    <s v="MOHSIN RATHOD"/>
    <m/>
    <s v="Gujarat "/>
    <s v="Follow up "/>
    <n v="108000"/>
    <n v="107878"/>
    <s v="Follow up"/>
    <x v="2"/>
    <m/>
    <s v=""/>
    <x v="0"/>
    <x v="6"/>
    <s v="Q4"/>
    <x v="0"/>
  </r>
  <r>
    <s v="EOS0880"/>
    <d v="2025-10-14T00:00:00"/>
    <s v="FB"/>
    <s v="FB"/>
    <s v="Murtuza Panki"/>
    <m/>
    <s v="Gujarat "/>
    <s v="Follow up "/>
    <n v="177000"/>
    <n v="107879"/>
    <s v="Follow up"/>
    <x v="2"/>
    <m/>
    <s v=""/>
    <x v="1"/>
    <x v="6"/>
    <s v="Q4"/>
    <x v="0"/>
  </r>
  <r>
    <s v="EOS0881"/>
    <d v="2025-10-14T00:00:00"/>
    <s v="FB"/>
    <s v="FB"/>
    <s v="Rabarimaulik"/>
    <m/>
    <s v="Gujarat "/>
    <s v="Follow up "/>
    <n v="130000"/>
    <n v="107880"/>
    <s v="Follow up"/>
    <x v="2"/>
    <m/>
    <s v=""/>
    <x v="0"/>
    <x v="6"/>
    <s v="Q4"/>
    <x v="0"/>
  </r>
  <r>
    <s v="EOS0882"/>
    <d v="2025-10-15T00:00:00"/>
    <s v="FB"/>
    <s v="FB"/>
    <s v="Farhaz Mansur"/>
    <s v="Surat "/>
    <s v="Gujarat "/>
    <s v="Follow up "/>
    <n v="308000"/>
    <n v="107881"/>
    <s v="Follow up"/>
    <x v="2"/>
    <m/>
    <s v=""/>
    <x v="2"/>
    <x v="6"/>
    <s v="Q4"/>
    <x v="0"/>
  </r>
  <r>
    <s v="EOS0883"/>
    <d v="2025-10-15T00:00:00"/>
    <s v="FB"/>
    <s v="FB"/>
    <s v="Anand"/>
    <s v="Vadodara"/>
    <s v="Gujarat "/>
    <s v="Follow up "/>
    <n v="130000"/>
    <n v="107882"/>
    <s v="Follow up"/>
    <x v="2"/>
    <m/>
    <s v=""/>
    <x v="0"/>
    <x v="6"/>
    <s v="Q4"/>
    <x v="0"/>
  </r>
  <r>
    <s v="EOS0884"/>
    <d v="2025-10-15T00:00:00"/>
    <s v="FB"/>
    <s v="FB"/>
    <s v="himansu RANA"/>
    <s v="Vadodara"/>
    <s v="Gujarat "/>
    <s v="Follow up "/>
    <n v="108000"/>
    <n v="107883"/>
    <s v="Follow up"/>
    <x v="2"/>
    <m/>
    <s v=""/>
    <x v="0"/>
    <x v="6"/>
    <s v="Q4"/>
    <x v="0"/>
  </r>
  <r>
    <s v="EOS0885"/>
    <d v="2025-10-15T00:00:00"/>
    <s v="FB"/>
    <s v="FB"/>
    <s v="Milan Vaghani"/>
    <s v="Surat"/>
    <s v="Gujarat "/>
    <s v="Follow up "/>
    <n v="108000"/>
    <n v="107884"/>
    <s v="Follow up"/>
    <x v="2"/>
    <m/>
    <s v=""/>
    <x v="0"/>
    <x v="6"/>
    <s v="Q4"/>
    <x v="0"/>
  </r>
  <r>
    <s v="EOS0886"/>
    <d v="2025-10-15T00:00:00"/>
    <s v="FB"/>
    <s v="FB"/>
    <s v="Tushar Brahmbhatt"/>
    <s v="Vadodara"/>
    <s v="Gujarat "/>
    <s v="Rejected"/>
    <n v="130000"/>
    <n v="107885"/>
    <s v="Rejected"/>
    <x v="0"/>
    <m/>
    <s v=""/>
    <x v="0"/>
    <x v="6"/>
    <s v="Q4"/>
    <x v="0"/>
  </r>
  <r>
    <s v="EOS0887"/>
    <d v="2025-10-15T00:00:00"/>
    <s v="FB"/>
    <s v="FB"/>
    <s v="Mohan rathor"/>
    <s v="Ahmedabad"/>
    <s v="Gujarat "/>
    <s v="Rejected"/>
    <n v="130000"/>
    <n v="107886"/>
    <s v="Rejected"/>
    <x v="0"/>
    <m/>
    <s v=""/>
    <x v="0"/>
    <x v="6"/>
    <s v="Q4"/>
    <x v="0"/>
  </r>
  <r>
    <s v="EOS0888"/>
    <d v="2025-10-15T00:00:00"/>
    <s v="WA"/>
    <m/>
    <s v="Harsh Wardhan"/>
    <m/>
    <s v="Bihar "/>
    <s v="Rejected"/>
    <n v="177000"/>
    <n v="107887"/>
    <s v="Rejected"/>
    <x v="0"/>
    <m/>
    <s v=""/>
    <x v="1"/>
    <x v="6"/>
    <s v="Q4"/>
    <x v="3"/>
  </r>
  <r>
    <s v="EOS0889"/>
    <d v="2025-10-15T00:00:00"/>
    <s v="FB"/>
    <s v="FB"/>
    <s v="Ilyas Ghanchi"/>
    <s v="Vadodara"/>
    <s v="Gujarat "/>
    <s v="Rejected"/>
    <n v="177000"/>
    <n v="107888"/>
    <s v="Rejected"/>
    <x v="0"/>
    <m/>
    <s v=""/>
    <x v="1"/>
    <x v="6"/>
    <s v="Q4"/>
    <x v="0"/>
  </r>
  <r>
    <s v="EOS0890"/>
    <d v="2025-10-15T00:00:00"/>
    <s v="FB"/>
    <s v="FB"/>
    <s v="Rajpurohit Loonsingh"/>
    <m/>
    <s v="Gujarat "/>
    <s v="Follow up "/>
    <n v="108000"/>
    <n v="107889"/>
    <s v="Follow up"/>
    <x v="2"/>
    <m/>
    <s v=""/>
    <x v="0"/>
    <x v="6"/>
    <s v="Q4"/>
    <x v="0"/>
  </r>
  <r>
    <s v="EOS0891"/>
    <d v="2025-10-15T00:00:00"/>
    <s v="FB"/>
    <s v="FB"/>
    <s v="Rohit Mirani"/>
    <s v="Gandhidham"/>
    <s v="Gujarat "/>
    <s v="Follow up "/>
    <n v="130000"/>
    <n v="107890"/>
    <s v="Follow up"/>
    <x v="2"/>
    <m/>
    <s v=""/>
    <x v="0"/>
    <x v="6"/>
    <s v="Q4"/>
    <x v="0"/>
  </r>
  <r>
    <s v="EOS0892"/>
    <d v="2025-10-16T00:00:00"/>
    <s v="FB"/>
    <s v="FB"/>
    <s v="Parthdevaliya"/>
    <s v="Surendranagar"/>
    <s v="Gujarat "/>
    <s v="Follow up "/>
    <n v="108000"/>
    <n v="107891"/>
    <s v="Follow up"/>
    <x v="2"/>
    <m/>
    <s v=""/>
    <x v="0"/>
    <x v="6"/>
    <s v="Q4"/>
    <x v="0"/>
  </r>
  <r>
    <s v="EOS0893"/>
    <d v="2025-10-16T00:00:00"/>
    <s v="FB"/>
    <s v="FB"/>
    <s v="Atulsinh Zala"/>
    <s v="Ahmedabad"/>
    <s v="Gujarat "/>
    <s v="Follow up "/>
    <n v="177000"/>
    <n v="107892"/>
    <s v="Follow up"/>
    <x v="2"/>
    <m/>
    <s v=""/>
    <x v="1"/>
    <x v="6"/>
    <s v="Q4"/>
    <x v="0"/>
  </r>
  <r>
    <s v="EOS0894"/>
    <d v="2025-10-16T00:00:00"/>
    <s v="FB"/>
    <s v="FB"/>
    <s v="Mahesh Thakkar"/>
    <m/>
    <s v="Gujarat "/>
    <s v="Rejected"/>
    <n v="108000"/>
    <n v="107893"/>
    <s v="Rejected"/>
    <x v="0"/>
    <m/>
    <s v=""/>
    <x v="0"/>
    <x v="6"/>
    <s v="Q4"/>
    <x v="0"/>
  </r>
  <r>
    <s v="EOS0895"/>
    <d v="2025-10-16T00:00:00"/>
    <s v="FB"/>
    <s v="FB"/>
    <s v="Nilesh"/>
    <s v="Vadodara"/>
    <s v="Gujarat "/>
    <s v="Follow up "/>
    <n v="108000"/>
    <n v="107894"/>
    <s v="Follow up"/>
    <x v="2"/>
    <m/>
    <s v=""/>
    <x v="0"/>
    <x v="6"/>
    <s v="Q4"/>
    <x v="0"/>
  </r>
  <r>
    <s v="EOS0896"/>
    <d v="2025-10-16T00:00:00"/>
    <s v="FB"/>
    <s v="FB"/>
    <s v="Praful"/>
    <s v="Vadodara"/>
    <s v="Gujarat "/>
    <s v="Follow up "/>
    <n v="130000"/>
    <n v="107895"/>
    <s v="Follow up"/>
    <x v="2"/>
    <m/>
    <s v=""/>
    <x v="0"/>
    <x v="6"/>
    <s v="Q4"/>
    <x v="0"/>
  </r>
  <r>
    <s v="EOS0897"/>
    <d v="2025-10-16T00:00:00"/>
    <s v="FB"/>
    <s v="FB"/>
    <s v="mitesh"/>
    <s v="Vadodara"/>
    <s v="Gujarat "/>
    <s v="Follow up "/>
    <n v="108000"/>
    <n v="107896"/>
    <s v="Follow up"/>
    <x v="2"/>
    <m/>
    <s v=""/>
    <x v="0"/>
    <x v="6"/>
    <s v="Q4"/>
    <x v="0"/>
  </r>
  <r>
    <s v="EOS0898"/>
    <d v="2025-10-16T00:00:00"/>
    <s v="FB"/>
    <s v="FB"/>
    <s v="Rajeev Giri"/>
    <s v="Ahmedabad"/>
    <s v="Gujarat "/>
    <s v="Rejected"/>
    <n v="177000"/>
    <n v="107897"/>
    <s v="Rejected"/>
    <x v="0"/>
    <m/>
    <s v=""/>
    <x v="1"/>
    <x v="6"/>
    <s v="Q4"/>
    <x v="0"/>
  </r>
  <r>
    <s v="EOS0899"/>
    <d v="2025-10-16T00:00:00"/>
    <s v="FB"/>
    <s v="FB"/>
    <s v="Kunal Varpe"/>
    <s v="Vadodara"/>
    <s v="Gujarat "/>
    <s v="Rejected"/>
    <n v="108000"/>
    <n v="107898"/>
    <s v="Rejected"/>
    <x v="0"/>
    <m/>
    <s v=""/>
    <x v="0"/>
    <x v="6"/>
    <s v="Q4"/>
    <x v="0"/>
  </r>
  <r>
    <s v="EOS0900"/>
    <d v="2025-10-16T00:00:00"/>
    <s v="FB"/>
    <s v="FB"/>
    <s v="Patel Ravi"/>
    <s v="Surat"/>
    <s v="Gujarat "/>
    <s v="Follow up "/>
    <n v="130000"/>
    <n v="107899"/>
    <s v="Follow up"/>
    <x v="2"/>
    <m/>
    <s v=""/>
    <x v="0"/>
    <x v="6"/>
    <s v="Q4"/>
    <x v="0"/>
  </r>
  <r>
    <s v="EOS0901"/>
    <d v="2025-10-16T00:00:00"/>
    <s v="FB"/>
    <s v="FB"/>
    <s v="Patel Meet"/>
    <m/>
    <s v="Gujarat "/>
    <s v="Follow up "/>
    <n v="108000"/>
    <n v="107900"/>
    <s v="Follow up"/>
    <x v="2"/>
    <m/>
    <s v=""/>
    <x v="0"/>
    <x v="6"/>
    <s v="Q4"/>
    <x v="0"/>
  </r>
  <r>
    <s v="EOS0902"/>
    <d v="2025-10-16T00:00:00"/>
    <s v="FB"/>
    <s v="FB"/>
    <s v="Jaimin Patel"/>
    <s v="Ahmedabad"/>
    <s v="Gujarat "/>
    <s v="Follow up "/>
    <n v="108000"/>
    <n v="107901"/>
    <s v="Follow up"/>
    <x v="2"/>
    <m/>
    <s v=""/>
    <x v="0"/>
    <x v="6"/>
    <s v="Q4"/>
    <x v="0"/>
  </r>
  <r>
    <s v="EOS0903"/>
    <d v="2025-10-16T00:00:00"/>
    <s v="FB"/>
    <s v="FB"/>
    <s v="Suhas Vaghela"/>
    <m/>
    <s v="Gujarat "/>
    <s v="Follow up "/>
    <n v="130000"/>
    <n v="107902"/>
    <s v="Follow up"/>
    <x v="2"/>
    <m/>
    <s v=""/>
    <x v="0"/>
    <x v="6"/>
    <s v="Q4"/>
    <x v="0"/>
  </r>
  <r>
    <s v="EOS0904"/>
    <d v="2025-10-16T00:00:00"/>
    <s v="FB"/>
    <s v="FB"/>
    <s v="Jay Gangani"/>
    <m/>
    <s v="Gujarat "/>
    <s v="Rejected"/>
    <n v="108000"/>
    <n v="107903"/>
    <s v="Rejected"/>
    <x v="0"/>
    <m/>
    <s v=""/>
    <x v="0"/>
    <x v="6"/>
    <s v="Q4"/>
    <x v="0"/>
  </r>
  <r>
    <s v="EOS0905"/>
    <d v="2025-10-16T00:00:00"/>
    <s v="FB"/>
    <s v="FB"/>
    <s v="SAHIL SAIYAD"/>
    <m/>
    <s v="Gujarat "/>
    <s v="Follow up "/>
    <n v="177000"/>
    <n v="107904"/>
    <s v="Follow up"/>
    <x v="2"/>
    <m/>
    <s v=""/>
    <x v="1"/>
    <x v="6"/>
    <s v="Q4"/>
    <x v="0"/>
  </r>
  <r>
    <s v="EOS0906"/>
    <d v="2025-10-16T00:00:00"/>
    <s v="FB"/>
    <s v="FB"/>
    <s v="Kuldeep Sinh Bihola"/>
    <m/>
    <s v="Gujarat "/>
    <s v="Follow up "/>
    <n v="108000"/>
    <n v="107905"/>
    <s v="Follow up"/>
    <x v="2"/>
    <m/>
    <s v=""/>
    <x v="0"/>
    <x v="6"/>
    <s v="Q4"/>
    <x v="0"/>
  </r>
  <r>
    <s v="EOS0907"/>
    <d v="2025-10-16T00:00:00"/>
    <s v="FB"/>
    <s v="FB"/>
    <s v="Chaudhari shayan Kumar jitendra bhai"/>
    <m/>
    <s v="Gujarat "/>
    <s v="Follow up "/>
    <n v="108000"/>
    <n v="107906"/>
    <s v="Follow up"/>
    <x v="2"/>
    <m/>
    <s v=""/>
    <x v="0"/>
    <x v="6"/>
    <s v="Q4"/>
    <x v="0"/>
  </r>
  <r>
    <s v="EOS0908"/>
    <d v="2025-10-17T00:00:00"/>
    <s v="FB"/>
    <s v="FB"/>
    <s v="Nilesh Yadav"/>
    <m/>
    <s v="Gujarat "/>
    <s v="Follow up "/>
    <n v="108000"/>
    <n v="107907"/>
    <s v="Follow up"/>
    <x v="2"/>
    <m/>
    <s v=""/>
    <x v="0"/>
    <x v="6"/>
    <s v="Q4"/>
    <x v="0"/>
  </r>
  <r>
    <s v="EOS0909"/>
    <d v="2025-10-17T00:00:00"/>
    <s v="FB"/>
    <s v="FB"/>
    <s v="SOYAB HINGORA"/>
    <m/>
    <s v="Gujarat "/>
    <s v="Follow up "/>
    <n v="130000"/>
    <n v="107908"/>
    <s v="Follow up"/>
    <x v="2"/>
    <m/>
    <s v=""/>
    <x v="0"/>
    <x v="6"/>
    <s v="Q4"/>
    <x v="0"/>
  </r>
  <r>
    <s v="EOS0910"/>
    <d v="2025-10-17T00:00:00"/>
    <s v="FB"/>
    <s v="FB"/>
    <s v="Royal Sajid"/>
    <s v="Rajkot"/>
    <s v="Gujarat "/>
    <s v="Rejected"/>
    <n v="130000"/>
    <n v="107909"/>
    <s v="Rejected"/>
    <x v="0"/>
    <m/>
    <s v=""/>
    <x v="0"/>
    <x v="6"/>
    <s v="Q4"/>
    <x v="0"/>
  </r>
  <r>
    <s v="EOS0911"/>
    <d v="2025-10-20T00:00:00"/>
    <s v="FB"/>
    <s v="FB"/>
    <s v="Vikram Rajput"/>
    <s v="Vadodara"/>
    <s v="Gujarat "/>
    <s v="Follow up "/>
    <n v="130000"/>
    <n v="107910"/>
    <s v="Follow up"/>
    <x v="2"/>
    <m/>
    <s v=""/>
    <x v="0"/>
    <x v="6"/>
    <s v="Q4"/>
    <x v="0"/>
  </r>
  <r>
    <s v="EOS0912"/>
    <d v="2025-10-20T00:00:00"/>
    <s v="FB"/>
    <s v="FB"/>
    <s v="ABHAY BORICHA"/>
    <s v="Rajkot"/>
    <s v="Gujarat "/>
    <s v="Rejected"/>
    <n v="130000"/>
    <n v="107911"/>
    <s v="Rejected"/>
    <x v="0"/>
    <m/>
    <s v=""/>
    <x v="0"/>
    <x v="6"/>
    <s v="Q4"/>
    <x v="0"/>
  </r>
  <r>
    <s v="EOS0913"/>
    <d v="2025-10-20T00:00:00"/>
    <s v="FB"/>
    <s v="FB"/>
    <s v="Koshi Saxena"/>
    <m/>
    <s v="Gujarat "/>
    <s v="Follow up "/>
    <n v="130000"/>
    <n v="107912"/>
    <s v="Follow up"/>
    <x v="2"/>
    <m/>
    <s v=""/>
    <x v="0"/>
    <x v="6"/>
    <s v="Q4"/>
    <x v="0"/>
  </r>
  <r>
    <s v="EOS0914"/>
    <d v="2025-10-20T00:00:00"/>
    <s v="FB"/>
    <s v="FB"/>
    <s v="Banti Kumar"/>
    <m/>
    <s v="Gujarat "/>
    <s v="Follow up "/>
    <n v="108000"/>
    <n v="107913"/>
    <s v="Follow up"/>
    <x v="2"/>
    <m/>
    <s v=""/>
    <x v="0"/>
    <x v="6"/>
    <s v="Q4"/>
    <x v="0"/>
  </r>
  <r>
    <s v="EOS0915"/>
    <d v="2025-10-20T00:00:00"/>
    <s v="FB"/>
    <s v="FB"/>
    <s v="Akash harijam"/>
    <m/>
    <s v="Gujarat "/>
    <s v="Follow up "/>
    <n v="177000"/>
    <n v="107914"/>
    <s v="Follow up"/>
    <x v="2"/>
    <m/>
    <s v=""/>
    <x v="1"/>
    <x v="6"/>
    <s v="Q4"/>
    <x v="0"/>
  </r>
  <r>
    <s v="EOS0916"/>
    <d v="2025-10-20T00:00:00"/>
    <s v="FB"/>
    <s v="FB"/>
    <s v="Binesh Kumar"/>
    <m/>
    <s v="Gujarat "/>
    <s v="Follow up "/>
    <n v="130000"/>
    <n v="107915"/>
    <s v="Follow up"/>
    <x v="2"/>
    <m/>
    <s v=""/>
    <x v="0"/>
    <x v="6"/>
    <s v="Q4"/>
    <x v="0"/>
  </r>
  <r>
    <s v="EOS0917"/>
    <d v="2025-10-20T00:00:00"/>
    <s v="FB"/>
    <s v="FB"/>
    <s v="Shafikul Khan"/>
    <m/>
    <s v="Gujarat "/>
    <s v="Follow up "/>
    <n v="108000"/>
    <n v="107916"/>
    <s v="Follow up"/>
    <x v="2"/>
    <m/>
    <s v=""/>
    <x v="0"/>
    <x v="6"/>
    <s v="Q4"/>
    <x v="0"/>
  </r>
  <r>
    <s v="EOS0918"/>
    <d v="2025-10-20T00:00:00"/>
    <s v="WA"/>
    <m/>
    <s v="Ravindra Kumar"/>
    <m/>
    <s v="Uttar Pradesh "/>
    <s v="Rejected"/>
    <n v="108000"/>
    <n v="107917"/>
    <s v="Rejected"/>
    <x v="0"/>
    <m/>
    <s v=""/>
    <x v="0"/>
    <x v="6"/>
    <s v="Q4"/>
    <x v="1"/>
  </r>
  <r>
    <s v="EOS0919"/>
    <d v="2025-10-20T00:00:00"/>
    <s v="FB"/>
    <s v="FB"/>
    <s v="Mak enterprises"/>
    <m/>
    <s v="Gujarat "/>
    <s v="Follow up "/>
    <n v="108000"/>
    <n v="107918"/>
    <s v="Follow up"/>
    <x v="2"/>
    <m/>
    <s v=""/>
    <x v="0"/>
    <x v="6"/>
    <s v="Q4"/>
    <x v="0"/>
  </r>
  <r>
    <s v="EOS0920"/>
    <d v="2025-10-20T00:00:00"/>
    <s v="FB"/>
    <s v="FB"/>
    <s v="Surendra Kumar"/>
    <m/>
    <s v="Gujarat "/>
    <s v="Follow up "/>
    <n v="130000"/>
    <n v="107919"/>
    <s v="Follow up"/>
    <x v="2"/>
    <m/>
    <s v=""/>
    <x v="0"/>
    <x v="6"/>
    <s v="Q4"/>
    <x v="0"/>
  </r>
  <r>
    <s v="EOS0921"/>
    <d v="2025-10-22T00:00:00"/>
    <s v="FB"/>
    <s v="FB"/>
    <s v="Seema kumari"/>
    <s v="Mohitari"/>
    <s v="Bihar"/>
    <s v="Follow up "/>
    <n v="108000"/>
    <n v="107920"/>
    <s v="Follow up"/>
    <x v="2"/>
    <m/>
    <s v=""/>
    <x v="0"/>
    <x v="6"/>
    <s v="Q4"/>
    <x v="3"/>
  </r>
  <r>
    <s v="EOS0922"/>
    <d v="2025-10-22T00:00:00"/>
    <s v="FB"/>
    <s v="FB"/>
    <s v="Nirav ratnottar"/>
    <s v=" Bhavnagar"/>
    <s v="Gujarat "/>
    <s v="Follow up "/>
    <n v="108000"/>
    <n v="107921"/>
    <s v="Follow up"/>
    <x v="2"/>
    <m/>
    <s v=""/>
    <x v="0"/>
    <x v="6"/>
    <s v="Q4"/>
    <x v="0"/>
  </r>
  <r>
    <s v="EOS0923"/>
    <d v="2025-10-22T00:00:00"/>
    <s v="FB"/>
    <s v="FB"/>
    <s v="Maulikkumar Jani"/>
    <s v="Gandhinagar"/>
    <s v="Gujarat "/>
    <s v="Follow up "/>
    <n v="130000"/>
    <n v="107922"/>
    <s v="Follow up"/>
    <x v="2"/>
    <m/>
    <s v=""/>
    <x v="0"/>
    <x v="6"/>
    <s v="Q4"/>
    <x v="0"/>
  </r>
  <r>
    <s v="EOS0924"/>
    <d v="2025-10-22T00:00:00"/>
    <s v="FB"/>
    <s v="FB"/>
    <s v="VMK"/>
    <s v="Vadodara"/>
    <s v="Gujarat"/>
    <s v="Rejected"/>
    <n v="177000"/>
    <n v="107923"/>
    <s v="Rejected"/>
    <x v="0"/>
    <m/>
    <s v=""/>
    <x v="1"/>
    <x v="6"/>
    <s v="Q4"/>
    <x v="0"/>
  </r>
  <r>
    <s v="EOS0925"/>
    <d v="2025-10-22T00:00:00"/>
    <s v="FB"/>
    <s v="FB"/>
    <s v="Dipak Ganglani"/>
    <s v="Rajkot"/>
    <s v="Gujarat "/>
    <s v="Follow up "/>
    <n v="108000"/>
    <n v="107924"/>
    <s v="Follow up"/>
    <x v="2"/>
    <m/>
    <s v=""/>
    <x v="0"/>
    <x v="6"/>
    <s v="Q4"/>
    <x v="0"/>
  </r>
  <r>
    <s v="EOS0926"/>
    <d v="2025-10-22T00:00:00"/>
    <s v="FB"/>
    <s v="FB"/>
    <s v="Arun Sinh Chauhan"/>
    <s v="Ahmedabad"/>
    <s v="Gujarat "/>
    <s v="Follow up "/>
    <n v="130000"/>
    <n v="107925"/>
    <s v="Follow up"/>
    <x v="2"/>
    <m/>
    <s v=""/>
    <x v="0"/>
    <x v="6"/>
    <s v="Q4"/>
    <x v="0"/>
  </r>
  <r>
    <s v="EOS0927"/>
    <d v="2025-10-22T00:00:00"/>
    <s v="FB"/>
    <s v="FB"/>
    <s v="y D Vaghela"/>
    <s v="khed bhrama"/>
    <s v="Gujarat "/>
    <s v="Follow up "/>
    <n v="130000"/>
    <n v="107926"/>
    <s v="Follow up"/>
    <x v="2"/>
    <m/>
    <s v=""/>
    <x v="0"/>
    <x v="6"/>
    <s v="Q4"/>
    <x v="0"/>
  </r>
  <r>
    <s v="EOS0928"/>
    <d v="2025-10-22T00:00:00"/>
    <s v="FB"/>
    <s v="FB"/>
    <s v="Arbaz Shaikh"/>
    <s v="Kadi "/>
    <s v="Gujarat "/>
    <s v="Follow up "/>
    <n v="177000"/>
    <n v="107927"/>
    <s v="Follow up"/>
    <x v="2"/>
    <m/>
    <s v=""/>
    <x v="1"/>
    <x v="6"/>
    <s v="Q4"/>
    <x v="0"/>
  </r>
  <r>
    <s v="EOS0929"/>
    <d v="2025-10-22T00:00:00"/>
    <s v="FB"/>
    <s v="FB"/>
    <s v="Gautam bharwad"/>
    <m/>
    <s v="Gujarat "/>
    <s v="Follow up "/>
    <n v="130000"/>
    <n v="107928"/>
    <s v="Follow up"/>
    <x v="2"/>
    <m/>
    <s v=""/>
    <x v="0"/>
    <x v="6"/>
    <s v="Q4"/>
    <x v="0"/>
  </r>
  <r>
    <s v="EOS0930"/>
    <d v="2025-10-22T00:00:00"/>
    <s v="FB"/>
    <s v="FB"/>
    <s v="haresh patel"/>
    <m/>
    <s v="Gujarat "/>
    <s v="Follow up "/>
    <n v="108000"/>
    <n v="107929"/>
    <s v="Follow up"/>
    <x v="2"/>
    <m/>
    <s v=""/>
    <x v="0"/>
    <x v="6"/>
    <s v="Q4"/>
    <x v="0"/>
  </r>
  <r>
    <s v="EOS0931"/>
    <d v="2025-10-22T00:00:00"/>
    <s v="FB"/>
    <s v="FB"/>
    <s v="Mohit Gadhvi"/>
    <m/>
    <s v="Gujarat "/>
    <s v="Follow up "/>
    <n v="108000"/>
    <n v="107930"/>
    <s v="Follow up"/>
    <x v="2"/>
    <m/>
    <s v=""/>
    <x v="0"/>
    <x v="6"/>
    <s v="Q4"/>
    <x v="0"/>
  </r>
  <r>
    <s v="EOS0932"/>
    <d v="2025-10-22T00:00:00"/>
    <s v="FB"/>
    <s v="FB"/>
    <s v="Ayaz Ali Saiyed"/>
    <s v="Thasara"/>
    <s v="Gujarat "/>
    <s v="Follow up "/>
    <n v="130000"/>
    <n v="107931"/>
    <s v="Follow up"/>
    <x v="2"/>
    <m/>
    <s v=""/>
    <x v="0"/>
    <x v="6"/>
    <s v="Q4"/>
    <x v="0"/>
  </r>
  <r>
    <s v="EOS0933"/>
    <d v="2025-10-22T00:00:00"/>
    <s v="FB"/>
    <s v="FB"/>
    <s v="Pradeep Verma"/>
    <s v="Indore"/>
    <s v="Madhya Pradesh"/>
    <s v="Rejected"/>
    <n v="108000"/>
    <n v="107932"/>
    <s v="Rejected"/>
    <x v="0"/>
    <m/>
    <s v=""/>
    <x v="0"/>
    <x v="6"/>
    <s v="Q4"/>
    <x v="2"/>
  </r>
  <r>
    <s v="EOS0934"/>
    <d v="2025-10-22T00:00:00"/>
    <s v="FB"/>
    <s v="FB"/>
    <s v="Banshi Agarwal"/>
    <s v="Aligarh "/>
    <s v="Uttar Pradesh "/>
    <s v="Follow up "/>
    <n v="108000"/>
    <n v="107933"/>
    <s v="Follow up"/>
    <x v="2"/>
    <m/>
    <s v=""/>
    <x v="0"/>
    <x v="6"/>
    <s v="Q4"/>
    <x v="1"/>
  </r>
  <r>
    <s v="EOS0935"/>
    <d v="2025-10-22T00:00:00"/>
    <s v="FB"/>
    <s v="FB"/>
    <s v="Prasenjit Maity"/>
    <s v="Namkhana"/>
    <s v="West Bengal"/>
    <s v="Follow up "/>
    <n v="108000"/>
    <n v="107934"/>
    <s v="Follow up"/>
    <x v="2"/>
    <m/>
    <s v=""/>
    <x v="0"/>
    <x v="6"/>
    <s v="Q4"/>
    <x v="3"/>
  </r>
  <r>
    <s v="EOS0936"/>
    <d v="2025-10-24T00:00:00"/>
    <s v="FB"/>
    <s v="FB"/>
    <s v="Rilesh Ahir"/>
    <s v="bestan "/>
    <s v="Gujarat "/>
    <s v="Follow up "/>
    <n v="130000"/>
    <n v="107935"/>
    <s v="Follow up"/>
    <x v="2"/>
    <m/>
    <s v=""/>
    <x v="0"/>
    <x v="6"/>
    <s v="Q4"/>
    <x v="0"/>
  </r>
  <r>
    <s v="EOS0937"/>
    <d v="2025-10-24T00:00:00"/>
    <s v="FB"/>
    <s v="FB"/>
    <s v="Rafakat Husen Harsoliya"/>
    <s v="himmatnagar"/>
    <s v="Gujarat "/>
    <s v="Follow up "/>
    <n v="130000"/>
    <n v="107936"/>
    <s v="Follow up"/>
    <x v="2"/>
    <m/>
    <s v=""/>
    <x v="0"/>
    <x v="6"/>
    <s v="Q4"/>
    <x v="0"/>
  </r>
  <r>
    <s v="EOS0938"/>
    <d v="2025-10-24T00:00:00"/>
    <s v="FB"/>
    <s v="FB"/>
    <s v="Sohan ajmeri"/>
    <s v="Vadodara"/>
    <s v="Gujarat "/>
    <s v="Follow up "/>
    <n v="108000"/>
    <n v="107937"/>
    <s v="Follow up"/>
    <x v="2"/>
    <m/>
    <s v=""/>
    <x v="0"/>
    <x v="6"/>
    <s v="Q4"/>
    <x v="0"/>
  </r>
  <r>
    <s v="EOS0939"/>
    <d v="2025-10-24T00:00:00"/>
    <s v="FB"/>
    <s v="FB"/>
    <s v="Mitesh Khilwan"/>
    <s v="Rajkot"/>
    <s v="Gujarat "/>
    <s v="Follow up "/>
    <n v="130000"/>
    <n v="107938"/>
    <s v="Follow up"/>
    <x v="2"/>
    <m/>
    <s v=""/>
    <x v="0"/>
    <x v="6"/>
    <s v="Q4"/>
    <x v="0"/>
  </r>
  <r>
    <s v="EOS0940"/>
    <d v="2025-10-24T00:00:00"/>
    <s v="FB"/>
    <s v="FB"/>
    <s v="Bharat Ghela"/>
    <m/>
    <s v="Gujarat "/>
    <s v="Follow up "/>
    <n v="177000"/>
    <n v="107939"/>
    <s v="Follow up"/>
    <x v="2"/>
    <m/>
    <s v=""/>
    <x v="1"/>
    <x v="6"/>
    <s v="Q4"/>
    <x v="0"/>
  </r>
  <r>
    <s v="EOS0941"/>
    <d v="2025-10-24T00:00:00"/>
    <s v="FB"/>
    <s v="FB"/>
    <s v="Manoj Raval"/>
    <m/>
    <s v="Gujarat"/>
    <s v="Rejected"/>
    <n v="108000"/>
    <n v="107940"/>
    <s v="Rejected"/>
    <x v="0"/>
    <m/>
    <s v=""/>
    <x v="0"/>
    <x v="6"/>
    <s v="Q4"/>
    <x v="0"/>
  </r>
  <r>
    <s v="EOS0942"/>
    <d v="2025-10-24T00:00:00"/>
    <s v="FB"/>
    <s v="FB"/>
    <s v="Shubham Ahire"/>
    <s v="Surat "/>
    <s v="Gujarat "/>
    <s v="Follow up "/>
    <n v="130000"/>
    <n v="107941"/>
    <s v="Follow up"/>
    <x v="2"/>
    <m/>
    <s v=""/>
    <x v="0"/>
    <x v="6"/>
    <s v="Q4"/>
    <x v="0"/>
  </r>
  <r>
    <s v="EOS0943"/>
    <d v="2025-10-24T00:00:00"/>
    <s v="FB"/>
    <s v="FB"/>
    <s v="Sanjay Kumar"/>
    <s v="Ranchi "/>
    <s v="Bihar "/>
    <s v="Follow up "/>
    <n v="177000"/>
    <n v="107942"/>
    <s v="Follow up"/>
    <x v="2"/>
    <m/>
    <s v=""/>
    <x v="1"/>
    <x v="6"/>
    <s v="Q4"/>
    <x v="3"/>
  </r>
  <r>
    <s v="EOS0944"/>
    <d v="2025-10-25T00:00:00"/>
    <s v="FB"/>
    <s v="FB"/>
    <s v="kirtesh panchal"/>
    <m/>
    <s v="Rajasthan"/>
    <s v="Follow up "/>
    <n v="177000"/>
    <n v="107943"/>
    <s v="Follow up"/>
    <x v="2"/>
    <m/>
    <s v=""/>
    <x v="1"/>
    <x v="6"/>
    <s v="Q4"/>
    <x v="0"/>
  </r>
  <r>
    <s v="EOS0945"/>
    <d v="2025-10-25T00:00:00"/>
    <s v="FB"/>
    <s v="FB"/>
    <s v="Sanjay Thakor"/>
    <s v="Mehsana"/>
    <s v="Gujarat "/>
    <s v="Follow up "/>
    <n v="308000"/>
    <n v="107944"/>
    <s v="Follow up"/>
    <x v="2"/>
    <m/>
    <s v=""/>
    <x v="2"/>
    <x v="6"/>
    <s v="Q4"/>
    <x v="0"/>
  </r>
  <r>
    <s v="EOS0946"/>
    <d v="2025-10-25T00:00:00"/>
    <s v="FB"/>
    <s v="FB"/>
    <s v="Tejas Patel"/>
    <s v="Mehsana"/>
    <s v="Gujarat "/>
    <s v="Follow up "/>
    <n v="130000"/>
    <n v="107945"/>
    <s v="Follow up"/>
    <x v="2"/>
    <m/>
    <s v=""/>
    <x v="0"/>
    <x v="6"/>
    <s v="Q4"/>
    <x v="0"/>
  </r>
  <r>
    <s v="EOS0947"/>
    <d v="2025-10-25T00:00:00"/>
    <s v="FB"/>
    <s v="FB"/>
    <s v="iamkartikkashyap"/>
    <s v="Chandigard"/>
    <s v="Punjab "/>
    <s v="Follow up "/>
    <n v="108000"/>
    <n v="107946"/>
    <s v="Follow up"/>
    <x v="2"/>
    <m/>
    <s v=""/>
    <x v="0"/>
    <x v="6"/>
    <s v="Q4"/>
    <x v="1"/>
  </r>
  <r>
    <s v="EOS0948"/>
    <d v="2025-10-27T00:00:00"/>
    <s v="FB"/>
    <s v="FB"/>
    <s v="Yuvraj Sisodiya"/>
    <s v="Rajkot"/>
    <s v="Gujarat "/>
    <s v="Follow up "/>
    <n v="130000"/>
    <n v="107947"/>
    <s v="Follow up"/>
    <x v="2"/>
    <m/>
    <s v=""/>
    <x v="0"/>
    <x v="6"/>
    <s v="Q4"/>
    <x v="0"/>
  </r>
  <r>
    <s v="EOS0949"/>
    <d v="2025-10-27T00:00:00"/>
    <s v="FB"/>
    <s v="FB"/>
    <s v="mr.chetan"/>
    <s v="Halvad "/>
    <s v="Gujarat "/>
    <s v="Follow up "/>
    <n v="130000"/>
    <n v="107948"/>
    <s v="Follow up"/>
    <x v="2"/>
    <m/>
    <s v=""/>
    <x v="0"/>
    <x v="6"/>
    <s v="Q4"/>
    <x v="0"/>
  </r>
  <r>
    <s v="EOS0950"/>
    <d v="2025-10-27T00:00:00"/>
    <s v="FB"/>
    <s v="FB"/>
    <s v="Surendrasinh"/>
    <s v="Deodar"/>
    <s v="Rajasthan"/>
    <s v="Follow up "/>
    <n v="108000"/>
    <n v="107949"/>
    <s v="Follow up"/>
    <x v="2"/>
    <m/>
    <s v=""/>
    <x v="0"/>
    <x v="6"/>
    <s v="Q4"/>
    <x v="0"/>
  </r>
  <r>
    <s v="EOS0951"/>
    <d v="2025-10-27T00:00:00"/>
    <s v="FB"/>
    <s v="FB"/>
    <s v="SANDIP THAKOR"/>
    <s v="Bharuch"/>
    <s v="Gujarat "/>
    <s v="Follow up "/>
    <n v="108000"/>
    <n v="107950"/>
    <s v="Follow up"/>
    <x v="2"/>
    <m/>
    <s v=""/>
    <x v="0"/>
    <x v="6"/>
    <s v="Q4"/>
    <x v="0"/>
  </r>
  <r>
    <s v="EOS0952"/>
    <d v="2025-10-27T00:00:00"/>
    <s v="FB"/>
    <s v="FB"/>
    <s v="Ashvin Chauhan"/>
    <s v="Surat "/>
    <s v="Gujarat "/>
    <s v="Follow up "/>
    <n v="130000"/>
    <n v="107951"/>
    <s v="Follow up"/>
    <x v="2"/>
    <m/>
    <s v=""/>
    <x v="0"/>
    <x v="6"/>
    <s v="Q4"/>
    <x v="0"/>
  </r>
  <r>
    <s v="EOS0953"/>
    <d v="2025-10-27T00:00:00"/>
    <s v="FB"/>
    <s v="FB"/>
    <s v="Jignesh Jinjala"/>
    <s v=" Bhavnagar"/>
    <s v="Gujarat "/>
    <s v="Follow up "/>
    <n v="177000"/>
    <n v="107952"/>
    <s v="Follow up"/>
    <x v="2"/>
    <m/>
    <s v=""/>
    <x v="1"/>
    <x v="6"/>
    <s v="Q4"/>
    <x v="0"/>
  </r>
  <r>
    <s v="EOS0954"/>
    <d v="2025-10-27T00:00:00"/>
    <s v="FB"/>
    <s v="FB"/>
    <s v="Mehul Thakor"/>
    <s v="Palanpur"/>
    <s v="Gujarat"/>
    <s v="Rejected"/>
    <n v="130000"/>
    <n v="107953"/>
    <s v="Rejected"/>
    <x v="0"/>
    <m/>
    <s v=""/>
    <x v="0"/>
    <x v="6"/>
    <s v="Q4"/>
    <x v="0"/>
  </r>
  <r>
    <s v="EOS0955"/>
    <d v="2025-10-27T00:00:00"/>
    <s v="WA"/>
    <m/>
    <s v="Uddit"/>
    <s v="gandhidham "/>
    <s v="Gujarat"/>
    <s v="Rejected"/>
    <n v="108000"/>
    <n v="107954"/>
    <s v="Rejected"/>
    <x v="0"/>
    <m/>
    <s v=""/>
    <x v="0"/>
    <x v="6"/>
    <s v="Q4"/>
    <x v="0"/>
  </r>
  <r>
    <s v="EOS0956"/>
    <d v="2025-10-27T00:00:00"/>
    <s v="FB"/>
    <s v="FB"/>
    <s v="Arvind Malkiya"/>
    <s v="Chotila "/>
    <s v="Gujarat "/>
    <s v="Follow up "/>
    <n v="130000"/>
    <n v="107955"/>
    <s v="Follow up"/>
    <x v="2"/>
    <m/>
    <s v=""/>
    <x v="0"/>
    <x v="6"/>
    <s v="Q4"/>
    <x v="0"/>
  </r>
  <r>
    <s v="EOS0957"/>
    <d v="2025-10-28T00:00:00"/>
    <s v="FB"/>
    <s v="FB"/>
    <s v="Kaushikkumar dipubhai nakum"/>
    <s v="Gir Somnath"/>
    <s v="Gujarat"/>
    <s v="Rejected"/>
    <n v="108000"/>
    <n v="107956"/>
    <s v="Rejected"/>
    <x v="0"/>
    <m/>
    <s v=""/>
    <x v="0"/>
    <x v="6"/>
    <s v="Q4"/>
    <x v="0"/>
  </r>
  <r>
    <s v="EOS0958"/>
    <d v="2025-10-28T00:00:00"/>
    <s v="FB"/>
    <s v="FB"/>
    <s v="Prashant Jadhav"/>
    <s v="Surat"/>
    <s v="Gujarat "/>
    <s v="Follow up "/>
    <n v="177000"/>
    <n v="107957"/>
    <s v="Follow up"/>
    <x v="2"/>
    <m/>
    <s v=""/>
    <x v="1"/>
    <x v="6"/>
    <s v="Q4"/>
    <x v="0"/>
  </r>
  <r>
    <s v="EOS0959"/>
    <d v="2025-10-28T00:00:00"/>
    <s v="FB"/>
    <s v="FB"/>
    <s v="Chandraprakash Yadav"/>
    <s v="Azamgarh"/>
    <s v="Uttar Pradesh "/>
    <s v="Follow up "/>
    <n v="177000"/>
    <n v="107958"/>
    <s v="Follow up"/>
    <x v="2"/>
    <m/>
    <s v=""/>
    <x v="1"/>
    <x v="6"/>
    <s v="Q4"/>
    <x v="1"/>
  </r>
  <r>
    <s v="EOS0960"/>
    <d v="2025-10-28T00:00:00"/>
    <s v="FB"/>
    <s v="FB"/>
    <s v="Kochiyaniya Kuldip"/>
    <m/>
    <s v="Gujarat "/>
    <s v="Follow up "/>
    <n v="177000"/>
    <n v="107959"/>
    <s v="Follow up"/>
    <x v="2"/>
    <m/>
    <s v=""/>
    <x v="1"/>
    <x v="6"/>
    <s v="Q4"/>
    <x v="0"/>
  </r>
  <r>
    <s v="EOS0961"/>
    <d v="2025-10-29T00:00:00"/>
    <s v="FB"/>
    <s v="FB"/>
    <s v="Rohit patel"/>
    <s v="Ahmedabad"/>
    <s v="Gujarat "/>
    <s v="Follow up "/>
    <n v="108000"/>
    <n v="107960"/>
    <s v="Follow up"/>
    <x v="2"/>
    <m/>
    <s v=""/>
    <x v="0"/>
    <x v="6"/>
    <s v="Q4"/>
    <x v="0"/>
  </r>
  <r>
    <s v="EOS0962"/>
    <d v="2025-10-29T00:00:00"/>
    <s v="FB"/>
    <s v="FB"/>
    <s v="Kirti chaudhary"/>
    <s v="Ahmedabad"/>
    <s v="Gujarat "/>
    <s v="Follow up "/>
    <n v="130000"/>
    <n v="107961"/>
    <s v="Follow up"/>
    <x v="2"/>
    <m/>
    <s v=""/>
    <x v="0"/>
    <x v="6"/>
    <s v="Q4"/>
    <x v="0"/>
  </r>
  <r>
    <s v="EOS0963"/>
    <d v="2025-10-31T00:00:00"/>
    <s v="FB"/>
    <s v="FB"/>
    <s v="Rahul Chandel"/>
    <m/>
    <s v="Gujarat "/>
    <s v="Follow up "/>
    <n v="130000"/>
    <n v="107962"/>
    <s v="Follow up"/>
    <x v="2"/>
    <m/>
    <s v=""/>
    <x v="0"/>
    <x v="6"/>
    <s v="Q4"/>
    <x v="0"/>
  </r>
  <r>
    <s v="EOS0964"/>
    <d v="2025-10-31T00:00:00"/>
    <s v="FB"/>
    <s v="FB"/>
    <s v="Ajay Yadav"/>
    <s v="gurgaon"/>
    <s v="Uttar Pradesh "/>
    <s v="Follow up "/>
    <n v="177000"/>
    <n v="107963"/>
    <s v="Follow up"/>
    <x v="2"/>
    <m/>
    <s v=""/>
    <x v="1"/>
    <x v="6"/>
    <s v="Q4"/>
    <x v="1"/>
  </r>
  <r>
    <s v="EOS0965"/>
    <d v="2025-10-31T00:00:00"/>
    <s v="FB"/>
    <s v="FB"/>
    <s v="Jaimin Alpeshbhai Machhi"/>
    <s v="Rajkot"/>
    <s v="Gujarat "/>
    <s v="Follow up "/>
    <n v="130000"/>
    <n v="107964"/>
    <s v="Follow up"/>
    <x v="2"/>
    <m/>
    <s v=""/>
    <x v="0"/>
    <x v="6"/>
    <s v="Q4"/>
    <x v="0"/>
  </r>
  <r>
    <s v="EOS0966"/>
    <d v="2025-11-01T00:00:00"/>
    <s v="FB"/>
    <s v="FB"/>
    <s v="Kanishk Thakkar"/>
    <s v="Vadodara"/>
    <s v="Gujarat "/>
    <s v="Follow up "/>
    <n v="130000"/>
    <n v="107965"/>
    <s v="Follow up"/>
    <x v="2"/>
    <m/>
    <s v=""/>
    <x v="0"/>
    <x v="7"/>
    <s v="Q4"/>
    <x v="0"/>
  </r>
  <r>
    <s v="EOS0967"/>
    <d v="2025-11-01T00:00:00"/>
    <s v="FB"/>
    <s v="FB"/>
    <s v="Gilli Krishnani"/>
    <m/>
    <s v="Gujarat "/>
    <s v="Follow up "/>
    <n v="130000"/>
    <n v="107966"/>
    <s v="Follow up"/>
    <x v="2"/>
    <m/>
    <s v=""/>
    <x v="0"/>
    <x v="7"/>
    <s v="Q4"/>
    <x v="0"/>
  </r>
  <r>
    <s v="EOS0968"/>
    <d v="2025-11-03T00:00:00"/>
    <s v="FB"/>
    <s v="FB"/>
    <s v="Parth gohel"/>
    <s v="Anand"/>
    <s v="Gujarat "/>
    <s v="Follow up "/>
    <n v="130000"/>
    <n v="107967"/>
    <s v="Follow up"/>
    <x v="2"/>
    <m/>
    <s v=""/>
    <x v="0"/>
    <x v="7"/>
    <s v="Q4"/>
    <x v="0"/>
  </r>
  <r>
    <s v="EOS0969"/>
    <d v="2025-11-03T00:00:00"/>
    <s v="WA"/>
    <m/>
    <s v="Samir"/>
    <m/>
    <s v="Gujarat "/>
    <s v="Rejected"/>
    <n v="108000"/>
    <n v="107968"/>
    <s v="Rejected"/>
    <x v="0"/>
    <m/>
    <s v=""/>
    <x v="0"/>
    <x v="7"/>
    <s v="Q4"/>
    <x v="0"/>
  </r>
  <r>
    <s v="EOS0970"/>
    <d v="2025-11-03T00:00:00"/>
    <s v="FB"/>
    <s v="FB"/>
    <s v="piyu."/>
    <m/>
    <s v="Gujarat "/>
    <s v="Follow up "/>
    <n v="130000"/>
    <n v="107969"/>
    <s v="Follow up"/>
    <x v="2"/>
    <m/>
    <s v=""/>
    <x v="0"/>
    <x v="7"/>
    <s v="Q4"/>
    <x v="0"/>
  </r>
  <r>
    <s v="EOS0971"/>
    <d v="2025-11-03T00:00:00"/>
    <s v="FB"/>
    <s v="FB"/>
    <s v="A.B. Soni"/>
    <m/>
    <s v="Gujarat "/>
    <s v="Follow up "/>
    <n v="130000"/>
    <n v="107970"/>
    <s v="Follow up"/>
    <x v="2"/>
    <m/>
    <s v=""/>
    <x v="0"/>
    <x v="7"/>
    <s v="Q4"/>
    <x v="0"/>
  </r>
  <r>
    <s v="EOS0972"/>
    <d v="2025-11-03T00:00:00"/>
    <s v="FB"/>
    <s v="FB"/>
    <s v="Arif Malek"/>
    <m/>
    <s v="Gujarat "/>
    <s v="Follow up "/>
    <n v="108000"/>
    <n v="107971"/>
    <s v="Follow up"/>
    <x v="2"/>
    <m/>
    <s v=""/>
    <x v="0"/>
    <x v="7"/>
    <s v="Q4"/>
    <x v="0"/>
  </r>
  <r>
    <s v="EOS0973"/>
    <d v="2025-11-04T00:00:00"/>
    <s v="FB"/>
    <s v="FB"/>
    <s v="vishal. M. Kanabar"/>
    <s v="Rajkot"/>
    <s v="Gujarat "/>
    <s v="Follow up "/>
    <n v="130000"/>
    <n v="107972"/>
    <s v="Follow up"/>
    <x v="2"/>
    <m/>
    <s v=""/>
    <x v="0"/>
    <x v="7"/>
    <s v="Q4"/>
    <x v="0"/>
  </r>
  <r>
    <s v="EOS0974"/>
    <d v="2025-11-04T00:00:00"/>
    <s v="FB"/>
    <s v="FB"/>
    <s v="Chintan Andhariya"/>
    <s v=" Bhavnagar"/>
    <s v="Gujarat "/>
    <s v="Follow up "/>
    <n v="108000"/>
    <n v="107973"/>
    <s v="Follow up"/>
    <x v="2"/>
    <m/>
    <s v=""/>
    <x v="0"/>
    <x v="7"/>
    <s v="Q4"/>
    <x v="0"/>
  </r>
  <r>
    <s v="EOS0975"/>
    <d v="2025-11-04T00:00:00"/>
    <s v="FB"/>
    <s v="FB"/>
    <s v="Karan varma"/>
    <m/>
    <s v="Gujarat"/>
    <s v="Rejected"/>
    <n v="130000"/>
    <n v="107974"/>
    <s v="Rejected"/>
    <x v="0"/>
    <m/>
    <s v=""/>
    <x v="0"/>
    <x v="7"/>
    <s v="Q4"/>
    <x v="0"/>
  </r>
  <r>
    <s v="EOS0976"/>
    <d v="2025-11-05T00:00:00"/>
    <s v="FB"/>
    <s v="FB"/>
    <s v="Ramesh P Bhardva"/>
    <m/>
    <s v="Gujarat "/>
    <s v="Follow up "/>
    <n v="108000"/>
    <n v="107975"/>
    <s v="Follow up"/>
    <x v="2"/>
    <m/>
    <s v=""/>
    <x v="0"/>
    <x v="7"/>
    <s v="Q4"/>
    <x v="0"/>
  </r>
  <r>
    <s v="EOS0977"/>
    <d v="2025-11-05T00:00:00"/>
    <s v="FB"/>
    <s v="FB"/>
    <s v="Pradeep "/>
    <m/>
    <s v="Gujarat"/>
    <s v="Follow up "/>
    <n v="130000"/>
    <n v="107976"/>
    <s v="Follow up"/>
    <x v="2"/>
    <m/>
    <s v=""/>
    <x v="0"/>
    <x v="7"/>
    <s v="Q4"/>
    <x v="0"/>
  </r>
  <r>
    <s v="EOS0978"/>
    <d v="2025-11-05T00:00:00"/>
    <s v="FB"/>
    <s v="FB"/>
    <s v="Vipul Pankhaniya"/>
    <s v="Surat "/>
    <s v="Gujarat "/>
    <s v="Follow up "/>
    <n v="177000"/>
    <n v="107977"/>
    <s v="Follow up"/>
    <x v="2"/>
    <m/>
    <s v=""/>
    <x v="1"/>
    <x v="7"/>
    <s v="Q4"/>
    <x v="0"/>
  </r>
  <r>
    <s v="EOS0979"/>
    <d v="2025-11-05T00:00:00"/>
    <s v="FB"/>
    <s v="FB"/>
    <s v="Naresh Chauhan"/>
    <m/>
    <s v="Gujarat"/>
    <s v="Follow up "/>
    <n v="108000"/>
    <n v="107978"/>
    <s v="Follow up"/>
    <x v="2"/>
    <m/>
    <s v=""/>
    <x v="0"/>
    <x v="7"/>
    <s v="Q4"/>
    <x v="0"/>
  </r>
  <r>
    <s v="EOS0980"/>
    <d v="2025-11-05T00:00:00"/>
    <s v="FB"/>
    <s v="FB"/>
    <s v="Pradipsinh Vaghela"/>
    <m/>
    <s v="Gujarat"/>
    <s v="Follow up "/>
    <n v="108000"/>
    <n v="107979"/>
    <s v="Follow up"/>
    <x v="2"/>
    <m/>
    <s v=""/>
    <x v="0"/>
    <x v="7"/>
    <s v="Q4"/>
    <x v="0"/>
  </r>
  <r>
    <s v="EOS0981"/>
    <d v="2025-11-05T00:00:00"/>
    <s v="FB"/>
    <s v="FB"/>
    <s v="Rahul"/>
    <m/>
    <s v="Gujarat"/>
    <s v="Follow up "/>
    <n v="108000"/>
    <n v="107980"/>
    <s v="Follow up"/>
    <x v="2"/>
    <m/>
    <s v=""/>
    <x v="0"/>
    <x v="7"/>
    <s v="Q4"/>
    <x v="0"/>
  </r>
  <r>
    <s v="EOS0982"/>
    <d v="2025-11-05T00:00:00"/>
    <s v="FB"/>
    <s v="FB"/>
    <s v="Arif Malek"/>
    <m/>
    <s v="Gujarat"/>
    <s v="Follow up "/>
    <n v="177000"/>
    <n v="107981"/>
    <s v="Follow up"/>
    <x v="2"/>
    <m/>
    <s v=""/>
    <x v="1"/>
    <x v="7"/>
    <s v="Q4"/>
    <x v="0"/>
  </r>
  <r>
    <s v="EOS0983"/>
    <d v="2025-11-06T00:00:00"/>
    <s v="FB"/>
    <s v="FB"/>
    <s v="Prajapati Dipak"/>
    <s v="Ahmedabad"/>
    <s v="Gujarat "/>
    <s v="Follow up "/>
    <n v="108000"/>
    <n v="107982"/>
    <s v="Follow up"/>
    <x v="2"/>
    <m/>
    <s v=""/>
    <x v="0"/>
    <x v="7"/>
    <s v="Q4"/>
    <x v="0"/>
  </r>
  <r>
    <s v="EOS0984"/>
    <d v="2025-11-06T00:00:00"/>
    <s v="FB"/>
    <s v="FB"/>
    <s v="Dhapa Sagar"/>
    <s v="Mahuva"/>
    <s v="Gujarat"/>
    <s v="Rejected"/>
    <n v="108000"/>
    <n v="107983"/>
    <s v="Rejected"/>
    <x v="0"/>
    <m/>
    <s v=""/>
    <x v="0"/>
    <x v="7"/>
    <s v="Q4"/>
    <x v="0"/>
  </r>
  <r>
    <s v="EOS0985"/>
    <d v="2025-11-06T00:00:00"/>
    <s v="FB"/>
    <s v="FB"/>
    <s v="Naresh Kathad"/>
    <s v="Dhelana"/>
    <s v="Gujarat "/>
    <s v="Follow up "/>
    <n v="108000"/>
    <n v="107984"/>
    <s v="Follow up"/>
    <x v="2"/>
    <m/>
    <s v=""/>
    <x v="0"/>
    <x v="7"/>
    <s v="Q4"/>
    <x v="0"/>
  </r>
  <r>
    <s v="EOS0986"/>
    <d v="2025-11-06T00:00:00"/>
    <s v="FB"/>
    <s v="FB"/>
    <s v="Amit Pawar"/>
    <s v="Vadodara"/>
    <s v="Gujarat "/>
    <s v="Follow up "/>
    <n v="108000"/>
    <n v="107985"/>
    <s v="Follow up"/>
    <x v="2"/>
    <m/>
    <s v=""/>
    <x v="0"/>
    <x v="7"/>
    <s v="Q4"/>
    <x v="0"/>
  </r>
  <r>
    <s v="EOS0987"/>
    <d v="2025-11-06T00:00:00"/>
    <s v="FB"/>
    <s v="FB"/>
    <s v="Yogeshkumar"/>
    <s v="Palitana "/>
    <s v="Gujarat "/>
    <s v="Follow up "/>
    <n v="130000"/>
    <n v="107986"/>
    <s v="Follow up"/>
    <x v="2"/>
    <m/>
    <s v=""/>
    <x v="0"/>
    <x v="7"/>
    <s v="Q4"/>
    <x v="0"/>
  </r>
  <r>
    <s v="EOS0988"/>
    <d v="2025-11-07T00:00:00"/>
    <s v="FB"/>
    <s v="FB"/>
    <s v="Rishi Donda"/>
    <s v="Surat "/>
    <s v="Gujarat "/>
    <s v="Follow up "/>
    <n v="177000"/>
    <n v="107987"/>
    <s v="Follow up"/>
    <x v="2"/>
    <m/>
    <s v=""/>
    <x v="1"/>
    <x v="7"/>
    <s v="Q4"/>
    <x v="0"/>
  </r>
  <r>
    <s v="EOS0989"/>
    <d v="2025-11-07T00:00:00"/>
    <s v="FB"/>
    <s v="FB"/>
    <s v="Nitul sonara"/>
    <s v="Gandhinagar"/>
    <s v="Gujarat"/>
    <s v="Follow up "/>
    <n v="108000"/>
    <n v="107988"/>
    <s v="Follow up"/>
    <x v="2"/>
    <m/>
    <s v=""/>
    <x v="0"/>
    <x v="7"/>
    <s v="Q4"/>
    <x v="0"/>
  </r>
  <r>
    <s v="EOS0990"/>
    <d v="2025-11-08T00:00:00"/>
    <s v="FB"/>
    <s v="FB"/>
    <s v="Rathod Mahesh"/>
    <s v=" Bhavnagar"/>
    <s v="Gujarat "/>
    <s v="Follow up "/>
    <n v="130000"/>
    <n v="107989"/>
    <s v="Follow up"/>
    <x v="2"/>
    <m/>
    <s v=""/>
    <x v="0"/>
    <x v="7"/>
    <s v="Q4"/>
    <x v="0"/>
  </r>
  <r>
    <s v="EOS0991"/>
    <d v="2025-11-08T00:00:00"/>
    <s v="FB"/>
    <s v="FB"/>
    <s v="Jignesh kumar Manilal patel"/>
    <s v="Virpur"/>
    <s v="Gujarat "/>
    <s v="Follow up "/>
    <n v="108000"/>
    <n v="107990"/>
    <s v="Follow up"/>
    <x v="2"/>
    <m/>
    <s v=""/>
    <x v="0"/>
    <x v="7"/>
    <s v="Q4"/>
    <x v="0"/>
  </r>
  <r>
    <s v="EOS0992"/>
    <d v="2025-11-08T00:00:00"/>
    <s v="FB"/>
    <s v="FB"/>
    <s v="Jignesh Vsv"/>
    <s v="Vododra "/>
    <s v="Gujarat "/>
    <s v="Follow up "/>
    <n v="108000"/>
    <n v="107991"/>
    <s v="Follow up"/>
    <x v="2"/>
    <m/>
    <s v=""/>
    <x v="0"/>
    <x v="7"/>
    <s v="Q4"/>
    <x v="0"/>
  </r>
  <r>
    <s v="EOS0993"/>
    <d v="2025-11-08T00:00:00"/>
    <s v="FB"/>
    <s v="FB"/>
    <s v="_Hujeifa_"/>
    <s v="Ahmedabad"/>
    <s v="Gujarat"/>
    <s v="Rejected"/>
    <n v="108000"/>
    <n v="107992"/>
    <s v="Rejected"/>
    <x v="0"/>
    <m/>
    <s v=""/>
    <x v="0"/>
    <x v="7"/>
    <s v="Q4"/>
    <x v="0"/>
  </r>
  <r>
    <s v="EOS0994"/>
    <d v="2025-11-10T00:00:00"/>
    <s v="FB"/>
    <s v="FB"/>
    <s v="Atik Khan"/>
    <s v="Dabhoi"/>
    <s v="Gujarat"/>
    <s v="Rejected"/>
    <n v="108000"/>
    <n v="107993"/>
    <s v="Rejected"/>
    <x v="0"/>
    <m/>
    <s v=""/>
    <x v="0"/>
    <x v="7"/>
    <s v="Q4"/>
    <x v="0"/>
  </r>
  <r>
    <s v="EOS0995"/>
    <d v="2025-11-10T00:00:00"/>
    <s v="FB"/>
    <s v="FB"/>
    <s v="Mayank Chaudhari"/>
    <s v="waghai"/>
    <s v="Gujarat "/>
    <s v="Follow up "/>
    <n v="130000"/>
    <n v="107994"/>
    <s v="Follow up"/>
    <x v="2"/>
    <m/>
    <s v=""/>
    <x v="0"/>
    <x v="7"/>
    <s v="Q4"/>
    <x v="0"/>
  </r>
  <r>
    <s v="EOS0996"/>
    <d v="2025-11-10T00:00:00"/>
    <s v="FB"/>
    <s v="FB"/>
    <s v="Nahak Surya"/>
    <s v="Ahmedabad"/>
    <s v="Gujarat "/>
    <s v="Follow up "/>
    <n v="177000"/>
    <n v="107995"/>
    <s v="Follow up"/>
    <x v="2"/>
    <m/>
    <s v=""/>
    <x v="1"/>
    <x v="7"/>
    <s v="Q4"/>
    <x v="0"/>
  </r>
  <r>
    <s v="EOS0997"/>
    <d v="2025-11-10T00:00:00"/>
    <s v="FB"/>
    <s v="FB"/>
    <s v="KENIL PARMAR"/>
    <s v="Amreli"/>
    <s v="Gujarat "/>
    <s v="Follow up "/>
    <n v="108000"/>
    <n v="107996"/>
    <s v="Follow up"/>
    <x v="2"/>
    <m/>
    <s v=""/>
    <x v="0"/>
    <x v="7"/>
    <s v="Q4"/>
    <x v="0"/>
  </r>
  <r>
    <s v="EOS0998"/>
    <d v="2025-11-10T00:00:00"/>
    <s v="FB"/>
    <s v="FB"/>
    <s v="bamaniya pravin"/>
    <s v="Rajkot"/>
    <s v="Gujarat "/>
    <s v="Follow up "/>
    <n v="108000"/>
    <n v="107997"/>
    <s v="Follow up"/>
    <x v="2"/>
    <m/>
    <s v=""/>
    <x v="0"/>
    <x v="7"/>
    <s v="Q4"/>
    <x v="0"/>
  </r>
  <r>
    <s v="EOS0999"/>
    <d v="2025-11-10T00:00:00"/>
    <s v="FB"/>
    <s v="FB"/>
    <s v="Mayankbhai Chaudhar"/>
    <s v="Bhagai "/>
    <s v="Gujarat "/>
    <s v="Follow up "/>
    <n v="108000"/>
    <n v="107998"/>
    <s v="Follow up"/>
    <x v="2"/>
    <m/>
    <s v=""/>
    <x v="0"/>
    <x v="7"/>
    <s v="Q4"/>
    <x v="0"/>
  </r>
  <r>
    <s v="EOS1000"/>
    <d v="2025-11-11T00:00:00"/>
    <s v="FB"/>
    <s v="FB"/>
    <s v="Ashok Juthani"/>
    <s v="Junagadh"/>
    <s v="Gujarat "/>
    <s v="Follow up "/>
    <n v="108000"/>
    <n v="107999"/>
    <s v="Follow up"/>
    <x v="2"/>
    <m/>
    <s v=""/>
    <x v="0"/>
    <x v="7"/>
    <s v="Q4"/>
    <x v="0"/>
  </r>
  <r>
    <s v="EOS1001"/>
    <d v="2025-07-25T00:00:00"/>
    <s v="FB"/>
    <s v="FB"/>
    <s v="Jignesh"/>
    <s v="Ahmedabad"/>
    <s v="Gujarat "/>
    <s v="Follow up "/>
    <n v="177000"/>
    <n v="1071000"/>
    <s v="Follow up"/>
    <x v="2"/>
    <d v="2025-08-02T00:00:00"/>
    <n v="8"/>
    <x v="1"/>
    <x v="1"/>
    <s v="Q3"/>
    <x v="0"/>
  </r>
  <r>
    <s v="EOS1002"/>
    <d v="2025-11-11T00:00:00"/>
    <s v="FB"/>
    <s v="FB"/>
    <s v="Pawan Vishwakarma Vishwakarma"/>
    <s v="Surat"/>
    <s v="Gujarat "/>
    <s v="Follow up "/>
    <n v="108000"/>
    <n v="1071001"/>
    <s v="Follow up"/>
    <x v="2"/>
    <m/>
    <s v=""/>
    <x v="0"/>
    <x v="7"/>
    <s v="Q4"/>
    <x v="0"/>
  </r>
  <r>
    <s v="EOS1003"/>
    <d v="2025-11-11T00:00:00"/>
    <s v="FB"/>
    <s v="FB"/>
    <s v="Ketan Shah"/>
    <s v="Bayad"/>
    <s v="Gujarat "/>
    <s v="Follow up "/>
    <n v="130000"/>
    <n v="1071002"/>
    <s v="Follow up"/>
    <x v="2"/>
    <m/>
    <s v=""/>
    <x v="0"/>
    <x v="7"/>
    <s v="Q4"/>
    <x v="0"/>
  </r>
  <r>
    <s v="EOS1004"/>
    <d v="2025-11-11T00:00:00"/>
    <s v="FB"/>
    <s v="FB"/>
    <s v="Sagar Dave"/>
    <s v="Rajkot"/>
    <s v="Gujarat "/>
    <s v="Follow up "/>
    <n v="108000"/>
    <n v="1071003"/>
    <s v="Follow up"/>
    <x v="2"/>
    <m/>
    <s v=""/>
    <x v="0"/>
    <x v="7"/>
    <s v="Q4"/>
    <x v="0"/>
  </r>
  <r>
    <s v="EOS1005"/>
    <d v="2025-11-11T00:00:00"/>
    <s v="FB"/>
    <s v="FB"/>
    <s v="Mori Nilesh"/>
    <s v="Surat "/>
    <s v="Gujarat "/>
    <s v="Follow up "/>
    <n v="177000"/>
    <n v="1071004"/>
    <s v="Follow up"/>
    <x v="2"/>
    <m/>
    <s v=""/>
    <x v="1"/>
    <x v="7"/>
    <s v="Q4"/>
    <x v="0"/>
  </r>
  <r>
    <s v="EOS1006"/>
    <d v="2025-11-11T00:00:00"/>
    <s v="FB"/>
    <s v="FB"/>
    <s v="Dinesh RajeMahadik"/>
    <m/>
    <s v="Gujarat "/>
    <s v="Follow up "/>
    <n v="130000"/>
    <n v="1071005"/>
    <s v="Follow up"/>
    <x v="2"/>
    <m/>
    <s v=""/>
    <x v="0"/>
    <x v="7"/>
    <s v="Q4"/>
    <x v="0"/>
  </r>
  <r>
    <s v="EOS1007"/>
    <d v="2025-06-09T00:00:00"/>
    <s v="FB"/>
    <s v="FB"/>
    <s v="Malvat Vasim"/>
    <s v="Surat"/>
    <s v="Gujarat "/>
    <s v="Follow up "/>
    <n v="130000"/>
    <n v="1071006"/>
    <s v="Follow up"/>
    <x v="2"/>
    <m/>
    <s v=""/>
    <x v="0"/>
    <x v="0"/>
    <s v="Q2"/>
    <x v="0"/>
  </r>
  <r>
    <s v="EOS1008"/>
    <d v="2025-11-12T00:00:00"/>
    <s v="FB"/>
    <s v="FB"/>
    <s v="Bhavik Patel"/>
    <s v="Ahmedabad"/>
    <s v="Gujarat"/>
    <s v="Rejected"/>
    <n v="130000"/>
    <n v="1071007"/>
    <s v="Rejected"/>
    <x v="0"/>
    <m/>
    <s v=""/>
    <x v="0"/>
    <x v="7"/>
    <s v="Q4"/>
    <x v="0"/>
  </r>
  <r>
    <s v="EOS1009"/>
    <d v="2025-11-12T00:00:00"/>
    <s v="FB"/>
    <s v="FB"/>
    <s v="Bharat Andodariya"/>
    <s v="Rajkot "/>
    <s v="Gujarat"/>
    <s v="Rejected"/>
    <n v="130000"/>
    <n v="1071008"/>
    <s v="Rejected"/>
    <x v="0"/>
    <m/>
    <s v=""/>
    <x v="0"/>
    <x v="7"/>
    <s v="Q4"/>
    <x v="0"/>
  </r>
  <r>
    <s v="EOS1010"/>
    <d v="2025-11-12T00:00:00"/>
    <s v="FB"/>
    <s v="FB"/>
    <s v="Lubna Kureshi"/>
    <s v="Surat"/>
    <s v="Gujarat "/>
    <s v="Follow up "/>
    <n v="130000"/>
    <n v="1071009"/>
    <s v="Follow up"/>
    <x v="2"/>
    <m/>
    <s v=""/>
    <x v="0"/>
    <x v="7"/>
    <s v="Q4"/>
    <x v="0"/>
  </r>
  <r>
    <s v="EOS1011"/>
    <d v="2025-11-12T00:00:00"/>
    <s v="FB"/>
    <s v="FB"/>
    <s v="Prince Mali"/>
    <s v="Ahmedabad"/>
    <s v="Gujarat "/>
    <s v="Follow up "/>
    <n v="130000"/>
    <n v="1071010"/>
    <s v="Follow up"/>
    <x v="2"/>
    <m/>
    <s v=""/>
    <x v="0"/>
    <x v="7"/>
    <s v="Q4"/>
    <x v="0"/>
  </r>
  <r>
    <s v="EOS1012"/>
    <d v="2025-11-13T00:00:00"/>
    <s v="FB"/>
    <s v="FB"/>
    <s v="Sp P"/>
    <m/>
    <s v="Gujarat "/>
    <s v="Follow up "/>
    <n v="177000"/>
    <n v="1071011"/>
    <s v="Follow up"/>
    <x v="2"/>
    <m/>
    <s v=""/>
    <x v="1"/>
    <x v="7"/>
    <s v="Q4"/>
    <x v="0"/>
  </r>
  <r>
    <s v="EOS1013"/>
    <d v="2025-11-13T00:00:00"/>
    <s v="FB"/>
    <s v="FB"/>
    <s v="Raj Patel "/>
    <s v="Mehsana"/>
    <s v="Gujarat "/>
    <s v="Follow up "/>
    <n v="108000"/>
    <n v="1071012"/>
    <s v="Follow up"/>
    <x v="2"/>
    <m/>
    <s v=""/>
    <x v="0"/>
    <x v="7"/>
    <s v="Q4"/>
    <x v="0"/>
  </r>
  <r>
    <s v="EOS1014"/>
    <d v="2025-11-13T00:00:00"/>
    <s v="FB"/>
    <s v="FB"/>
    <s v="Rajashi Bariya"/>
    <m/>
    <s v="Gujarat "/>
    <s v="Follow up "/>
    <n v="108000"/>
    <n v="1071013"/>
    <s v="Follow up"/>
    <x v="2"/>
    <m/>
    <s v=""/>
    <x v="0"/>
    <x v="7"/>
    <s v="Q4"/>
    <x v="0"/>
  </r>
  <r>
    <s v="EOS1015"/>
    <d v="2025-11-13T00:00:00"/>
    <s v="FB"/>
    <s v="FB"/>
    <s v="BHAVESH KATHIYAWADI"/>
    <m/>
    <s v="Gujarat "/>
    <s v="Follow up "/>
    <n v="108000"/>
    <n v="1071014"/>
    <s v="Follow up"/>
    <x v="2"/>
    <m/>
    <s v=""/>
    <x v="0"/>
    <x v="7"/>
    <s v="Q4"/>
    <x v="0"/>
  </r>
  <r>
    <s v="EOS1016"/>
    <d v="2025-11-13T00:00:00"/>
    <s v="FB"/>
    <s v="FB"/>
    <m/>
    <m/>
    <s v="Gujarat "/>
    <s v="Follow up "/>
    <n v="108000"/>
    <n v="1071015"/>
    <s v="Follow up"/>
    <x v="2"/>
    <m/>
    <s v=""/>
    <x v="0"/>
    <x v="7"/>
    <s v="Q4"/>
    <x v="0"/>
  </r>
  <r>
    <s v="EOS1017"/>
    <d v="2025-11-14T00:00:00"/>
    <s v="FB"/>
    <s v="FB"/>
    <s v="Nilay Thaker"/>
    <s v="Jamnagar"/>
    <s v="Gujarat"/>
    <s v="Rejected"/>
    <n v="130000"/>
    <n v="1071016"/>
    <s v="Rejected"/>
    <x v="0"/>
    <m/>
    <s v=""/>
    <x v="0"/>
    <x v="7"/>
    <s v="Q4"/>
    <x v="0"/>
  </r>
  <r>
    <s v="EOS1018"/>
    <d v="2025-11-14T00:00:00"/>
    <s v="FB"/>
    <s v="FB"/>
    <s v="Fenilv"/>
    <m/>
    <s v="Gujarat"/>
    <s v="Rejected"/>
    <n v="108000"/>
    <n v="1071017"/>
    <s v="Rejected"/>
    <x v="0"/>
    <m/>
    <s v=""/>
    <x v="0"/>
    <x v="7"/>
    <s v="Q4"/>
    <x v="0"/>
  </r>
  <r>
    <s v="EOS1019"/>
    <d v="2025-11-14T00:00:00"/>
    <s v="FB"/>
    <s v="FB"/>
    <s v="Arjan Apa"/>
    <m/>
    <s v="Gujarat "/>
    <s v="Follow up "/>
    <n v="130000"/>
    <n v="1071018"/>
    <s v="Follow up"/>
    <x v="2"/>
    <m/>
    <s v=""/>
    <x v="0"/>
    <x v="7"/>
    <s v="Q4"/>
    <x v="0"/>
  </r>
  <r>
    <s v="EOS1020"/>
    <d v="2025-11-14T00:00:00"/>
    <s v="FB"/>
    <s v="FB"/>
    <s v="Kalpesh Chaudhar"/>
    <m/>
    <s v="Gujarat "/>
    <s v="Follow up "/>
    <n v="130000"/>
    <n v="1071019"/>
    <s v="Follow up"/>
    <x v="2"/>
    <m/>
    <s v=""/>
    <x v="0"/>
    <x v="7"/>
    <s v="Q4"/>
    <x v="0"/>
  </r>
  <r>
    <s v="EOS1021"/>
    <d v="2025-11-14T00:00:00"/>
    <s v="FB"/>
    <s v="FB"/>
    <s v="Sutariya Mithil"/>
    <m/>
    <s v="Gujarat "/>
    <s v="Follow up "/>
    <n v="130000"/>
    <n v="1071020"/>
    <s v="Follow up"/>
    <x v="2"/>
    <m/>
    <s v=""/>
    <x v="0"/>
    <x v="7"/>
    <s v="Q4"/>
    <x v="0"/>
  </r>
  <r>
    <s v="EOS1022"/>
    <d v="2025-11-14T00:00:00"/>
    <s v="FB"/>
    <s v="FB"/>
    <s v="Sagar Ghetiya"/>
    <m/>
    <s v="Gujarat "/>
    <s v="Follow up "/>
    <n v="130000"/>
    <n v="1071021"/>
    <s v="Follow up"/>
    <x v="2"/>
    <m/>
    <s v=""/>
    <x v="0"/>
    <x v="7"/>
    <s v="Q4"/>
    <x v="0"/>
  </r>
  <r>
    <s v="EOS1023"/>
    <d v="2025-11-14T00:00:00"/>
    <s v="FB"/>
    <s v="FB"/>
    <s v="Meet Suthar"/>
    <m/>
    <s v="Gujarat "/>
    <s v="Follow up "/>
    <n v="130000"/>
    <n v="1071022"/>
    <s v="Follow up"/>
    <x v="2"/>
    <m/>
    <s v=""/>
    <x v="0"/>
    <x v="7"/>
    <s v="Q4"/>
    <x v="0"/>
  </r>
  <r>
    <s v="EOS1024"/>
    <d v="2025-11-14T00:00:00"/>
    <s v="FB"/>
    <s v="FB"/>
    <s v="Solanki aniruddhsinh "/>
    <m/>
    <s v="Gujarat "/>
    <s v="Follow up "/>
    <n v="108000"/>
    <n v="1071023"/>
    <s v="Follow up"/>
    <x v="2"/>
    <m/>
    <s v=""/>
    <x v="0"/>
    <x v="7"/>
    <s v="Q4"/>
    <x v="0"/>
  </r>
  <r>
    <s v="EOS1025"/>
    <d v="2025-11-15T00:00:00"/>
    <s v="WA"/>
    <m/>
    <s v="Autosh Rai "/>
    <s v="lucknow "/>
    <s v="Gujarat "/>
    <s v="Deal"/>
    <n v="130000"/>
    <n v="1071024"/>
    <s v="Deal"/>
    <x v="1"/>
    <d v="2025-11-30T00:00:00"/>
    <n v="15"/>
    <x v="0"/>
    <x v="7"/>
    <s v="Q4"/>
    <x v="0"/>
  </r>
  <r>
    <s v="EOS1026"/>
    <d v="2025-11-14T00:00:00"/>
    <s v="FB"/>
    <s v="FB"/>
    <s v="Hiren Miyatra"/>
    <m/>
    <s v="Gujarat "/>
    <s v="Follow up "/>
    <n v="130000"/>
    <n v="1071025"/>
    <s v="Follow up"/>
    <x v="2"/>
    <m/>
    <s v=""/>
    <x v="0"/>
    <x v="7"/>
    <s v="Q4"/>
    <x v="0"/>
  </r>
  <r>
    <s v="EOS1027"/>
    <d v="2025-11-15T00:00:00"/>
    <s v="FB"/>
    <s v="FB"/>
    <s v="Zaid Panwala"/>
    <m/>
    <s v="Gujarat"/>
    <s v="Rejected"/>
    <n v="130000"/>
    <n v="1071026"/>
    <s v="Rejected"/>
    <x v="0"/>
    <m/>
    <s v=""/>
    <x v="0"/>
    <x v="7"/>
    <s v="Q4"/>
    <x v="0"/>
  </r>
  <r>
    <s v="EOS1028"/>
    <d v="2025-11-15T00:00:00"/>
    <s v="FB"/>
    <s v="FB"/>
    <s v="Parth Koshti"/>
    <m/>
    <s v="Gujarat "/>
    <s v="Follow up "/>
    <n v="108000"/>
    <n v="1071027"/>
    <s v="Follow up"/>
    <x v="2"/>
    <m/>
    <s v=""/>
    <x v="0"/>
    <x v="7"/>
    <s v="Q4"/>
    <x v="0"/>
  </r>
  <r>
    <s v="EOS1029"/>
    <d v="2025-11-15T00:00:00"/>
    <s v="FB"/>
    <s v="FB"/>
    <s v="NAUSHAD"/>
    <m/>
    <s v="Gujarat "/>
    <s v="Follow up "/>
    <n v="108000"/>
    <n v="1071028"/>
    <s v="Follow up"/>
    <x v="2"/>
    <m/>
    <s v=""/>
    <x v="0"/>
    <x v="7"/>
    <s v="Q4"/>
    <x v="0"/>
  </r>
  <r>
    <s v="EOS1030"/>
    <d v="2025-11-15T00:00:00"/>
    <s v="FB"/>
    <s v="FB"/>
    <s v="Sandeep Jayswal"/>
    <m/>
    <s v="Gujarat "/>
    <s v="Follow up "/>
    <n v="108000"/>
    <n v="1071029"/>
    <s v="Follow up"/>
    <x v="2"/>
    <m/>
    <s v=""/>
    <x v="0"/>
    <x v="7"/>
    <s v="Q4"/>
    <x v="0"/>
  </r>
  <r>
    <s v="EOS1031"/>
    <d v="2025-11-15T00:00:00"/>
    <s v="FB"/>
    <s v="FB"/>
    <s v="Sachin Labana"/>
    <m/>
    <s v="Gujarat "/>
    <s v="Follow up "/>
    <n v="130000"/>
    <n v="1071030"/>
    <s v="Follow up"/>
    <x v="2"/>
    <m/>
    <s v=""/>
    <x v="0"/>
    <x v="7"/>
    <s v="Q4"/>
    <x v="0"/>
  </r>
  <r>
    <s v="EOS1032"/>
    <d v="2025-11-15T00:00:00"/>
    <s v="FB"/>
    <s v="FB"/>
    <s v="jignesh"/>
    <m/>
    <s v="Gujarat "/>
    <s v="Follow up "/>
    <n v="108000"/>
    <n v="1071031"/>
    <s v="Follow up"/>
    <x v="2"/>
    <m/>
    <s v=""/>
    <x v="0"/>
    <x v="7"/>
    <s v="Q4"/>
    <x v="0"/>
  </r>
  <r>
    <s v="EOS1033"/>
    <d v="2025-11-15T00:00:00"/>
    <s v="FB"/>
    <s v="FB"/>
    <s v="Vipul Dudhaiya"/>
    <m/>
    <s v="Gujarat "/>
    <s v="Follow up "/>
    <n v="130000"/>
    <n v="1071032"/>
    <s v="Follow up"/>
    <x v="2"/>
    <m/>
    <s v=""/>
    <x v="0"/>
    <x v="7"/>
    <s v="Q4"/>
    <x v="0"/>
  </r>
  <r>
    <s v="EOS1034"/>
    <d v="2025-11-15T00:00:00"/>
    <s v="FB"/>
    <s v="FB"/>
    <m/>
    <m/>
    <s v="Gujarat "/>
    <s v="Follow up "/>
    <n v="177000"/>
    <n v="1071033"/>
    <s v="Follow up"/>
    <x v="2"/>
    <m/>
    <s v=""/>
    <x v="1"/>
    <x v="7"/>
    <s v="Q4"/>
    <x v="0"/>
  </r>
  <r>
    <s v="EOS1035"/>
    <d v="2025-11-15T00:00:00"/>
    <s v="FB"/>
    <s v="FB"/>
    <s v="Mohit Brahmbhatt"/>
    <m/>
    <s v="Gujarat "/>
    <s v="Follow up "/>
    <n v="108000"/>
    <n v="1071034"/>
    <s v="Follow up"/>
    <x v="2"/>
    <m/>
    <s v=""/>
    <x v="0"/>
    <x v="7"/>
    <s v="Q4"/>
    <x v="0"/>
  </r>
  <r>
    <s v="EOS1036"/>
    <d v="2025-11-15T00:00:00"/>
    <s v="FB"/>
    <s v="FB"/>
    <s v="Yatin Vora"/>
    <m/>
    <s v="Gujarat "/>
    <s v="Follow up "/>
    <n v="177000"/>
    <n v="1071035"/>
    <s v="Follow up"/>
    <x v="2"/>
    <m/>
    <s v=""/>
    <x v="1"/>
    <x v="7"/>
    <s v="Q4"/>
    <x v="0"/>
  </r>
  <r>
    <s v="EOS1037"/>
    <d v="2025-11-15T00:00:00"/>
    <s v="FB"/>
    <s v="FB"/>
    <s v="Alpesh Barot"/>
    <m/>
    <s v="Gujarat "/>
    <s v="Follow up "/>
    <n v="108000"/>
    <n v="1071036"/>
    <s v="Follow up"/>
    <x v="2"/>
    <m/>
    <s v=""/>
    <x v="0"/>
    <x v="7"/>
    <s v="Q4"/>
    <x v="0"/>
  </r>
  <r>
    <s v="EOS1038"/>
    <d v="2025-11-15T00:00:00"/>
    <s v="FB"/>
    <s v="FB"/>
    <s v="Rakesh Balya"/>
    <m/>
    <s v="Gujarat "/>
    <s v="Follow up "/>
    <n v="108000"/>
    <n v="1071037"/>
    <s v="Follow up"/>
    <x v="2"/>
    <m/>
    <s v=""/>
    <x v="0"/>
    <x v="7"/>
    <s v="Q4"/>
    <x v="0"/>
  </r>
  <r>
    <s v="EOS1039"/>
    <d v="2025-11-15T00:00:00"/>
    <s v="FB"/>
    <s v="FB"/>
    <s v="yashraj Sinh"/>
    <s v="Ahmedabad"/>
    <s v="Gujarat "/>
    <s v="Follow up "/>
    <n v="108000"/>
    <n v="1071038"/>
    <s v="Follow up"/>
    <x v="2"/>
    <m/>
    <s v=""/>
    <x v="0"/>
    <x v="7"/>
    <s v="Q4"/>
    <x v="0"/>
  </r>
  <r>
    <s v="EOS1040"/>
    <d v="2025-12-01T00:00:00"/>
    <s v="FB"/>
    <s v="FB"/>
    <s v="Dharmendra Soni"/>
    <s v="Surat"/>
    <s v="Gujarat "/>
    <s v="Follow up "/>
    <n v="108000"/>
    <n v="1071039"/>
    <s v="Follow up"/>
    <x v="2"/>
    <m/>
    <s v=""/>
    <x v="0"/>
    <x v="8"/>
    <s v="Q4"/>
    <x v="0"/>
  </r>
  <r>
    <s v="EOS1041"/>
    <d v="2025-12-01T00:00:00"/>
    <s v="FB"/>
    <s v="FB"/>
    <s v="Divyang"/>
    <s v=" Bhavnagar"/>
    <s v="Gujarat "/>
    <s v="Follow up "/>
    <n v="108000"/>
    <n v="1071040"/>
    <s v="Follow up"/>
    <x v="2"/>
    <m/>
    <s v=""/>
    <x v="0"/>
    <x v="8"/>
    <s v="Q4"/>
    <x v="0"/>
  </r>
  <r>
    <s v="EOS1042"/>
    <d v="2025-12-01T00:00:00"/>
    <s v="FB"/>
    <s v="FB"/>
    <s v="Ashish Solanki"/>
    <s v="Patan "/>
    <s v="Gujarat "/>
    <s v="Follow up "/>
    <n v="108000"/>
    <n v="1071041"/>
    <s v="Follow up"/>
    <x v="2"/>
    <m/>
    <s v=""/>
    <x v="0"/>
    <x v="8"/>
    <s v="Q4"/>
    <x v="0"/>
  </r>
  <r>
    <s v="EOS1043"/>
    <d v="2025-12-01T00:00:00"/>
    <s v="FB"/>
    <s v="FB"/>
    <s v="Kaushik Soni"/>
    <s v="Dungri"/>
    <s v="Gujarat "/>
    <s v="Follow up "/>
    <n v="108000"/>
    <n v="1071042"/>
    <s v="Follow up"/>
    <x v="2"/>
    <m/>
    <s v=""/>
    <x v="0"/>
    <x v="8"/>
    <s v="Q4"/>
    <x v="0"/>
  </r>
  <r>
    <s v="EOS1044"/>
    <d v="2025-12-01T00:00:00"/>
    <s v="FB"/>
    <s v="FB"/>
    <s v="Dhiren Patel"/>
    <s v="Sanjan "/>
    <s v="Gujarat "/>
    <s v="Follow up "/>
    <n v="108000"/>
    <n v="1071043"/>
    <s v="Follow up"/>
    <x v="2"/>
    <m/>
    <s v=""/>
    <x v="0"/>
    <x v="8"/>
    <s v="Q4"/>
    <x v="0"/>
  </r>
  <r>
    <s v="EOS1045"/>
    <d v="2025-12-01T00:00:00"/>
    <s v="FB"/>
    <s v="FB"/>
    <s v="Ravi Dhodi"/>
    <s v="netrang "/>
    <s v="Gujarat "/>
    <s v="Follow up "/>
    <n v="308000"/>
    <n v="1071044"/>
    <s v="Follow up"/>
    <x v="2"/>
    <m/>
    <s v=""/>
    <x v="2"/>
    <x v="8"/>
    <s v="Q4"/>
    <x v="0"/>
  </r>
  <r>
    <s v="EOS1046"/>
    <d v="2025-12-01T00:00:00"/>
    <s v="FB"/>
    <s v="FB"/>
    <s v="Er Jignesh Patel Thesiya"/>
    <s v="Navsari"/>
    <s v="Gujarat "/>
    <s v="Follow up "/>
    <n v="130000"/>
    <n v="1071045"/>
    <s v="Follow up"/>
    <x v="2"/>
    <m/>
    <s v=""/>
    <x v="0"/>
    <x v="8"/>
    <s v="Q4"/>
    <x v="0"/>
  </r>
  <r>
    <s v="EOS1047"/>
    <d v="2025-12-01T00:00:00"/>
    <s v="FB"/>
    <s v="FB"/>
    <s v="Mihir Goswami"/>
    <m/>
    <s v="Gujarat "/>
    <s v="Rejected"/>
    <n v="108000"/>
    <n v="1071046"/>
    <s v="Rejected"/>
    <x v="0"/>
    <m/>
    <s v=""/>
    <x v="0"/>
    <x v="8"/>
    <s v="Q4"/>
    <x v="0"/>
  </r>
  <r>
    <s v="EOS1048"/>
    <d v="2025-12-02T00:00:00"/>
    <s v="FB"/>
    <s v="FB"/>
    <s v="Faruk Shaikh"/>
    <s v="Ahmedabad"/>
    <s v="Gujarat "/>
    <s v="Follow up "/>
    <n v="108000"/>
    <n v="1071047"/>
    <s v="Follow up"/>
    <x v="2"/>
    <m/>
    <s v=""/>
    <x v="0"/>
    <x v="8"/>
    <s v="Q4"/>
    <x v="0"/>
  </r>
  <r>
    <s v="EOS1049"/>
    <d v="2025-12-02T00:00:00"/>
    <s v="FB"/>
    <s v="FB"/>
    <s v="Shree Sharma"/>
    <s v="Mehsana"/>
    <s v="Gujarat "/>
    <s v="Follow up "/>
    <n v="130000"/>
    <n v="1071048"/>
    <s v="Follow up"/>
    <x v="2"/>
    <m/>
    <s v=""/>
    <x v="0"/>
    <x v="8"/>
    <s v="Q4"/>
    <x v="0"/>
  </r>
  <r>
    <s v="EOS1050"/>
    <d v="2025-12-02T00:00:00"/>
    <s v="FB"/>
    <s v="FB"/>
    <s v="Patel Romil"/>
    <s v="Ahmedabad"/>
    <s v="Gujarat "/>
    <s v="Follow up "/>
    <n v="130000"/>
    <n v="1071049"/>
    <s v="Follow up"/>
    <x v="2"/>
    <m/>
    <s v=""/>
    <x v="0"/>
    <x v="8"/>
    <s v="Q4"/>
    <x v="0"/>
  </r>
  <r>
    <s v="EOS1051"/>
    <d v="2025-12-02T00:00:00"/>
    <s v="FB"/>
    <s v="FB"/>
    <s v="riJesh PaTel"/>
    <s v="Surat"/>
    <s v="Gujarat "/>
    <s v="Follow up "/>
    <n v="108000"/>
    <n v="1071050"/>
    <s v="Follow up"/>
    <x v="2"/>
    <m/>
    <s v=""/>
    <x v="0"/>
    <x v="8"/>
    <s v="Q4"/>
    <x v="0"/>
  </r>
  <r>
    <s v="EOS1052"/>
    <d v="2025-12-02T00:00:00"/>
    <s v="FB"/>
    <s v="FB"/>
    <s v="KD"/>
    <s v="Surendranagar"/>
    <s v="Gujarat "/>
    <s v="Follow up "/>
    <n v="108000"/>
    <n v="1071051"/>
    <s v="Follow up"/>
    <x v="2"/>
    <m/>
    <s v=""/>
    <x v="0"/>
    <x v="8"/>
    <s v="Q4"/>
    <x v="0"/>
  </r>
  <r>
    <s v="EOS1053"/>
    <d v="2025-12-02T00:00:00"/>
    <s v="FB"/>
    <s v="FB"/>
    <s v="Jasmin Kalotra"/>
    <s v="Valsad"/>
    <s v="Gujarat "/>
    <s v="Follow up "/>
    <n v="130000"/>
    <n v="1071052"/>
    <s v="Follow up"/>
    <x v="2"/>
    <m/>
    <s v=""/>
    <x v="0"/>
    <x v="8"/>
    <s v="Q4"/>
    <x v="0"/>
  </r>
  <r>
    <s v="EOS1054"/>
    <d v="2025-12-02T00:00:00"/>
    <s v="FB"/>
    <s v="FB"/>
    <s v="Suchit Patel"/>
    <s v=" Bhavnagar"/>
    <s v="Gujarat "/>
    <s v="Follow up "/>
    <n v="108000"/>
    <n v="1071053"/>
    <s v="Follow up"/>
    <x v="2"/>
    <m/>
    <s v=""/>
    <x v="0"/>
    <x v="8"/>
    <s v="Q4"/>
    <x v="0"/>
  </r>
  <r>
    <s v="EOS1055"/>
    <d v="2025-12-02T00:00:00"/>
    <s v="FB"/>
    <s v="FB"/>
    <s v="Virajsinh Chudasama"/>
    <s v="Ahmedabad"/>
    <s v="Gujarat "/>
    <s v="Follow up "/>
    <n v="130000"/>
    <n v="1071054"/>
    <s v="Follow up"/>
    <x v="2"/>
    <m/>
    <s v=""/>
    <x v="0"/>
    <x v="8"/>
    <s v="Q4"/>
    <x v="0"/>
  </r>
  <r>
    <s v="EOS1056"/>
    <d v="2025-12-02T00:00:00"/>
    <s v="FB"/>
    <s v="FB"/>
    <s v="MEET TORIYA"/>
    <s v="Dobahi"/>
    <s v="Gujarat "/>
    <s v="Follow up "/>
    <n v="130000"/>
    <n v="1071055"/>
    <s v="Follow up"/>
    <x v="2"/>
    <m/>
    <s v=""/>
    <x v="0"/>
    <x v="8"/>
    <s v="Q4"/>
    <x v="0"/>
  </r>
  <r>
    <s v="EOS1057"/>
    <d v="2025-12-02T00:00:00"/>
    <s v="FB"/>
    <s v="FB"/>
    <s v="Arvind"/>
    <s v="Vadodara"/>
    <s v="Gujarat "/>
    <s v="Rejected"/>
    <n v="130000"/>
    <n v="1071056"/>
    <s v="Rejected"/>
    <x v="0"/>
    <m/>
    <s v=""/>
    <x v="0"/>
    <x v="8"/>
    <s v="Q4"/>
    <x v="0"/>
  </r>
  <r>
    <s v="EOS1058"/>
    <d v="2025-11-19T00:00:00"/>
    <s v="FB"/>
    <s v="FB"/>
    <s v="Virendrasinh Solanki"/>
    <s v=""/>
    <s v="Gujarat "/>
    <s v="Follow up "/>
    <n v="108000"/>
    <n v="1071057"/>
    <s v="Follow up"/>
    <x v="2"/>
    <m/>
    <s v=""/>
    <x v="0"/>
    <x v="7"/>
    <s v="Q4"/>
    <x v="0"/>
  </r>
  <r>
    <s v="EOS1059"/>
    <d v="2025-12-03T00:00:00"/>
    <s v="FB"/>
    <s v="FB"/>
    <s v="ankur"/>
    <s v="Bharuch"/>
    <s v="Gujarat "/>
    <s v="Follow up "/>
    <n v="130000"/>
    <n v="1071058"/>
    <s v="Follow up"/>
    <x v="2"/>
    <m/>
    <s v=""/>
    <x v="0"/>
    <x v="8"/>
    <s v="Q4"/>
    <x v="0"/>
  </r>
  <r>
    <s v="EOS1060"/>
    <d v="2025-12-03T00:00:00"/>
    <s v="FB"/>
    <s v="FB"/>
    <s v="Yuvrajsinh Chudasama"/>
    <s v="Rajkot"/>
    <s v="Gujarat "/>
    <s v="Follow up "/>
    <n v="108000"/>
    <n v="1071059"/>
    <s v="Follow up"/>
    <x v="2"/>
    <m/>
    <s v=""/>
    <x v="0"/>
    <x v="8"/>
    <s v="Q4"/>
    <x v="0"/>
  </r>
  <r>
    <s v="EOS1061"/>
    <d v="2025-12-03T00:00:00"/>
    <s v="FB"/>
    <s v="FB"/>
    <m/>
    <s v="Ahmedabad"/>
    <s v="Gujarat "/>
    <s v="Follow up "/>
    <n v="308000"/>
    <n v="1071060"/>
    <s v="Follow up"/>
    <x v="2"/>
    <m/>
    <s v=""/>
    <x v="2"/>
    <x v="8"/>
    <s v="Q4"/>
    <x v="0"/>
  </r>
  <r>
    <s v="EOS1062"/>
    <d v="2025-12-03T00:00:00"/>
    <s v="FB"/>
    <s v="FB"/>
    <s v="Bharat Mehta"/>
    <s v="Upetla "/>
    <s v="Gujarat "/>
    <s v="Follow up "/>
    <n v="130000"/>
    <n v="1071061"/>
    <s v="Follow up"/>
    <x v="2"/>
    <m/>
    <s v=""/>
    <x v="0"/>
    <x v="8"/>
    <s v="Q4"/>
    <x v="0"/>
  </r>
  <r>
    <s v="EOS1063"/>
    <d v="2025-12-03T00:00:00"/>
    <s v="FB"/>
    <s v="FB"/>
    <s v="Ashif Shekhan"/>
    <s v="Rajkot"/>
    <s v="Gujarat "/>
    <s v="Rejected"/>
    <n v="130000"/>
    <n v="1071062"/>
    <s v="Rejected"/>
    <x v="0"/>
    <m/>
    <s v=""/>
    <x v="0"/>
    <x v="8"/>
    <s v="Q4"/>
    <x v="0"/>
  </r>
  <r>
    <s v="EOS1064"/>
    <d v="2025-12-03T00:00:00"/>
    <s v="FB"/>
    <s v="FB"/>
    <s v="Avinash Borichangar"/>
    <s v="Wankaner"/>
    <s v="Gujarat "/>
    <s v="Follow up "/>
    <n v="130000"/>
    <n v="1071063"/>
    <s v="Follow up"/>
    <x v="2"/>
    <m/>
    <s v=""/>
    <x v="0"/>
    <x v="8"/>
    <s v="Q4"/>
    <x v="0"/>
  </r>
  <r>
    <s v="EOS1065"/>
    <d v="2025-12-03T00:00:00"/>
    <s v="FB"/>
    <s v="FB"/>
    <s v="Alfeshani Gadhvara"/>
    <s v="Vadodara"/>
    <s v="Gujarat "/>
    <s v="Follow up "/>
    <n v="508000"/>
    <n v="1071064"/>
    <s v="Follow up"/>
    <x v="2"/>
    <m/>
    <s v=""/>
    <x v="2"/>
    <x v="8"/>
    <s v="Q4"/>
    <x v="0"/>
  </r>
  <r>
    <s v="EOS1066"/>
    <d v="2025-12-04T00:00:00"/>
    <s v="FB"/>
    <s v="FB"/>
    <s v="Dharmendra Vaghela"/>
    <s v="gandhidham "/>
    <s v="Gujarat "/>
    <s v="Follow up "/>
    <n v="108000"/>
    <n v="1071065"/>
    <s v="Follow up"/>
    <x v="2"/>
    <m/>
    <s v=""/>
    <x v="0"/>
    <x v="8"/>
    <s v="Q4"/>
    <x v="0"/>
  </r>
  <r>
    <s v="EOS1067"/>
    <d v="2025-12-04T00:00:00"/>
    <s v="FB"/>
    <s v="FB"/>
    <m/>
    <s v="patan "/>
    <s v="Gujarat "/>
    <s v="Follow up "/>
    <n v="177000"/>
    <n v="1071066"/>
    <s v="Follow up"/>
    <x v="2"/>
    <m/>
    <s v=""/>
    <x v="1"/>
    <x v="8"/>
    <s v="Q4"/>
    <x v="0"/>
  </r>
  <r>
    <s v="EOS1068"/>
    <d v="2025-12-04T00:00:00"/>
    <s v="FB"/>
    <s v="FB"/>
    <s v="Tarun Gurjar"/>
    <s v="Rajkot"/>
    <s v="Gujarat "/>
    <s v="Follow up "/>
    <n v="130000"/>
    <n v="1071067"/>
    <s v="Follow up"/>
    <x v="2"/>
    <m/>
    <s v=""/>
    <x v="0"/>
    <x v="8"/>
    <s v="Q4"/>
    <x v="0"/>
  </r>
  <r>
    <s v="EOS1069"/>
    <d v="2025-12-04T00:00:00"/>
    <s v="FB"/>
    <s v="FB"/>
    <s v="Pooja Sarvaiya"/>
    <s v="Rajkot"/>
    <s v="Gujarat "/>
    <s v="Follow up "/>
    <n v="130000"/>
    <n v="1071068"/>
    <s v="Follow up"/>
    <x v="2"/>
    <m/>
    <s v=""/>
    <x v="0"/>
    <x v="8"/>
    <s v="Q4"/>
    <x v="0"/>
  </r>
  <r>
    <s v="EOS1070"/>
    <d v="2025-12-04T00:00:00"/>
    <s v="FB"/>
    <s v="FB"/>
    <s v="Murtuja Fakrudin Laxmidhar"/>
    <s v="Mehsana"/>
    <s v="Gujarat "/>
    <s v="Follow up "/>
    <n v="177000"/>
    <n v="1071069"/>
    <s v="Follow up"/>
    <x v="2"/>
    <m/>
    <s v=""/>
    <x v="1"/>
    <x v="8"/>
    <s v="Q4"/>
    <x v="0"/>
  </r>
  <r>
    <s v="EOS1071"/>
    <d v="2025-12-05T00:00:00"/>
    <s v="FB"/>
    <s v="FB"/>
    <s v="MEGH PATEL"/>
    <s v="Talaja "/>
    <s v="Gujarat "/>
    <s v="Rejected"/>
    <n v="108000"/>
    <n v="1071070"/>
    <s v="Rejected"/>
    <x v="0"/>
    <m/>
    <s v=""/>
    <x v="0"/>
    <x v="8"/>
    <s v="Q4"/>
    <x v="0"/>
  </r>
  <r>
    <s v="EOS1072"/>
    <d v="2025-12-05T00:00:00"/>
    <s v="FB"/>
    <s v="FB"/>
    <s v="Dharmendra Giri Goswami"/>
    <s v="Chuda"/>
    <s v="Gujarat "/>
    <s v="Follow up "/>
    <n v="177000"/>
    <n v="1071071"/>
    <s v="Follow up"/>
    <x v="2"/>
    <m/>
    <s v=""/>
    <x v="1"/>
    <x v="8"/>
    <s v="Q4"/>
    <x v="0"/>
  </r>
  <r>
    <s v="EOS1073"/>
    <d v="2025-12-05T00:00:00"/>
    <s v="FB"/>
    <s v="FB"/>
    <s v="Pradipsingh "/>
    <s v="Rajkot"/>
    <s v="Gujarat "/>
    <s v="Follow up "/>
    <n v="108000"/>
    <n v="1071072"/>
    <s v="Follow up"/>
    <x v="2"/>
    <m/>
    <s v=""/>
    <x v="0"/>
    <x v="8"/>
    <s v="Q4"/>
    <x v="0"/>
  </r>
  <r>
    <s v="EOS1074"/>
    <d v="2025-12-05T00:00:00"/>
    <s v="FB"/>
    <s v="FB"/>
    <s v="Badal "/>
    <s v="Harji "/>
    <s v="Gujarat "/>
    <s v="Follow up "/>
    <n v="177000"/>
    <n v="1071073"/>
    <s v="Follow up"/>
    <x v="2"/>
    <m/>
    <s v=""/>
    <x v="1"/>
    <x v="8"/>
    <s v="Q4"/>
    <x v="0"/>
  </r>
  <r>
    <s v="EOS1075"/>
    <d v="2025-12-05T00:00:00"/>
    <s v="FB"/>
    <s v="FB"/>
    <s v="Kanji Thakor"/>
    <s v="Amreli"/>
    <s v="Gujarat "/>
    <s v="Follow up "/>
    <n v="130000"/>
    <n v="1071074"/>
    <s v="Follow up"/>
    <x v="2"/>
    <m/>
    <s v=""/>
    <x v="0"/>
    <x v="8"/>
    <s v="Q4"/>
    <x v="0"/>
  </r>
  <r>
    <s v="EOS1076"/>
    <d v="2025-12-06T00:00:00"/>
    <s v="FB"/>
    <s v="FB"/>
    <s v="jaydip"/>
    <s v="Dahod "/>
    <s v="Gujarat "/>
    <s v="Follow up "/>
    <n v="108000"/>
    <n v="1071075"/>
    <s v="Follow up"/>
    <x v="2"/>
    <m/>
    <s v=""/>
    <x v="0"/>
    <x v="8"/>
    <s v="Q4"/>
    <x v="0"/>
  </r>
  <r>
    <s v="EOS1077"/>
    <d v="2025-12-06T00:00:00"/>
    <s v="FB"/>
    <s v="FB"/>
    <s v="SHARMA BHARATKUMAR"/>
    <s v="Ahmedabad"/>
    <s v="Gujarat "/>
    <s v="Follow up "/>
    <n v="130000"/>
    <n v="1071076"/>
    <s v="Follow up"/>
    <x v="2"/>
    <m/>
    <s v=""/>
    <x v="0"/>
    <x v="8"/>
    <s v="Q4"/>
    <x v="0"/>
  </r>
  <r>
    <s v="EOS1078"/>
    <d v="2025-12-06T00:00:00"/>
    <s v="FB"/>
    <s v="FB"/>
    <s v="Akash Dahake"/>
    <s v="Vadodara"/>
    <s v="Gujarat "/>
    <s v="Follow up "/>
    <n v="177000"/>
    <n v="1071077"/>
    <s v="Follow up"/>
    <x v="2"/>
    <m/>
    <s v=""/>
    <x v="1"/>
    <x v="8"/>
    <s v="Q4"/>
    <x v="0"/>
  </r>
  <r>
    <s v="EOS1079"/>
    <d v="2025-12-06T00:00:00"/>
    <s v="FB"/>
    <s v="FB"/>
    <s v="navin parmar "/>
    <s v="Sokdha"/>
    <s v="Gujarat "/>
    <s v="Follow up "/>
    <n v="108000"/>
    <n v="1071078"/>
    <s v="Follow up"/>
    <x v="2"/>
    <m/>
    <s v=""/>
    <x v="0"/>
    <x v="8"/>
    <s v="Q4"/>
    <x v="0"/>
  </r>
  <r>
    <s v="EOS1080"/>
    <d v="2025-12-06T00:00:00"/>
    <s v="FB"/>
    <s v="FB"/>
    <s v="Pathan Mohfiz"/>
    <s v="Bharuch"/>
    <s v="Gujarat "/>
    <s v="Follow up "/>
    <n v="177000"/>
    <n v="1071079"/>
    <s v="Follow up"/>
    <x v="2"/>
    <m/>
    <s v=""/>
    <x v="1"/>
    <x v="8"/>
    <s v="Q4"/>
    <x v="0"/>
  </r>
  <r>
    <s v="EOS1081"/>
    <d v="2025-12-06T00:00:00"/>
    <s v="FB"/>
    <s v="FB"/>
    <s v="Shobi Pirzada"/>
    <s v="Gir Somnath"/>
    <s v="Gujarat "/>
    <s v="Follow up "/>
    <n v="177000"/>
    <n v="1071080"/>
    <s v="Follow up"/>
    <x v="2"/>
    <m/>
    <s v=""/>
    <x v="1"/>
    <x v="8"/>
    <s v="Q4"/>
    <x v="0"/>
  </r>
  <r>
    <s v="EOS1082"/>
    <d v="2025-12-06T00:00:00"/>
    <s v="FB"/>
    <s v="FB"/>
    <s v="karansinh rajput"/>
    <s v="Unja "/>
    <s v="Gujarat "/>
    <s v="Rejected"/>
    <n v="177000"/>
    <n v="1071081"/>
    <s v="Rejected"/>
    <x v="0"/>
    <m/>
    <s v=""/>
    <x v="1"/>
    <x v="8"/>
    <s v="Q4"/>
    <x v="0"/>
  </r>
  <r>
    <s v="EOS1083"/>
    <d v="2025-12-06T00:00:00"/>
    <s v="FB"/>
    <s v="FB"/>
    <s v="Vishal Patel"/>
    <s v="Chuda"/>
    <s v="Gujarat "/>
    <s v="Follow up "/>
    <n v="130000"/>
    <n v="1071082"/>
    <s v="Follow up"/>
    <x v="2"/>
    <m/>
    <s v=""/>
    <x v="0"/>
    <x v="8"/>
    <s v="Q4"/>
    <x v="0"/>
  </r>
  <r>
    <s v="EOS1084"/>
    <d v="2025-12-06T00:00:00"/>
    <s v="FB"/>
    <s v="FB"/>
    <s v="Zalavadiya kuldip"/>
    <s v="Gondal"/>
    <s v="Gujarat "/>
    <s v="Follow up "/>
    <n v="130000"/>
    <n v="1071083"/>
    <s v="Follow up"/>
    <x v="2"/>
    <m/>
    <s v=""/>
    <x v="0"/>
    <x v="8"/>
    <s v="Q4"/>
    <x v="0"/>
  </r>
  <r>
    <s v="EOS1085"/>
    <d v="2025-12-08T00:00:00"/>
    <s v="FB"/>
    <s v="FB"/>
    <s v="Mustfa Kazi"/>
    <m/>
    <s v="Gujarat "/>
    <s v="Rejected"/>
    <n v="130000"/>
    <n v="1071084"/>
    <s v="Rejected"/>
    <x v="0"/>
    <m/>
    <s v=""/>
    <x v="0"/>
    <x v="8"/>
    <s v="Q4"/>
    <x v="0"/>
  </r>
  <r>
    <s v="EOS1086"/>
    <d v="2025-12-08T00:00:00"/>
    <s v="FB"/>
    <s v="FB"/>
    <s v="Roshal Patel"/>
    <s v="Ahmedabad"/>
    <s v="Gujarat "/>
    <s v="Follow up "/>
    <n v="108000"/>
    <n v="1071085"/>
    <s v="Follow up"/>
    <x v="2"/>
    <m/>
    <s v=""/>
    <x v="0"/>
    <x v="8"/>
    <s v="Q4"/>
    <x v="0"/>
  </r>
  <r>
    <s v="EOS1087"/>
    <d v="2025-12-08T00:00:00"/>
    <s v="FB"/>
    <s v="FB"/>
    <s v="Chetan B. Patel"/>
    <s v="Rajkot"/>
    <s v="Gujarat "/>
    <s v="Follow up "/>
    <n v="108000"/>
    <n v="1071086"/>
    <s v="Follow up"/>
    <x v="2"/>
    <m/>
    <s v=""/>
    <x v="0"/>
    <x v="8"/>
    <s v="Q4"/>
    <x v="0"/>
  </r>
  <r>
    <s v="EOS1088"/>
    <d v="2025-12-08T00:00:00"/>
    <s v="FB"/>
    <s v="FB"/>
    <s v="Samir"/>
    <s v="Jamjodhpur"/>
    <s v="Gujarat "/>
    <s v="Rejected"/>
    <n v="130000"/>
    <n v="1071087"/>
    <s v="Rejected"/>
    <x v="0"/>
    <m/>
    <s v=""/>
    <x v="0"/>
    <x v="8"/>
    <s v="Q4"/>
    <x v="0"/>
  </r>
  <r>
    <s v="EOS1089"/>
    <d v="2025-12-08T00:00:00"/>
    <s v="FB"/>
    <s v="FB"/>
    <s v="BRAVE HEART"/>
    <s v="Anand"/>
    <s v="Gujarat "/>
    <s v="Follow up "/>
    <n v="130000"/>
    <n v="1071088"/>
    <s v="Follow up"/>
    <x v="2"/>
    <m/>
    <s v=""/>
    <x v="0"/>
    <x v="8"/>
    <s v="Q4"/>
    <x v="0"/>
  </r>
  <r>
    <s v="EOS1090"/>
    <d v="2025-12-08T00:00:00"/>
    <s v="FB"/>
    <s v="FB"/>
    <s v="shaan one solutions pvt Ltd"/>
    <s v="Ahmedabad"/>
    <s v="Gujarat "/>
    <s v="Follow up "/>
    <n v="177000"/>
    <n v="1071089"/>
    <s v="Follow up"/>
    <x v="2"/>
    <m/>
    <s v=""/>
    <x v="1"/>
    <x v="8"/>
    <s v="Q4"/>
    <x v="0"/>
  </r>
  <r>
    <s v="EOS1091"/>
    <d v="2025-12-08T00:00:00"/>
    <s v="FB"/>
    <s v="FB"/>
    <s v="Jugal jani"/>
    <s v="Vadodara"/>
    <s v="Gujarat "/>
    <s v="Follow up "/>
    <n v="130000"/>
    <n v="1071090"/>
    <s v="Follow up"/>
    <x v="2"/>
    <m/>
    <s v=""/>
    <x v="0"/>
    <x v="8"/>
    <s v="Q4"/>
    <x v="0"/>
  </r>
  <r>
    <s v="EOS1092"/>
    <d v="2025-12-08T00:00:00"/>
    <s v="FB"/>
    <s v="FB"/>
    <s v="Girjesh Ladhhar"/>
    <s v="Ahmedabad"/>
    <s v="Gujarat "/>
    <s v="Rejected"/>
    <n v="108000"/>
    <n v="1071091"/>
    <s v="Rejected"/>
    <x v="0"/>
    <m/>
    <s v=""/>
    <x v="0"/>
    <x v="8"/>
    <s v="Q4"/>
    <x v="0"/>
  </r>
  <r>
    <s v="EOS1093"/>
    <d v="2025-12-08T00:00:00"/>
    <s v="FB"/>
    <s v="FB"/>
    <s v="Nimit Patel"/>
    <s v="killa pardi  (valsad)"/>
    <s v="Gujarat "/>
    <s v="Follow up "/>
    <n v="130000"/>
    <n v="1071092"/>
    <s v="Follow up"/>
    <x v="2"/>
    <m/>
    <s v=""/>
    <x v="0"/>
    <x v="8"/>
    <s v="Q4"/>
    <x v="0"/>
  </r>
  <r>
    <s v="EOS1094"/>
    <d v="2025-12-08T00:00:00"/>
    <s v="FB"/>
    <s v="FB"/>
    <s v="Niraj Shah"/>
    <s v="Jasdan "/>
    <s v="Gujarat "/>
    <s v="Rejected"/>
    <n v="108000"/>
    <n v="1071093"/>
    <s v="Rejected"/>
    <x v="0"/>
    <m/>
    <s v=""/>
    <x v="0"/>
    <x v="8"/>
    <s v="Q4"/>
    <x v="0"/>
  </r>
  <r>
    <s v="EOS1095"/>
    <d v="2025-12-08T00:00:00"/>
    <s v="FB"/>
    <s v="FB"/>
    <s v="Bhudev Jasdan"/>
    <s v="Jamnagar"/>
    <s v="Gujarat "/>
    <s v="Rejected"/>
    <n v="108000"/>
    <n v="1071094"/>
    <s v="Rejected"/>
    <x v="0"/>
    <m/>
    <s v=""/>
    <x v="0"/>
    <x v="8"/>
    <s v="Q4"/>
    <x v="0"/>
  </r>
  <r>
    <s v="EOS1096"/>
    <d v="2025-12-08T00:00:00"/>
    <s v="FB"/>
    <s v="FB"/>
    <s v="Mohit ahi"/>
    <s v="lakhi "/>
    <s v="Gujarat "/>
    <s v="Follow up "/>
    <n v="108000"/>
    <n v="1071095"/>
    <s v="Follow up"/>
    <x v="2"/>
    <m/>
    <s v=""/>
    <x v="0"/>
    <x v="8"/>
    <s v="Q4"/>
    <x v="0"/>
  </r>
  <r>
    <s v="EOS1097"/>
    <d v="2025-12-08T00:00:00"/>
    <s v="FB"/>
    <s v="FB"/>
    <s v="D K Rajput"/>
    <s v="patan "/>
    <s v="Gujarat "/>
    <s v="Follow up "/>
    <n v="108000"/>
    <n v="1071096"/>
    <s v="Follow up"/>
    <x v="2"/>
    <m/>
    <s v=""/>
    <x v="0"/>
    <x v="8"/>
    <s v="Q4"/>
    <x v="0"/>
  </r>
  <r>
    <s v="EOS1098"/>
    <d v="2025-12-08T00:00:00"/>
    <s v="FB"/>
    <s v="FB"/>
    <s v="Milan Sathvara"/>
    <m/>
    <s v="Gujarat "/>
    <s v="Follow up "/>
    <n v="108000"/>
    <n v="1071097"/>
    <s v="Follow up"/>
    <x v="2"/>
    <m/>
    <s v=""/>
    <x v="0"/>
    <x v="8"/>
    <s v="Q4"/>
    <x v="0"/>
  </r>
  <r>
    <s v="EOS1099"/>
    <d v="2025-12-08T00:00:00"/>
    <s v="FB"/>
    <s v="FB"/>
    <s v="Zeel thakor"/>
    <s v="Vadodara"/>
    <s v="Gujarat "/>
    <s v="Follow up "/>
    <n v="130000"/>
    <n v="1071098"/>
    <s v="Follow up"/>
    <x v="2"/>
    <m/>
    <s v=""/>
    <x v="0"/>
    <x v="8"/>
    <s v="Q4"/>
    <x v="0"/>
  </r>
  <r>
    <s v="EOS1100"/>
    <d v="2025-12-09T00:00:00"/>
    <s v="FB"/>
    <s v="FB"/>
    <s v="Rathod Yogendrasinh"/>
    <s v="Tharad"/>
    <s v="Gujarat "/>
    <s v="Rejected"/>
    <n v="130000"/>
    <n v="1071099"/>
    <s v="Rejected"/>
    <x v="0"/>
    <m/>
    <s v=""/>
    <x v="0"/>
    <x v="8"/>
    <s v="Q4"/>
    <x v="0"/>
  </r>
  <r>
    <s v="EOS1101"/>
    <d v="1900-01-01T00:00:00"/>
    <s v="FB"/>
    <s v="FB"/>
    <s v="Shaileshsinh Vaghela"/>
    <s v="himmatnagar"/>
    <s v="Gujarat "/>
    <s v="Follow up "/>
    <n v="130000"/>
    <n v="1071100"/>
    <s v="Follow up"/>
    <x v="2"/>
    <m/>
    <s v=""/>
    <x v="0"/>
    <x v="2"/>
    <s v="Q1"/>
    <x v="0"/>
  </r>
  <r>
    <s v="EOS1102"/>
    <d v="2025-12-09T00:00:00"/>
    <s v="FB"/>
    <s v="FB"/>
    <s v="IrfanKhan Makrani"/>
    <s v="manavadar"/>
    <s v="Gujarat "/>
    <s v="Rejected"/>
    <n v="108000"/>
    <n v="1071101"/>
    <s v="Rejected"/>
    <x v="0"/>
    <m/>
    <s v=""/>
    <x v="0"/>
    <x v="8"/>
    <s v="Q4"/>
    <x v="0"/>
  </r>
  <r>
    <s v="EOS1103"/>
    <d v="2025-12-09T00:00:00"/>
    <s v="FB"/>
    <s v="FB"/>
    <s v="Shiv Refrigeration"/>
    <s v="Vadodara"/>
    <s v="Gujarat "/>
    <s v="Follow up "/>
    <n v="130000"/>
    <n v="1071102"/>
    <s v="Follow up"/>
    <x v="2"/>
    <m/>
    <s v=""/>
    <x v="0"/>
    <x v="8"/>
    <s v="Q4"/>
    <x v="0"/>
  </r>
  <r>
    <s v="EOS1104"/>
    <d v="2025-12-09T00:00:00"/>
    <s v="FB"/>
    <s v="FB"/>
    <s v="Khushali"/>
    <s v="Ahmedabad"/>
    <s v="Gujarat "/>
    <s v="Follow up "/>
    <n v="108000"/>
    <n v="1071103"/>
    <s v="Follow up"/>
    <x v="2"/>
    <m/>
    <s v=""/>
    <x v="0"/>
    <x v="8"/>
    <s v="Q4"/>
    <x v="0"/>
  </r>
  <r>
    <s v="EOS1105"/>
    <d v="2025-12-09T00:00:00"/>
    <s v="FB"/>
    <s v="FB"/>
    <s v="Madhav Chauhan"/>
    <s v="Ahmedabad"/>
    <s v="Gujarat "/>
    <s v="Follow up "/>
    <n v="130000"/>
    <n v="1071104"/>
    <s v="Follow up"/>
    <x v="2"/>
    <m/>
    <s v=""/>
    <x v="0"/>
    <x v="8"/>
    <s v="Q4"/>
    <x v="0"/>
  </r>
  <r>
    <s v="EOS1106"/>
    <d v="2025-12-09T00:00:00"/>
    <s v="FB"/>
    <s v="FB"/>
    <s v="Ketan sha"/>
    <s v="Dholka"/>
    <s v="Gujarat "/>
    <s v="Rejected"/>
    <n v="130000"/>
    <n v="1071105"/>
    <s v="Rejected"/>
    <x v="0"/>
    <m/>
    <s v=""/>
    <x v="0"/>
    <x v="8"/>
    <s v="Q4"/>
    <x v="0"/>
  </r>
  <r>
    <s v="EOS1107"/>
    <d v="2025-12-09T00:00:00"/>
    <s v="FB"/>
    <s v="FB"/>
    <s v="Samir Diwa"/>
    <s v="Adipur "/>
    <s v="Gujarat "/>
    <s v="Rejected"/>
    <n v="130000"/>
    <n v="1071106"/>
    <s v="Rejected"/>
    <x v="0"/>
    <m/>
    <s v=""/>
    <x v="0"/>
    <x v="8"/>
    <s v="Q4"/>
    <x v="0"/>
  </r>
  <r>
    <s v="EOS1108"/>
    <d v="2025-12-09T00:00:00"/>
    <s v="FB"/>
    <s v="FB"/>
    <s v="Vijay Gusha"/>
    <s v="Wankaner"/>
    <s v="Gujarat "/>
    <s v="Rejected"/>
    <n v="108000"/>
    <n v="1071107"/>
    <s v="Rejected"/>
    <x v="0"/>
    <m/>
    <s v=""/>
    <x v="0"/>
    <x v="8"/>
    <s v="Q4"/>
    <x v="0"/>
  </r>
  <r>
    <s v="EOS1109"/>
    <d v="2025-12-09T00:00:00"/>
    <s v="FB"/>
    <s v="FB"/>
    <s v="jay"/>
    <s v="Ahmedabad"/>
    <s v="Gujarat "/>
    <s v="Follow up "/>
    <n v="108000"/>
    <n v="1071108"/>
    <s v="Follow up"/>
    <x v="2"/>
    <m/>
    <s v=""/>
    <x v="0"/>
    <x v="8"/>
    <s v="Q4"/>
    <x v="0"/>
  </r>
  <r>
    <s v="EOS1110"/>
    <d v="2025-12-09T00:00:00"/>
    <s v="FB"/>
    <s v="FB"/>
    <s v="Rahul Panchal "/>
    <s v="Rajkot"/>
    <s v="Gujarat "/>
    <s v="Follow up "/>
    <n v="130000"/>
    <n v="1071109"/>
    <s v="Follow up"/>
    <x v="2"/>
    <m/>
    <s v=""/>
    <x v="0"/>
    <x v="8"/>
    <s v="Q4"/>
    <x v="0"/>
  </r>
  <r>
    <s v="EOS1111"/>
    <d v="2025-12-10T00:00:00"/>
    <s v="FB"/>
    <s v="FB"/>
    <s v="Sarvaiya Mayur"/>
    <s v="gandhidham "/>
    <s v="Gujarat "/>
    <s v="Follow up "/>
    <n v="108000"/>
    <n v="1071110"/>
    <s v="Follow up"/>
    <x v="2"/>
    <m/>
    <s v=""/>
    <x v="0"/>
    <x v="8"/>
    <s v="Q4"/>
    <x v="0"/>
  </r>
  <r>
    <s v="EOS1112"/>
    <d v="2025-12-10T00:00:00"/>
    <s v="FB"/>
    <s v="FB"/>
    <s v="Aryan Maharaj"/>
    <s v="Gandhinagar"/>
    <s v="Gujarat "/>
    <s v="Follow up "/>
    <n v="108000"/>
    <n v="1071111"/>
    <s v="Follow up"/>
    <x v="2"/>
    <m/>
    <s v=""/>
    <x v="0"/>
    <x v="8"/>
    <s v="Q4"/>
    <x v="0"/>
  </r>
  <r>
    <s v="EOS1113"/>
    <d v="2025-12-10T00:00:00"/>
    <s v="FB"/>
    <s v="FB"/>
    <s v="Dilip Patel Dilip"/>
    <s v="Anand"/>
    <s v="Gujarat "/>
    <s v="Follow up "/>
    <n v="108000"/>
    <n v="1071112"/>
    <s v="Follow up"/>
    <x v="2"/>
    <m/>
    <s v=""/>
    <x v="0"/>
    <x v="8"/>
    <s v="Q4"/>
    <x v="0"/>
  </r>
  <r>
    <s v="EOS1114"/>
    <d v="2025-12-10T00:00:00"/>
    <s v="FB"/>
    <s v="FB"/>
    <s v="Chirag Parekh"/>
    <s v="Bharuch"/>
    <s v="Gujarat "/>
    <s v="Follow up "/>
    <n v="130000"/>
    <n v="1071113"/>
    <s v="Follow up"/>
    <x v="2"/>
    <m/>
    <s v=""/>
    <x v="0"/>
    <x v="8"/>
    <s v="Q4"/>
    <x v="0"/>
  </r>
  <r>
    <s v="EOS1115"/>
    <d v="2025-12-10T00:00:00"/>
    <s v="FB"/>
    <s v="FB"/>
    <s v="Salim Patel"/>
    <s v="Surat"/>
    <s v="Gujarat "/>
    <s v="Follow up "/>
    <n v="108000"/>
    <n v="1071114"/>
    <s v="Follow up"/>
    <x v="2"/>
    <m/>
    <s v=""/>
    <x v="0"/>
    <x v="8"/>
    <s v="Q4"/>
    <x v="0"/>
  </r>
  <r>
    <s v="EOS1116"/>
    <d v="2025-12-10T00:00:00"/>
    <s v="FB"/>
    <s v="FB"/>
    <s v="Madaliya sumita"/>
    <s v="Mehsana"/>
    <s v="Gujarat "/>
    <s v="Follow up "/>
    <n v="177000"/>
    <n v="1071115"/>
    <s v="Follow up"/>
    <x v="2"/>
    <m/>
    <s v=""/>
    <x v="1"/>
    <x v="8"/>
    <s v="Q4"/>
    <x v="0"/>
  </r>
  <r>
    <s v="EOS1117"/>
    <d v="2025-12-10T00:00:00"/>
    <s v="FB"/>
    <s v="FB"/>
    <s v="Yuvraj"/>
    <s v="Upetla "/>
    <s v="Gujarat"/>
    <s v="Rejected"/>
    <n v="130000"/>
    <n v="1071116"/>
    <s v="Rejected"/>
    <x v="0"/>
    <m/>
    <s v=""/>
    <x v="0"/>
    <x v="8"/>
    <s v="Q4"/>
    <x v="0"/>
  </r>
  <r>
    <s v="EOS1118"/>
    <d v="2025-12-10T00:00:00"/>
    <s v="FB"/>
    <s v="FB"/>
    <s v="Jayesh Suva"/>
    <s v="Vadodara"/>
    <s v="Gujarat "/>
    <s v="Follow up "/>
    <n v="130000"/>
    <n v="1071117"/>
    <s v="Follow up"/>
    <x v="2"/>
    <m/>
    <s v=""/>
    <x v="0"/>
    <x v="8"/>
    <s v="Q4"/>
    <x v="0"/>
  </r>
  <r>
    <s v="EOS1119"/>
    <d v="2025-12-10T00:00:00"/>
    <s v="FB"/>
    <s v="FB"/>
    <m/>
    <s v="Ankleshwar"/>
    <s v="Gujarat"/>
    <s v="Rejected"/>
    <n v="108000"/>
    <n v="1071118"/>
    <s v="Rejected"/>
    <x v="0"/>
    <m/>
    <s v=""/>
    <x v="0"/>
    <x v="8"/>
    <s v="Q4"/>
    <x v="0"/>
  </r>
  <r>
    <s v="EOS1120"/>
    <d v="2025-12-10T00:00:00"/>
    <s v="FB"/>
    <s v="FB"/>
    <s v="Navaz Ganiyani"/>
    <s v="Jambusar "/>
    <s v="Gujarat "/>
    <s v="Follow up "/>
    <n v="108000"/>
    <n v="1071119"/>
    <s v="Follow up"/>
    <x v="2"/>
    <m/>
    <s v=""/>
    <x v="0"/>
    <x v="8"/>
    <s v="Q4"/>
    <x v="0"/>
  </r>
  <r>
    <s v="EOS1121"/>
    <d v="2025-12-10T00:00:00"/>
    <s v="FB"/>
    <s v="FB"/>
    <s v="Tofee khan "/>
    <s v="gadu "/>
    <s v="Gujarat"/>
    <s v="Rejected"/>
    <n v="130000"/>
    <n v="1071120"/>
    <s v="Rejected"/>
    <x v="0"/>
    <m/>
    <s v=""/>
    <x v="0"/>
    <x v="8"/>
    <s v="Q4"/>
    <x v="0"/>
  </r>
  <r>
    <s v="EOS1122"/>
    <d v="2025-12-10T00:00:00"/>
    <s v="FB"/>
    <s v="FB"/>
    <s v="Viru galchar"/>
    <s v="Ahmedabad"/>
    <s v="Gujarat "/>
    <s v="Follow up "/>
    <n v="130000"/>
    <n v="1071121"/>
    <s v="Follow up"/>
    <x v="2"/>
    <m/>
    <s v=""/>
    <x v="0"/>
    <x v="8"/>
    <s v="Q4"/>
    <x v="0"/>
  </r>
  <r>
    <s v="EOS1123"/>
    <d v="2025-12-11T00:00:00"/>
    <s v="FB"/>
    <s v="FB"/>
    <s v="bapu"/>
    <s v="Morbi "/>
    <s v="Gujarat"/>
    <s v="Rejected"/>
    <n v="177000"/>
    <n v="1071122"/>
    <s v="Rejected"/>
    <x v="0"/>
    <m/>
    <s v=""/>
    <x v="1"/>
    <x v="8"/>
    <s v="Q4"/>
    <x v="0"/>
  </r>
  <r>
    <s v="EOS1124"/>
    <d v="2025-12-11T00:00:00"/>
    <s v="FB"/>
    <s v="FB"/>
    <s v="Manoj Kumar"/>
    <s v="Surat "/>
    <s v="Gujarat"/>
    <s v="Rejected"/>
    <n v="130000"/>
    <n v="1071123"/>
    <s v="Rejected"/>
    <x v="0"/>
    <m/>
    <s v=""/>
    <x v="0"/>
    <x v="8"/>
    <s v="Q4"/>
    <x v="0"/>
  </r>
  <r>
    <s v="EOS1125"/>
    <d v="2025-12-11T00:00:00"/>
    <s v="FB"/>
    <s v="FB"/>
    <s v="Vishu Shinde"/>
    <s v="Rajkot"/>
    <s v="Gujarat "/>
    <s v="Follow up "/>
    <n v="108000"/>
    <n v="1071124"/>
    <s v="Follow up"/>
    <x v="2"/>
    <m/>
    <s v=""/>
    <x v="0"/>
    <x v="8"/>
    <s v="Q4"/>
    <x v="0"/>
  </r>
  <r>
    <s v="EOS1126"/>
    <d v="2025-12-11T00:00:00"/>
    <s v="FB"/>
    <s v="FB"/>
    <s v="Savan Ajani"/>
    <s v="Nadiad"/>
    <s v="Gujarat "/>
    <s v="Follow up "/>
    <n v="108000"/>
    <n v="1071125"/>
    <s v="Follow up"/>
    <x v="2"/>
    <m/>
    <s v=""/>
    <x v="0"/>
    <x v="8"/>
    <s v="Q4"/>
    <x v="0"/>
  </r>
  <r>
    <s v="EOS1127"/>
    <d v="2025-12-11T00:00:00"/>
    <s v="FB"/>
    <s v="FB"/>
    <s v="Rahul Sharm"/>
    <s v="Ahmedabad"/>
    <s v="Gujarat "/>
    <s v="Follow up "/>
    <n v="130000"/>
    <n v="1071126"/>
    <s v="Follow up"/>
    <x v="2"/>
    <m/>
    <s v=""/>
    <x v="0"/>
    <x v="8"/>
    <s v="Q4"/>
    <x v="0"/>
  </r>
  <r>
    <s v="EOS1128"/>
    <d v="2025-12-11T00:00:00"/>
    <s v="FB"/>
    <s v="FB"/>
    <s v="Jagruti Kaushik Patel"/>
    <s v="Bharuch"/>
    <s v="Gujarat"/>
    <s v="Rejected"/>
    <n v="108000"/>
    <n v="1071127"/>
    <s v="Rejected"/>
    <x v="0"/>
    <m/>
    <s v=""/>
    <x v="0"/>
    <x v="8"/>
    <s v="Q4"/>
    <x v="0"/>
  </r>
  <r>
    <s v="EOS1129"/>
    <d v="2025-12-11T00:00:00"/>
    <s v="FB"/>
    <s v="FB"/>
    <s v="Manish Kantibhai Pate"/>
    <s v="Junagadh"/>
    <s v="Gujarat "/>
    <s v="Follow up "/>
    <n v="130000"/>
    <n v="1071128"/>
    <s v="Follow up"/>
    <x v="2"/>
    <m/>
    <s v=""/>
    <x v="0"/>
    <x v="8"/>
    <s v="Q4"/>
    <x v="0"/>
  </r>
  <r>
    <s v="EOS1130"/>
    <d v="2025-12-11T00:00:00"/>
    <s v="FB"/>
    <s v="FB"/>
    <s v="Fahad Bakhol"/>
    <s v="Vapi"/>
    <s v="Gujarat "/>
    <s v="Follow up "/>
    <n v="108000"/>
    <n v="1071129"/>
    <s v="Follow up"/>
    <x v="2"/>
    <m/>
    <s v=""/>
    <x v="0"/>
    <x v="8"/>
    <s v="Q4"/>
    <x v="0"/>
  </r>
  <r>
    <s v="EOS1131"/>
    <d v="2025-12-11T00:00:00"/>
    <s v="FB"/>
    <s v="FB"/>
    <s v="Nakum Kachara Nanji"/>
    <m/>
    <s v="Gujarat"/>
    <s v="Follow up "/>
    <n v="130000"/>
    <n v="1071130"/>
    <s v="Follow up"/>
    <x v="2"/>
    <m/>
    <s v=""/>
    <x v="0"/>
    <x v="8"/>
    <s v="Q4"/>
    <x v="0"/>
  </r>
  <r>
    <s v="EOS1132"/>
    <d v="2025-12-11T00:00:00"/>
    <s v="FB"/>
    <s v="FB"/>
    <s v="Sarthak Patel"/>
    <m/>
    <s v="Gujarat"/>
    <s v="Follow up "/>
    <n v="130000"/>
    <n v="1071131"/>
    <s v="Follow up"/>
    <x v="2"/>
    <m/>
    <s v=""/>
    <x v="0"/>
    <x v="8"/>
    <s v="Q4"/>
    <x v="0"/>
  </r>
  <r>
    <s v="EOS1133"/>
    <d v="2025-12-11T00:00:00"/>
    <s v="FB"/>
    <s v="FB"/>
    <s v="Aniket Korat"/>
    <m/>
    <s v="Gujarat"/>
    <s v="Follow up "/>
    <n v="108000"/>
    <n v="1071132"/>
    <s v="Follow up"/>
    <x v="2"/>
    <m/>
    <s v=""/>
    <x v="0"/>
    <x v="8"/>
    <s v="Q4"/>
    <x v="0"/>
  </r>
  <r>
    <s v="EOS1134"/>
    <d v="2025-12-11T00:00:00"/>
    <s v="FB"/>
    <s v="FB"/>
    <s v="Paras Patel"/>
    <s v="Palanpur"/>
    <s v="Gujarat "/>
    <s v="Follow up "/>
    <n v="130000"/>
    <n v="1071133"/>
    <s v="Follow up"/>
    <x v="2"/>
    <m/>
    <s v=""/>
    <x v="0"/>
    <x v="8"/>
    <s v="Q4"/>
    <x v="0"/>
  </r>
  <r>
    <s v="EOS1135"/>
    <d v="2025-08-06T00:00:00"/>
    <s v="FB"/>
    <s v="FB"/>
    <s v="Bhatiya Rameshbhai nathabhai"/>
    <s v="Jangvad"/>
    <s v="Gujarat "/>
    <s v="Rejected"/>
    <n v="108000"/>
    <n v="1071134"/>
    <s v="Rejected"/>
    <x v="0"/>
    <m/>
    <s v=""/>
    <x v="0"/>
    <x v="3"/>
    <s v="Q3"/>
    <x v="0"/>
  </r>
  <r>
    <s v="EOS1136"/>
    <d v="2025-12-13T00:00:00"/>
    <s v="FB"/>
    <s v="FB"/>
    <m/>
    <s v=" Bhavnagar"/>
    <s v="Gujarat "/>
    <s v="Follow up "/>
    <n v="108000"/>
    <n v="1071135"/>
    <s v="Follow up"/>
    <x v="2"/>
    <m/>
    <s v=""/>
    <x v="0"/>
    <x v="8"/>
    <s v="Q4"/>
    <x v="0"/>
  </r>
  <r>
    <s v="EOS1137"/>
    <d v="2025-12-15T00:00:00"/>
    <s v="FB"/>
    <s v="FB"/>
    <s v="Jaydipsinh Gohil"/>
    <m/>
    <s v="Gujarat "/>
    <s v="Follow up "/>
    <n v="108000"/>
    <n v="1071136"/>
    <s v="Follow up"/>
    <x v="2"/>
    <m/>
    <s v=""/>
    <x v="0"/>
    <x v="8"/>
    <s v="Q4"/>
    <x v="0"/>
  </r>
  <r>
    <s v="EOS1138"/>
    <d v="2025-12-15T00:00:00"/>
    <s v="FB"/>
    <s v="FB"/>
    <s v="R A M"/>
    <m/>
    <s v="Gujarat "/>
    <s v="Follow up "/>
    <n v="108000"/>
    <n v="1071137"/>
    <s v="Follow up"/>
    <x v="2"/>
    <m/>
    <s v=""/>
    <x v="0"/>
    <x v="8"/>
    <s v="Q4"/>
    <x v="0"/>
  </r>
  <r>
    <s v="EOS1139"/>
    <d v="2025-12-15T00:00:00"/>
    <s v="FB"/>
    <s v="FB"/>
    <s v="Gunavant Tapodhan"/>
    <s v=" Bhavnagar"/>
    <s v="Gujarat "/>
    <s v="Follow up "/>
    <n v="177000"/>
    <n v="1071138"/>
    <s v="Follow up"/>
    <x v="2"/>
    <m/>
    <s v=""/>
    <x v="1"/>
    <x v="8"/>
    <s v="Q4"/>
    <x v="0"/>
  </r>
  <r>
    <s v="EOS1140"/>
    <d v="2025-12-15T00:00:00"/>
    <s v="FB"/>
    <s v="FB"/>
    <s v="Chauhan Hemendrasinh"/>
    <s v="Ahmedabad"/>
    <s v="Gujarat "/>
    <s v="Follow up "/>
    <n v="108000"/>
    <n v="1071139"/>
    <s v="Follow up"/>
    <x v="2"/>
    <m/>
    <s v=""/>
    <x v="0"/>
    <x v="8"/>
    <s v="Q4"/>
    <x v="0"/>
  </r>
  <r>
    <s v="EOS1141"/>
    <d v="2025-12-15T00:00:00"/>
    <s v="FB"/>
    <s v="FB"/>
    <s v="Krunal Pate"/>
    <s v="Rajkot"/>
    <s v="Gujarat "/>
    <s v="Rejected"/>
    <n v="130000"/>
    <n v="1071140"/>
    <s v="Rejected"/>
    <x v="0"/>
    <m/>
    <s v=""/>
    <x v="0"/>
    <x v="8"/>
    <s v="Q4"/>
    <x v="0"/>
  </r>
  <r>
    <s v="EOS1142"/>
    <d v="2025-12-15T00:00:00"/>
    <s v="FB"/>
    <s v="FB"/>
    <s v="Manish patel"/>
    <s v="Idar "/>
    <s v="Gujarat "/>
    <s v="Rejected"/>
    <n v="130000"/>
    <n v="1071141"/>
    <s v="Rejected"/>
    <x v="0"/>
    <m/>
    <s v=""/>
    <x v="0"/>
    <x v="8"/>
    <s v="Q4"/>
    <x v="0"/>
  </r>
  <r>
    <s v="EOS1143"/>
    <d v="2025-12-15T00:00:00"/>
    <s v="FB"/>
    <s v="FB"/>
    <s v="Paresh Parmar"/>
    <s v="Rajkot"/>
    <s v="Gujarat "/>
    <s v="Follow up "/>
    <n v="130000"/>
    <n v="1071142"/>
    <s v="Follow up"/>
    <x v="2"/>
    <m/>
    <s v=""/>
    <x v="0"/>
    <x v="8"/>
    <s v="Q4"/>
    <x v="0"/>
  </r>
  <r>
    <s v="EOS1144"/>
    <d v="2025-12-15T00:00:00"/>
    <s v="FB"/>
    <s v="FB"/>
    <s v="Vishal maganbhai Galoriya"/>
    <s v="Ahmedabad"/>
    <s v="Gujarat "/>
    <s v="Follow up "/>
    <n v="130000"/>
    <n v="1071143"/>
    <s v="Follow up"/>
    <x v="2"/>
    <m/>
    <s v=""/>
    <x v="0"/>
    <x v="8"/>
    <s v="Q4"/>
    <x v="0"/>
  </r>
  <r>
    <s v="EOS1145"/>
    <d v="2025-12-15T00:00:00"/>
    <s v="FB"/>
    <s v="FB"/>
    <s v="Ricky "/>
    <s v="Surat "/>
    <s v="Gujarat "/>
    <s v="Follow up "/>
    <n v="108000"/>
    <n v="1071144"/>
    <s v="Follow up"/>
    <x v="2"/>
    <m/>
    <s v=""/>
    <x v="0"/>
    <x v="8"/>
    <s v="Q4"/>
    <x v="0"/>
  </r>
  <r>
    <s v="EOS1146"/>
    <d v="2025-12-15T00:00:00"/>
    <s v="FB"/>
    <s v="FB"/>
    <s v="..Kirtan Metaliya"/>
    <s v="Jafarabad"/>
    <s v="Gujarat "/>
    <s v="Rejected"/>
    <n v="130000"/>
    <n v="1071145"/>
    <s v="Rejected"/>
    <x v="0"/>
    <m/>
    <s v=""/>
    <x v="0"/>
    <x v="8"/>
    <s v="Q4"/>
    <x v="0"/>
  </r>
  <r>
    <s v="EOS1147"/>
    <d v="2025-12-15T00:00:00"/>
    <s v="FB"/>
    <s v="FB"/>
    <s v="Thaiyam__mustfa"/>
    <s v="Ahmedabad"/>
    <s v="Gujarat "/>
    <s v="Follow up "/>
    <n v="177000"/>
    <n v="1071146"/>
    <s v="Follow up"/>
    <x v="2"/>
    <m/>
    <s v=""/>
    <x v="1"/>
    <x v="8"/>
    <s v="Q4"/>
    <x v="0"/>
  </r>
  <r>
    <s v="EOS1148"/>
    <d v="2025-12-15T00:00:00"/>
    <s v="FB"/>
    <s v="FB"/>
    <s v="Modan BasaratRaza"/>
    <s v="Rajkot"/>
    <s v="Gujarat "/>
    <s v="Follow up "/>
    <n v="108000"/>
    <n v="1071147"/>
    <s v="Follow up"/>
    <x v="2"/>
    <m/>
    <s v=""/>
    <x v="0"/>
    <x v="8"/>
    <s v="Q4"/>
    <x v="0"/>
  </r>
  <r>
    <s v="EOS1149"/>
    <d v="2025-12-15T00:00:00"/>
    <s v="FB"/>
    <s v="FB"/>
    <s v="admani Mustufa"/>
    <m/>
    <s v="Gujarat "/>
    <s v="Follow up "/>
    <n v="177000"/>
    <n v="1071148"/>
    <s v="Follow up"/>
    <x v="2"/>
    <m/>
    <s v=""/>
    <x v="1"/>
    <x v="8"/>
    <s v="Q4"/>
    <x v="0"/>
  </r>
  <r>
    <s v="EOS1150"/>
    <d v="2025-12-15T00:00:00"/>
    <s v="FB"/>
    <s v="FB"/>
    <s v="Nilu Ravar Dev"/>
    <s v="Vadodara"/>
    <s v="Gujarat "/>
    <s v="Rejected"/>
    <n v="108000"/>
    <n v="1071149"/>
    <s v="Rejected"/>
    <x v="0"/>
    <m/>
    <s v=""/>
    <x v="0"/>
    <x v="8"/>
    <s v="Q4"/>
    <x v="0"/>
  </r>
  <r>
    <s v="EOS1151"/>
    <d v="2025-12-15T00:00:00"/>
    <s v="FB"/>
    <s v="FB"/>
    <s v="Harshita Nehal shah"/>
    <s v="Dwarka"/>
    <s v="Gujarat "/>
    <s v="Follow up "/>
    <n v="130000"/>
    <n v="1071150"/>
    <s v="Follow up"/>
    <x v="2"/>
    <m/>
    <s v=""/>
    <x v="0"/>
    <x v="8"/>
    <s v="Q4"/>
    <x v="0"/>
  </r>
  <r>
    <s v="EOS1152"/>
    <d v="2025-12-15T00:00:00"/>
    <s v="FB"/>
    <s v="FB"/>
    <s v="Prem Dave"/>
    <s v="Jafarabad"/>
    <s v="Gujarat "/>
    <s v="Rejected"/>
    <n v="130000"/>
    <n v="1071151"/>
    <s v="Rejected"/>
    <x v="0"/>
    <m/>
    <s v=""/>
    <x v="0"/>
    <x v="8"/>
    <s v="Q4"/>
    <x v="0"/>
  </r>
  <r>
    <s v="EOS1153"/>
    <d v="2025-12-15T00:00:00"/>
    <s v="FB"/>
    <s v="FB"/>
    <s v="Emran Shek"/>
    <s v="Rajkot"/>
    <s v="Gujarat "/>
    <s v="Follow up "/>
    <n v="308000"/>
    <n v="1071152"/>
    <s v="Follow up"/>
    <x v="2"/>
    <m/>
    <s v=""/>
    <x v="2"/>
    <x v="8"/>
    <s v="Q4"/>
    <x v="0"/>
  </r>
  <r>
    <s v="EOS1154"/>
    <d v="2025-12-15T00:00:00"/>
    <s v="FB"/>
    <s v="FB"/>
    <s v="sandip Dobariy"/>
    <s v="Balasinor"/>
    <s v="Gujarat "/>
    <s v="Rejected"/>
    <n v="108000"/>
    <n v="1071153"/>
    <s v="Rejected"/>
    <x v="0"/>
    <m/>
    <s v=""/>
    <x v="0"/>
    <x v="8"/>
    <s v="Q4"/>
    <x v="0"/>
  </r>
  <r>
    <s v="EOS1155"/>
    <d v="2025-12-15T00:00:00"/>
    <s v="FB"/>
    <s v="FB"/>
    <s v="Mitesh Patel"/>
    <s v=" Bhavnagar"/>
    <s v="Gujarat "/>
    <s v="Follow up "/>
    <n v="177000"/>
    <n v="1071154"/>
    <s v="Follow up"/>
    <x v="2"/>
    <m/>
    <s v=""/>
    <x v="1"/>
    <x v="8"/>
    <s v="Q4"/>
    <x v="0"/>
  </r>
  <r>
    <s v="EOS1156"/>
    <d v="2025-12-15T00:00:00"/>
    <s v="FB"/>
    <s v="FB"/>
    <s v="Gohil Udayrajsinh"/>
    <s v="Dhanera"/>
    <s v="Gujarat "/>
    <s v="Follow up "/>
    <n v="108000"/>
    <n v="1071155"/>
    <s v="Follow up"/>
    <x v="2"/>
    <m/>
    <s v=""/>
    <x v="0"/>
    <x v="8"/>
    <s v="Q4"/>
    <x v="0"/>
  </r>
  <r>
    <s v="EOS1157"/>
    <d v="2025-12-15T00:00:00"/>
    <s v="FB"/>
    <s v="FB"/>
    <s v="Bharat Soni Dhanera"/>
    <s v="Rajkot"/>
    <s v="Gujarat "/>
    <s v="Rejected"/>
    <n v="177000"/>
    <n v="1071156"/>
    <s v="Rejected"/>
    <x v="0"/>
    <m/>
    <s v=""/>
    <x v="1"/>
    <x v="8"/>
    <s v="Q4"/>
    <x v="0"/>
  </r>
  <r>
    <s v="EOS1158"/>
    <d v="2025-12-15T00:00:00"/>
    <s v="FB"/>
    <s v="FB"/>
    <s v="Nilu Ravar Dev"/>
    <s v="Surat "/>
    <s v="Gujarat "/>
    <s v="Follow up "/>
    <n v="130000"/>
    <n v="1071157"/>
    <s v="Follow up"/>
    <x v="2"/>
    <m/>
    <s v=""/>
    <x v="0"/>
    <x v="8"/>
    <s v="Q4"/>
    <x v="0"/>
  </r>
  <r>
    <s v="EOS1159"/>
    <d v="2025-12-18T00:00:00"/>
    <s v="FB"/>
    <s v="FB"/>
    <s v="Arvind Patel"/>
    <s v="Patan"/>
    <s v="Gujarat "/>
    <s v="Rejected"/>
    <n v="130000"/>
    <n v="1071158"/>
    <s v="Rejected"/>
    <x v="0"/>
    <m/>
    <s v=""/>
    <x v="0"/>
    <x v="8"/>
    <s v="Q4"/>
    <x v="0"/>
  </r>
  <r>
    <s v="EOS1160"/>
    <d v="2025-12-18T00:00:00"/>
    <s v="FB"/>
    <s v="FB"/>
    <s v="Omkar Gauswami"/>
    <s v="keshod "/>
    <s v="Gujarat "/>
    <s v="Follow up "/>
    <n v="108000"/>
    <n v="1071159"/>
    <s v="Follow up"/>
    <x v="2"/>
    <m/>
    <s v=""/>
    <x v="0"/>
    <x v="8"/>
    <s v="Q4"/>
    <x v="0"/>
  </r>
  <r>
    <s v="EOS1161"/>
    <d v="2025-12-18T00:00:00"/>
    <s v="FB"/>
    <s v="FB"/>
    <s v="kripalsinh"/>
    <s v="Ahmedabad"/>
    <s v="Gujarat "/>
    <s v="Follow up "/>
    <n v="130000"/>
    <n v="1071160"/>
    <s v="Follow up"/>
    <x v="2"/>
    <m/>
    <s v=""/>
    <x v="0"/>
    <x v="8"/>
    <s v="Q4"/>
    <x v="0"/>
  </r>
  <r>
    <s v="EOS1162"/>
    <d v="2025-12-19T00:00:00"/>
    <s v="FB"/>
    <s v="FB"/>
    <s v="Patoliya Arpit"/>
    <s v="Madvi "/>
    <s v="Gujarat "/>
    <s v="Follow up "/>
    <n v="177000"/>
    <n v="1071161"/>
    <s v="Follow up"/>
    <x v="2"/>
    <m/>
    <s v=""/>
    <x v="1"/>
    <x v="8"/>
    <s v="Q4"/>
    <x v="0"/>
  </r>
  <r>
    <s v="EOS1163"/>
    <d v="2025-12-19T00:00:00"/>
    <s v="FB"/>
    <s v="FB"/>
    <s v="Arbaaz"/>
    <s v="Surendranagar"/>
    <s v="Gujarat "/>
    <s v="Follow up "/>
    <n v="130000"/>
    <n v="1071162"/>
    <s v="Follow up"/>
    <x v="2"/>
    <m/>
    <s v=""/>
    <x v="0"/>
    <x v="8"/>
    <s v="Q4"/>
    <x v="0"/>
  </r>
  <r>
    <s v="EOS1164"/>
    <d v="2025-12-19T00:00:00"/>
    <s v="FB"/>
    <s v="FB"/>
    <s v="Dharmesh Detroja"/>
    <s v="Ahmedabad"/>
    <s v="Gujarat "/>
    <s v="Follow up "/>
    <n v="130000"/>
    <n v="1071163"/>
    <s v="Follow up"/>
    <x v="2"/>
    <m/>
    <s v=""/>
    <x v="0"/>
    <x v="8"/>
    <s v="Q4"/>
    <x v="0"/>
  </r>
  <r>
    <s v="EOS1165"/>
    <d v="2025-12-20T00:00:00"/>
    <s v="FB"/>
    <s v="FB"/>
    <s v="Sahil Adani"/>
    <s v="Ahmedabad"/>
    <s v="Gujarat "/>
    <s v="Follow up "/>
    <n v="177000"/>
    <n v="1071164"/>
    <s v="Follow up"/>
    <x v="2"/>
    <m/>
    <s v=""/>
    <x v="1"/>
    <x v="8"/>
    <s v="Q4"/>
    <x v="0"/>
  </r>
  <r>
    <s v="EOS1166"/>
    <d v="2025-12-23T00:00:00"/>
    <s v="FB"/>
    <s v="FB"/>
    <s v="Thakur Suraj Singh"/>
    <s v="himmatnagar"/>
    <s v="Gujarat "/>
    <s v="Follow up "/>
    <n v="130000"/>
    <n v="1071165"/>
    <s v="Follow up"/>
    <x v="2"/>
    <m/>
    <s v=""/>
    <x v="0"/>
    <x v="8"/>
    <s v="Q4"/>
    <x v="0"/>
  </r>
  <r>
    <s v="EOS1167"/>
    <d v="2025-12-23T00:00:00"/>
    <s v="FB"/>
    <s v="FB"/>
    <s v="Kalp Patel"/>
    <s v="Navagam "/>
    <s v="Gujarat "/>
    <s v="Follow up "/>
    <n v="108000"/>
    <n v="1071166"/>
    <s v="Follow up"/>
    <x v="2"/>
    <m/>
    <s v=""/>
    <x v="0"/>
    <x v="8"/>
    <s v="Q4"/>
    <x v="0"/>
  </r>
  <r>
    <s v="EOS1168"/>
    <d v="2025-12-23T00:00:00"/>
    <s v="FB"/>
    <s v="FB"/>
    <s v="Avesh Juneja"/>
    <s v="Junagadh"/>
    <s v="Gujarat "/>
    <s v="Follow up "/>
    <n v="130000"/>
    <n v="1071167"/>
    <s v="Follow up"/>
    <x v="2"/>
    <m/>
    <s v=""/>
    <x v="0"/>
    <x v="8"/>
    <s v="Q4"/>
    <x v="0"/>
  </r>
  <r>
    <s v="EOS1169"/>
    <d v="2025-12-23T00:00:00"/>
    <s v="FB"/>
    <s v="FB"/>
    <s v="Mohit akhed"/>
    <m/>
    <s v="Gujarat "/>
    <s v="Follow up "/>
    <n v="177000"/>
    <n v="1071168"/>
    <s v="Follow up"/>
    <x v="2"/>
    <m/>
    <s v=""/>
    <x v="1"/>
    <x v="8"/>
    <s v="Q4"/>
    <x v="0"/>
  </r>
  <r>
    <s v="EOS1170"/>
    <d v="2025-12-23T00:00:00"/>
    <s v="FB"/>
    <s v="FB"/>
    <s v="Chintan Patel"/>
    <s v="Ahmedabad"/>
    <s v="Gujarat "/>
    <s v="Follow up "/>
    <n v="130000"/>
    <n v="1071169"/>
    <s v="Follow up"/>
    <x v="2"/>
    <m/>
    <s v=""/>
    <x v="0"/>
    <x v="8"/>
    <s v="Q4"/>
    <x v="0"/>
  </r>
  <r>
    <s v="EOS1171"/>
    <d v="2025-12-29T00:00:00"/>
    <s v="FB"/>
    <s v="FB"/>
    <s v="Mukesh Kapadia"/>
    <s v="Surat"/>
    <s v="Gujarat "/>
    <s v="Rejected"/>
    <n v="177000"/>
    <n v="1071170"/>
    <s v="Rejected"/>
    <x v="0"/>
    <m/>
    <s v=""/>
    <x v="1"/>
    <x v="8"/>
    <s v="Q4"/>
    <x v="0"/>
  </r>
  <r>
    <s v="EOS1172"/>
    <d v="2025-12-29T00:00:00"/>
    <s v="FB"/>
    <s v="FB"/>
    <s v="Kaushik VyAs"/>
    <s v="himmatnagar"/>
    <s v="Gujarat "/>
    <s v="Follow up "/>
    <n v="130000"/>
    <n v="1071171"/>
    <s v="Follow up"/>
    <x v="2"/>
    <m/>
    <s v=""/>
    <x v="0"/>
    <x v="8"/>
    <s v="Q4"/>
    <x v="0"/>
  </r>
  <r>
    <s v="EOS1173"/>
    <d v="2025-12-29T00:00:00"/>
    <s v="FB"/>
    <s v="FB"/>
    <s v="Hitesh Patel"/>
    <s v="Padra"/>
    <s v="Gujarat "/>
    <s v="Follow up "/>
    <n v="108000"/>
    <n v="1071172"/>
    <s v="Follow up"/>
    <x v="2"/>
    <m/>
    <s v=""/>
    <x v="0"/>
    <x v="8"/>
    <s v="Q4"/>
    <x v="0"/>
  </r>
  <r>
    <s v="EOS1174"/>
    <d v="2025-12-29T00:00:00"/>
    <s v="FB"/>
    <s v="FB"/>
    <s v="Azaz kulad "/>
    <s v="Gol"/>
    <s v="Uttar Pradesh "/>
    <s v="Rejected"/>
    <n v="108000"/>
    <n v="1071173"/>
    <s v="Rejected"/>
    <x v="0"/>
    <m/>
    <s v=""/>
    <x v="0"/>
    <x v="8"/>
    <s v="Q4"/>
    <x v="1"/>
  </r>
  <r>
    <s v="EOS1175"/>
    <d v="2026-01-02T00:00:00"/>
    <s v="FB"/>
    <s v="FB"/>
    <s v="Mazhar Ali"/>
    <s v="himmatnagar"/>
    <s v="Gujarat "/>
    <s v="Rejected"/>
    <n v="130000"/>
    <n v="1071174"/>
    <s v="Rejected"/>
    <x v="0"/>
    <m/>
    <s v=""/>
    <x v="0"/>
    <x v="2"/>
    <s v="Q1"/>
    <x v="0"/>
  </r>
  <r>
    <s v="EOS1176"/>
    <d v="2026-01-02T00:00:00"/>
    <s v="FB"/>
    <s v="FB"/>
    <s v="yashpalsingh"/>
    <s v="Galodar "/>
    <s v="Gujarat "/>
    <s v="Rejected"/>
    <n v="130000"/>
    <n v="1071175"/>
    <s v="Rejected"/>
    <x v="0"/>
    <m/>
    <s v=""/>
    <x v="0"/>
    <x v="2"/>
    <s v="Q1"/>
    <x v="0"/>
  </r>
  <r>
    <s v="EOS1177"/>
    <d v="2026-01-02T00:00:00"/>
    <s v="FB"/>
    <s v="FB"/>
    <s v="maulik sindhav"/>
    <s v="Nadiad"/>
    <s v="Gujarat "/>
    <s v="Follow up "/>
    <n v="130000"/>
    <n v="1071176"/>
    <s v="Follow up"/>
    <x v="2"/>
    <m/>
    <s v=""/>
    <x v="0"/>
    <x v="2"/>
    <s v="Q1"/>
    <x v="0"/>
  </r>
  <r>
    <s v="EOS1178"/>
    <d v="2026-01-02T00:00:00"/>
    <s v="FB"/>
    <s v="FB"/>
    <s v="Kamleshsinh Solanki "/>
    <s v="Vinchhiya"/>
    <s v="Gujarat "/>
    <s v="Rejected"/>
    <n v="108000"/>
    <n v="1071177"/>
    <s v="Rejected"/>
    <x v="0"/>
    <m/>
    <s v=""/>
    <x v="0"/>
    <x v="2"/>
    <s v="Q1"/>
    <x v="0"/>
  </r>
  <r>
    <s v="EOS1179"/>
    <d v="2026-01-02T00:00:00"/>
    <s v="FB"/>
    <s v="FB"/>
    <s v="Pankaj Mer"/>
    <s v=" Bhavnagar"/>
    <s v="Gujarat "/>
    <s v="Follow up "/>
    <n v="108000"/>
    <n v="1071178"/>
    <s v="Follow up"/>
    <x v="2"/>
    <m/>
    <s v=""/>
    <x v="0"/>
    <x v="2"/>
    <s v="Q1"/>
    <x v="0"/>
  </r>
  <r>
    <s v="EOS1180"/>
    <d v="2026-01-02T00:00:00"/>
    <s v="FB"/>
    <s v="FB"/>
    <s v="Tushar"/>
    <s v="Botad "/>
    <s v="Gujarat "/>
    <s v="Rejected"/>
    <n v="108000"/>
    <n v="1071179"/>
    <s v="Rejected"/>
    <x v="0"/>
    <m/>
    <s v=""/>
    <x v="0"/>
    <x v="2"/>
    <s v="Q1"/>
    <x v="0"/>
  </r>
  <r>
    <s v="EOS1181"/>
    <d v="2026-01-02T00:00:00"/>
    <s v="FB"/>
    <s v="FB"/>
    <s v="it's__KANBHAA"/>
    <s v="Vadodara"/>
    <s v="Gujarat "/>
    <s v="Follow up "/>
    <n v="130000"/>
    <n v="1071180"/>
    <s v="Follow up"/>
    <x v="2"/>
    <m/>
    <s v=""/>
    <x v="0"/>
    <x v="2"/>
    <s v="Q1"/>
    <x v="0"/>
  </r>
  <r>
    <s v="EOS1182"/>
    <d v="2026-01-02T00:00:00"/>
    <s v="FB"/>
    <s v="FB"/>
    <s v="aadil shaikh"/>
    <s v="Surat "/>
    <s v="Gujarat "/>
    <s v="Follow up "/>
    <n v="108000"/>
    <n v="1071181"/>
    <s v="Follow up"/>
    <x v="2"/>
    <m/>
    <s v=""/>
    <x v="0"/>
    <x v="2"/>
    <s v="Q1"/>
    <x v="0"/>
  </r>
  <r>
    <s v="EOS1183"/>
    <d v="2026-01-02T00:00:00"/>
    <s v="FB"/>
    <s v="FB"/>
    <s v="Rudra"/>
    <s v="Surat "/>
    <s v="Gujarat "/>
    <s v="Follow up "/>
    <n v="130000"/>
    <n v="1071182"/>
    <s v="Follow up"/>
    <x v="2"/>
    <m/>
    <s v=""/>
    <x v="0"/>
    <x v="2"/>
    <s v="Q1"/>
    <x v="0"/>
  </r>
  <r>
    <s v="EOS1184"/>
    <d v="2026-01-02T00:00:00"/>
    <s v="FB"/>
    <s v="FB"/>
    <s v="Hiralal bhai"/>
    <s v="kothara "/>
    <s v="Gujarat "/>
    <s v="Rejected"/>
    <n v="177000"/>
    <n v="1071183"/>
    <s v="Rejected"/>
    <x v="0"/>
    <m/>
    <s v=""/>
    <x v="1"/>
    <x v="2"/>
    <s v="Q1"/>
    <x v="0"/>
  </r>
  <r>
    <s v="EOS1185"/>
    <d v="2026-01-02T00:00:00"/>
    <s v="FB"/>
    <s v="FB"/>
    <s v="Amin Miyaji"/>
    <s v="Gandhinagar"/>
    <s v="Gujarat "/>
    <s v="Follow up "/>
    <n v="108000"/>
    <n v="1071184"/>
    <s v="Follow up"/>
    <x v="2"/>
    <m/>
    <s v=""/>
    <x v="0"/>
    <x v="2"/>
    <s v="Q1"/>
    <x v="0"/>
  </r>
  <r>
    <s v="EOS1186"/>
    <d v="2026-01-03T00:00:00"/>
    <s v="FB"/>
    <s v="FB"/>
    <s v="Thakkar Darshan"/>
    <s v="Wankaner"/>
    <s v="Gujarat "/>
    <s v="Follow up "/>
    <n v="108000"/>
    <n v="1071185"/>
    <s v="Follow up"/>
    <x v="2"/>
    <m/>
    <s v=""/>
    <x v="0"/>
    <x v="2"/>
    <s v="Q1"/>
    <x v="0"/>
  </r>
  <r>
    <s v="EOS1187"/>
    <d v="2026-01-03T00:00:00"/>
    <s v="FB"/>
    <s v="FB"/>
    <s v="Anis"/>
    <s v="Nadiad"/>
    <s v="Gujarat "/>
    <s v="Follow up "/>
    <n v="108000"/>
    <n v="1071186"/>
    <s v="Follow up"/>
    <x v="2"/>
    <m/>
    <s v=""/>
    <x v="0"/>
    <x v="2"/>
    <s v="Q1"/>
    <x v="0"/>
  </r>
  <r>
    <s v="EOS1188"/>
    <d v="2026-01-03T00:00:00"/>
    <s v="FB"/>
    <s v="FB"/>
    <s v="Rushi_3111"/>
    <s v="Mehsana"/>
    <s v="Gujarat "/>
    <s v="Follow up "/>
    <n v="177000"/>
    <n v="1071187"/>
    <s v="Follow up"/>
    <x v="2"/>
    <m/>
    <s v=""/>
    <x v="1"/>
    <x v="2"/>
    <s v="Q1"/>
    <x v="0"/>
  </r>
  <r>
    <s v="EOS1189"/>
    <d v="2026-01-03T00:00:00"/>
    <s v="FB"/>
    <s v="FB"/>
    <s v="margi prajapati "/>
    <s v="Ahmedabad"/>
    <s v="Gujarat "/>
    <s v="Follow up "/>
    <n v="108000"/>
    <n v="1071188"/>
    <s v="Follow up"/>
    <x v="2"/>
    <m/>
    <s v=""/>
    <x v="0"/>
    <x v="2"/>
    <s v="Q1"/>
    <x v="0"/>
  </r>
  <r>
    <s v="EOS1190"/>
    <d v="2026-01-03T00:00:00"/>
    <s v="FB"/>
    <s v="FB"/>
    <s v="Koshti Mihir"/>
    <s v="Palanpur"/>
    <s v="Gujarat "/>
    <s v="Follow up "/>
    <n v="130000"/>
    <n v="1071189"/>
    <s v="Follow up"/>
    <x v="2"/>
    <m/>
    <s v=""/>
    <x v="0"/>
    <x v="2"/>
    <s v="Q1"/>
    <x v="0"/>
  </r>
  <r>
    <s v="EOS1191"/>
    <d v="2026-01-03T00:00:00"/>
    <s v="FB"/>
    <s v="FB"/>
    <s v="Kamlesh Barva"/>
    <m/>
    <s v="Gujarat "/>
    <s v="Follow up "/>
    <n v="130000"/>
    <n v="1071190"/>
    <s v="Follow up"/>
    <x v="2"/>
    <m/>
    <s v=""/>
    <x v="0"/>
    <x v="2"/>
    <s v="Q1"/>
    <x v="0"/>
  </r>
  <r>
    <s v="EOS1192"/>
    <d v="2026-01-03T00:00:00"/>
    <s v="FB"/>
    <s v="FB"/>
    <s v="Jayesh"/>
    <m/>
    <s v="Gujarat "/>
    <s v="Rejected"/>
    <n v="130000"/>
    <n v="1071191"/>
    <s v="Rejected"/>
    <x v="0"/>
    <m/>
    <s v=""/>
    <x v="0"/>
    <x v="2"/>
    <s v="Q1"/>
    <x v="0"/>
  </r>
  <r>
    <s v="EOS1193"/>
    <d v="2026-01-03T00:00:00"/>
    <s v="WA"/>
    <m/>
    <s v="DILIP Thakor"/>
    <s v="Rajkot"/>
    <s v="Gujarat "/>
    <s v="Follow up "/>
    <n v="130000"/>
    <n v="1071192"/>
    <s v="Follow up"/>
    <x v="2"/>
    <m/>
    <s v=""/>
    <x v="0"/>
    <x v="2"/>
    <s v="Q1"/>
    <x v="0"/>
  </r>
  <r>
    <s v="EOS1194"/>
    <d v="2026-01-05T00:00:00"/>
    <s v="FB"/>
    <s v="FB"/>
    <s v="Pithiyakuldee"/>
    <s v="Junagadh"/>
    <s v="Gujarat "/>
    <s v="Rejected"/>
    <n v="130000"/>
    <n v="1071193"/>
    <s v="Rejected"/>
    <x v="0"/>
    <m/>
    <s v=""/>
    <x v="0"/>
    <x v="2"/>
    <s v="Q1"/>
    <x v="0"/>
  </r>
  <r>
    <s v="EOS1195"/>
    <d v="2026-01-05T00:00:00"/>
    <s v="FB "/>
    <s v="FB"/>
    <s v="Hiren "/>
    <s v="Jambusar"/>
    <s v="Gujarat "/>
    <s v="Rejected"/>
    <n v="177000"/>
    <n v="1071194"/>
    <s v="Rejected"/>
    <x v="0"/>
    <m/>
    <s v=""/>
    <x v="1"/>
    <x v="2"/>
    <s v="Q1"/>
    <x v="0"/>
  </r>
  <r>
    <s v="EOS1196"/>
    <d v="2026-01-05T00:00:00"/>
    <s v="FB "/>
    <s v="FB"/>
    <s v="Satyajitsinh Rajput"/>
    <s v="Surat "/>
    <s v="Gujarat "/>
    <s v="Rejected"/>
    <n v="130000"/>
    <n v="1071195"/>
    <s v="Rejected"/>
    <x v="0"/>
    <m/>
    <s v=""/>
    <x v="0"/>
    <x v="2"/>
    <s v="Q1"/>
    <x v="0"/>
  </r>
  <r>
    <s v="EOS1197"/>
    <d v="2026-01-05T00:00:00"/>
    <s v="FB "/>
    <s v="FB"/>
    <s v="Mahesh"/>
    <s v="Balasinor"/>
    <s v="Gujarat "/>
    <s v="Rejected"/>
    <n v="108000"/>
    <n v="1071196"/>
    <s v="Rejected"/>
    <x v="0"/>
    <m/>
    <s v=""/>
    <x v="0"/>
    <x v="2"/>
    <s v="Q1"/>
    <x v="0"/>
  </r>
  <r>
    <s v="EOS1198"/>
    <d v="2026-01-05T00:00:00"/>
    <s v="FB "/>
    <s v="FB"/>
    <s v="MV Shaikh"/>
    <s v="jhagadia"/>
    <s v="Gujarat "/>
    <s v="Rejected"/>
    <n v="108000"/>
    <n v="1071197"/>
    <s v="Rejected"/>
    <x v="0"/>
    <m/>
    <s v=""/>
    <x v="0"/>
    <x v="2"/>
    <s v="Q1"/>
    <x v="0"/>
  </r>
  <r>
    <s v="EOS1199"/>
    <d v="2026-01-05T00:00:00"/>
    <s v="FB "/>
    <s v="FB"/>
    <s v="Shaikh idrish"/>
    <s v="Jamnagar"/>
    <s v="Gujarat "/>
    <s v="Follow up "/>
    <n v="130000"/>
    <n v="1071198"/>
    <s v="Follow up"/>
    <x v="2"/>
    <m/>
    <s v=""/>
    <x v="0"/>
    <x v="2"/>
    <s v="Q1"/>
    <x v="0"/>
  </r>
  <r>
    <s v="EOS1200"/>
    <d v="2026-01-05T00:00:00"/>
    <s v="FB"/>
    <s v="FB"/>
    <s v="Ajay"/>
    <s v="Mundra"/>
    <s v="Gujarat "/>
    <s v="Rejected"/>
    <n v="177000"/>
    <n v="1071199"/>
    <s v="Rejected"/>
    <x v="0"/>
    <m/>
    <s v=""/>
    <x v="1"/>
    <x v="2"/>
    <s v="Q1"/>
    <x v="0"/>
  </r>
  <r>
    <s v="EOS1201"/>
    <d v="2026-01-05T00:00:00"/>
    <s v="FB "/>
    <s v="FB"/>
    <m/>
    <m/>
    <s v="Gujarat "/>
    <s v="Follow up "/>
    <n v="130000"/>
    <n v="1071200"/>
    <s v="Follow up"/>
    <x v="2"/>
    <m/>
    <s v=""/>
    <x v="0"/>
    <x v="2"/>
    <s v="Q1"/>
    <x v="0"/>
  </r>
  <r>
    <s v="EOS1202"/>
    <d v="2026-01-05T00:00:00"/>
    <s v="FB"/>
    <s v="FB"/>
    <s v="Tushar Patel"/>
    <s v="Kadi "/>
    <s v="Gujarat "/>
    <s v="Follow up "/>
    <n v="130000"/>
    <n v="1071201"/>
    <s v="Follow up"/>
    <x v="2"/>
    <m/>
    <s v=""/>
    <x v="0"/>
    <x v="2"/>
    <s v="Q1"/>
    <x v="0"/>
  </r>
  <r>
    <s v="EOS1203"/>
    <d v="2026-01-05T00:00:00"/>
    <s v="FB"/>
    <s v="FB"/>
    <s v="Maulik Patel"/>
    <s v="Nadiad"/>
    <s v="Gujarat "/>
    <s v="Follow up "/>
    <n v="177000"/>
    <n v="1071202"/>
    <s v="Follow up"/>
    <x v="2"/>
    <m/>
    <s v=""/>
    <x v="1"/>
    <x v="2"/>
    <s v="Q1"/>
    <x v="0"/>
  </r>
  <r>
    <s v="EOS1204"/>
    <d v="2026-01-05T00:00:00"/>
    <s v="FB"/>
    <s v="FB"/>
    <s v="jadeja virendra"/>
    <s v="Surat "/>
    <s v="Gujarat "/>
    <s v="Follow up "/>
    <n v="177000"/>
    <n v="1071203"/>
    <s v="Follow up"/>
    <x v="2"/>
    <m/>
    <s v=""/>
    <x v="1"/>
    <x v="2"/>
    <s v="Q1"/>
    <x v="0"/>
  </r>
  <r>
    <s v="EOS1205"/>
    <d v="2026-01-05T00:00:00"/>
    <s v="FB"/>
    <s v="FB"/>
    <s v="bhargav variya "/>
    <s v="Ahmedabad"/>
    <s v="Gujarat "/>
    <s v="Follow up "/>
    <n v="177000"/>
    <n v="1071204"/>
    <s v="Follow up"/>
    <x v="2"/>
    <m/>
    <s v=""/>
    <x v="1"/>
    <x v="2"/>
    <s v="Q1"/>
    <x v="0"/>
  </r>
  <r>
    <s v="EOS1206"/>
    <d v="2026-01-05T00:00:00"/>
    <s v="FB"/>
    <s v="FB"/>
    <s v="milan"/>
    <s v="bhesan "/>
    <s v="Gujarat "/>
    <s v="Rejected"/>
    <n v="108000"/>
    <n v="1071205"/>
    <s v="Rejected"/>
    <x v="0"/>
    <m/>
    <s v=""/>
    <x v="0"/>
    <x v="2"/>
    <s v="Q1"/>
    <x v="0"/>
  </r>
  <r>
    <s v="EOS1207"/>
    <d v="2026-01-05T00:00:00"/>
    <s v="FB "/>
    <s v="FB"/>
    <s v="Jayveer Khuman"/>
    <s v="Surat "/>
    <s v="Gujarat "/>
    <s v="Rejected"/>
    <n v="177000"/>
    <n v="1071206"/>
    <s v="Rejected"/>
    <x v="0"/>
    <m/>
    <s v=""/>
    <x v="1"/>
    <x v="2"/>
    <s v="Q1"/>
    <x v="0"/>
  </r>
  <r>
    <s v="EOS1208"/>
    <d v="2026-01-05T00:00:00"/>
    <s v="FB "/>
    <s v="FB"/>
    <s v="Pradip Beladiya"/>
    <s v="bahjoi"/>
    <s v="Uttar Pradesh "/>
    <s v="Follow up "/>
    <n v="108000"/>
    <n v="1071207"/>
    <s v="Follow up"/>
    <x v="2"/>
    <m/>
    <s v=""/>
    <x v="0"/>
    <x v="2"/>
    <s v="Q1"/>
    <x v="1"/>
  </r>
  <r>
    <s v="EOS1209"/>
    <d v="2026-01-05T00:00:00"/>
    <s v="FB"/>
    <s v="FB"/>
    <s v="Lokesh Gupta"/>
    <s v="lucknow "/>
    <s v="Uttar Pradesh "/>
    <s v="Follow up "/>
    <n v="130000"/>
    <n v="1071208"/>
    <s v="Follow up"/>
    <x v="2"/>
    <m/>
    <s v=""/>
    <x v="0"/>
    <x v="2"/>
    <s v="Q1"/>
    <x v="1"/>
  </r>
  <r>
    <s v="EOS1210"/>
    <d v="2026-01-05T00:00:00"/>
    <s v="FB"/>
    <s v="FB"/>
    <s v="Akhilesh Nath Tripathi"/>
    <s v="morbi "/>
    <s v="Gujarat "/>
    <s v="Rejected"/>
    <n v="108000"/>
    <n v="1071209"/>
    <s v="Rejected"/>
    <x v="0"/>
    <m/>
    <s v=""/>
    <x v="0"/>
    <x v="2"/>
    <s v="Q1"/>
    <x v="0"/>
  </r>
  <r>
    <s v="EOS1211"/>
    <d v="2026-01-06T00:00:00"/>
    <s v="FB"/>
    <s v="FB"/>
    <s v="Vajsi chavda"/>
    <s v="Vadodara"/>
    <s v="Gujarat "/>
    <s v="Follow up "/>
    <n v="108000"/>
    <n v="1071210"/>
    <s v="Follow up"/>
    <x v="2"/>
    <m/>
    <s v=""/>
    <x v="0"/>
    <x v="2"/>
    <s v="Q1"/>
    <x v="0"/>
  </r>
  <r>
    <s v="EOS1212"/>
    <d v="2026-01-06T00:00:00"/>
    <s v="FB"/>
    <s v="FB"/>
    <s v="chirag darji"/>
    <s v="navsari "/>
    <s v="Gujarat "/>
    <s v="Rejected"/>
    <n v="177000"/>
    <n v="1071211"/>
    <s v="Rejected"/>
    <x v="0"/>
    <m/>
    <s v=""/>
    <x v="1"/>
    <x v="2"/>
    <s v="Q1"/>
    <x v="0"/>
  </r>
  <r>
    <s v="EOS1213"/>
    <d v="2026-01-06T00:00:00"/>
    <s v="FB"/>
    <s v="FB"/>
    <s v="Feral s Rathod"/>
    <s v="Junagadh"/>
    <s v="Gujarat "/>
    <s v="Follow up "/>
    <n v="108000"/>
    <n v="1071212"/>
    <s v="Follow up"/>
    <x v="2"/>
    <m/>
    <s v=""/>
    <x v="0"/>
    <x v="2"/>
    <s v="Q1"/>
    <x v="0"/>
  </r>
  <r>
    <s v="EOS1214"/>
    <d v="2026-01-06T00:00:00"/>
    <s v="FB"/>
    <s v="FB"/>
    <s v="Rajan Ahir"/>
    <s v="Rajkot"/>
    <s v="Gujarat "/>
    <s v="Rejected"/>
    <n v="308000"/>
    <n v="1071213"/>
    <s v="Rejected"/>
    <x v="0"/>
    <m/>
    <s v=""/>
    <x v="2"/>
    <x v="2"/>
    <s v="Q1"/>
    <x v="0"/>
  </r>
  <r>
    <s v="EOS1215"/>
    <d v="2026-01-06T00:00:00"/>
    <s v="FB"/>
    <s v="FB"/>
    <s v="Yogvirsinh Zala"/>
    <s v="Ahmedabad"/>
    <s v="Gujarat "/>
    <s v="Follow up "/>
    <n v="130000"/>
    <n v="1071214"/>
    <s v="Follow up"/>
    <x v="2"/>
    <m/>
    <s v=""/>
    <x v="0"/>
    <x v="2"/>
    <s v="Q1"/>
    <x v="0"/>
  </r>
  <r>
    <s v="EOS1216"/>
    <d v="2026-01-07T00:00:00"/>
    <s v="FB"/>
    <s v="FB"/>
    <s v="Manan chauhan"/>
    <s v="Surat"/>
    <s v="Gujarat "/>
    <s v="Follow up "/>
    <n v="108000"/>
    <n v="1071215"/>
    <s v="Follow up"/>
    <x v="2"/>
    <m/>
    <s v=""/>
    <x v="0"/>
    <x v="2"/>
    <s v="Q1"/>
    <x v="0"/>
  </r>
  <r>
    <s v="EOS1217"/>
    <d v="2026-01-07T00:00:00"/>
    <s v="FB"/>
    <s v="FB"/>
    <s v="Dhruval Radadiya"/>
    <m/>
    <s v="Gujarat "/>
    <s v="Follow up "/>
    <n v="108000"/>
    <n v="1071216"/>
    <s v="Follow up"/>
    <x v="2"/>
    <m/>
    <s v=""/>
    <x v="0"/>
    <x v="2"/>
    <s v="Q1"/>
    <x v="0"/>
  </r>
  <r>
    <s v="EOS1218"/>
    <d v="2026-01-07T00:00:00"/>
    <s v="FB"/>
    <s v="FB"/>
    <s v="Saleh Dantrolia"/>
    <m/>
    <s v="Gujarat "/>
    <s v="Follow up "/>
    <n v="108000"/>
    <n v="1071217"/>
    <s v="Follow up"/>
    <x v="2"/>
    <m/>
    <s v=""/>
    <x v="0"/>
    <x v="2"/>
    <s v="Q1"/>
    <x v="0"/>
  </r>
  <r>
    <s v="EOS1219"/>
    <d v="2026-01-07T00:00:00"/>
    <s v="FB"/>
    <s v="FB"/>
    <s v="Parth Patel"/>
    <m/>
    <s v="Gujarat "/>
    <s v="Follow up "/>
    <n v="108000"/>
    <n v="1071218"/>
    <s v="Follow up"/>
    <x v="2"/>
    <m/>
    <s v=""/>
    <x v="0"/>
    <x v="2"/>
    <s v="Q1"/>
    <x v="0"/>
  </r>
  <r>
    <s v="EOS1220"/>
    <d v="2026-01-07T00:00:00"/>
    <s v="FB"/>
    <s v="FB"/>
    <s v="Akil Hingora"/>
    <s v="Vadodara"/>
    <s v="Gujarat "/>
    <s v="Follow up "/>
    <n v="108000"/>
    <n v="1071219"/>
    <s v="Follow up"/>
    <x v="2"/>
    <m/>
    <s v=""/>
    <x v="0"/>
    <x v="2"/>
    <s v="Q1"/>
    <x v="0"/>
  </r>
  <r>
    <s v="EOS1221"/>
    <d v="2026-01-07T00:00:00"/>
    <s v="FB"/>
    <s v="FB"/>
    <s v="Bimal Pandya"/>
    <m/>
    <s v="Gujarat "/>
    <s v="Follow up "/>
    <n v="130000"/>
    <n v="1071220"/>
    <s v="Follow up"/>
    <x v="2"/>
    <m/>
    <s v=""/>
    <x v="0"/>
    <x v="2"/>
    <s v="Q1"/>
    <x v="0"/>
  </r>
  <r>
    <s v="EOS1222"/>
    <d v="2026-01-07T00:00:00"/>
    <s v="FB"/>
    <s v="FB"/>
    <s v="Hitesh Patel "/>
    <m/>
    <s v="Gujarat "/>
    <s v="Follow up "/>
    <n v="108000"/>
    <n v="1071221"/>
    <s v="Follow up"/>
    <x v="2"/>
    <m/>
    <s v=""/>
    <x v="0"/>
    <x v="2"/>
    <s v="Q1"/>
    <x v="0"/>
  </r>
  <r>
    <s v="EOS1223"/>
    <d v="2026-01-07T00:00:00"/>
    <s v="FB"/>
    <s v="FB"/>
    <s v="Apurv Patel"/>
    <s v="mahngrol "/>
    <s v="Gujarat "/>
    <s v="Follow up "/>
    <n v="130000"/>
    <n v="1071222"/>
    <s v="Follow up"/>
    <x v="2"/>
    <m/>
    <s v=""/>
    <x v="0"/>
    <x v="2"/>
    <s v="Q1"/>
    <x v="0"/>
  </r>
  <r>
    <s v="EOS1224"/>
    <d v="2026-01-08T00:00:00"/>
    <s v="FB"/>
    <s v="FB"/>
    <s v="Safdar Shaikh"/>
    <m/>
    <s v="Gujarat "/>
    <s v="Follow up "/>
    <n v="130000"/>
    <n v="1071223"/>
    <s v="Follow up"/>
    <x v="2"/>
    <m/>
    <s v=""/>
    <x v="0"/>
    <x v="2"/>
    <s v="Q1"/>
    <x v="0"/>
  </r>
  <r>
    <s v="EOS1225"/>
    <d v="2026-01-08T00:00:00"/>
    <s v="FB"/>
    <s v="FB"/>
    <s v="RUSHAABH"/>
    <m/>
    <s v="Gujarat "/>
    <s v="Follow up "/>
    <n v="177000"/>
    <n v="1071224"/>
    <s v="Follow up"/>
    <x v="2"/>
    <m/>
    <s v=""/>
    <x v="1"/>
    <x v="2"/>
    <s v="Q1"/>
    <x v="0"/>
  </r>
  <r>
    <s v="EOS1226"/>
    <d v="2026-01-08T00:00:00"/>
    <s v="FB"/>
    <s v="FB"/>
    <s v="chandrapal sinh virpura milan "/>
    <m/>
    <s v="Gujarat "/>
    <s v="Follow up "/>
    <n v="108000"/>
    <n v="1071225"/>
    <s v="Follow up"/>
    <x v="2"/>
    <m/>
    <s v=""/>
    <x v="0"/>
    <x v="2"/>
    <s v="Q1"/>
    <x v="0"/>
  </r>
  <r>
    <s v="EOS1227"/>
    <d v="2026-01-08T00:00:00"/>
    <s v="FB"/>
    <s v="FB"/>
    <s v="Raju Desai "/>
    <s v="Surat "/>
    <s v="Gujarat "/>
    <s v="Follow up "/>
    <n v="130000"/>
    <n v="1071226"/>
    <s v="Follow up"/>
    <x v="2"/>
    <m/>
    <s v=""/>
    <x v="0"/>
    <x v="2"/>
    <s v="Q1"/>
    <x v="0"/>
  </r>
  <r>
    <s v="EOS1228"/>
    <d v="2026-01-09T00:00:00"/>
    <s v="FB"/>
    <s v="FB"/>
    <s v="Gauri Padaya"/>
    <s v="Bhavangar"/>
    <s v="Gujarat "/>
    <s v="Follow up "/>
    <n v="108000"/>
    <n v="1071227"/>
    <s v="Follow up"/>
    <x v="2"/>
    <m/>
    <s v=""/>
    <x v="0"/>
    <x v="2"/>
    <s v="Q1"/>
    <x v="0"/>
  </r>
  <r>
    <s v="EOS1229"/>
    <d v="2026-01-09T00:00:00"/>
    <s v="FB"/>
    <s v="FB"/>
    <m/>
    <m/>
    <s v="Gujarat "/>
    <s v="Follow up "/>
    <n v="108000"/>
    <n v="1071228"/>
    <s v="Follow up"/>
    <x v="2"/>
    <m/>
    <s v=""/>
    <x v="0"/>
    <x v="2"/>
    <s v="Q1"/>
    <x v="0"/>
  </r>
  <r>
    <s v="EOS1230"/>
    <d v="2026-01-12T00:00:00"/>
    <s v="FB"/>
    <s v="FB"/>
    <s v="Chirag Bha"/>
    <m/>
    <s v="Gujarat "/>
    <s v="Follow up "/>
    <n v="177000"/>
    <n v="1071229"/>
    <s v="Follow up"/>
    <x v="2"/>
    <m/>
    <s v=""/>
    <x v="1"/>
    <x v="2"/>
    <s v="Q1"/>
    <x v="0"/>
  </r>
  <r>
    <s v="EOS1231"/>
    <d v="2026-01-12T00:00:00"/>
    <s v="FB"/>
    <s v="FB"/>
    <s v="VIRAL THAKKER"/>
    <s v="Ahmedabad"/>
    <s v="Gujarat "/>
    <s v="Follow up "/>
    <n v="177000"/>
    <n v="1071230"/>
    <s v="Follow up"/>
    <x v="2"/>
    <m/>
    <s v=""/>
    <x v="1"/>
    <x v="2"/>
    <s v="Q1"/>
    <x v="0"/>
  </r>
  <r>
    <s v="EOS1232"/>
    <d v="2026-01-13T00:00:00"/>
    <s v="FB"/>
    <s v="FB"/>
    <s v="Kishan Chudasama"/>
    <s v="Gogamba"/>
    <s v="Gujarat "/>
    <s v="Follow up "/>
    <n v="108000"/>
    <n v="1071231"/>
    <s v="Follow up"/>
    <x v="2"/>
    <m/>
    <s v=""/>
    <x v="0"/>
    <x v="2"/>
    <s v="Q1"/>
    <x v="0"/>
  </r>
  <r>
    <s v="EOS1233"/>
    <d v="2026-01-13T00:00:00"/>
    <s v="FB"/>
    <s v="FB"/>
    <s v="Mehul vanzara"/>
    <s v="Ahmedabad"/>
    <s v="Gujarat "/>
    <s v="Follow up "/>
    <n v="108000"/>
    <n v="1071232"/>
    <s v="Follow up"/>
    <x v="2"/>
    <m/>
    <s v=""/>
    <x v="0"/>
    <x v="2"/>
    <s v="Q1"/>
    <x v="0"/>
  </r>
  <r>
    <s v="EOS1234"/>
    <d v="2026-01-13T00:00:00"/>
    <s v="FB"/>
    <s v="FB"/>
    <s v="Navaz Pathan"/>
    <s v="Surat"/>
    <s v="Gujarat "/>
    <s v="Follow up "/>
    <n v="130000"/>
    <n v="1071233"/>
    <s v="Follow up"/>
    <x v="2"/>
    <m/>
    <s v=""/>
    <x v="0"/>
    <x v="2"/>
    <s v="Q1"/>
    <x v="0"/>
  </r>
  <r>
    <s v="EOS1235"/>
    <d v="2026-01-13T00:00:00"/>
    <s v="FB"/>
    <s v="FB"/>
    <s v="Prathamsinh bhati"/>
    <s v="Gandhinagar"/>
    <s v="Gujarat "/>
    <s v="Follow up "/>
    <n v="130000"/>
    <n v="1071234"/>
    <s v="Follow up"/>
    <x v="2"/>
    <m/>
    <s v=""/>
    <x v="0"/>
    <x v="2"/>
    <s v="Q1"/>
    <x v="0"/>
  </r>
  <r>
    <s v="EOS1236"/>
    <d v="2026-01-13T00:00:00"/>
    <s v="FB"/>
    <s v="FB"/>
    <s v="Pravin Prajapati"/>
    <s v="Surat"/>
    <s v="Gujarat "/>
    <s v="Follow up "/>
    <n v="108000"/>
    <n v="1071235"/>
    <s v="Follow up"/>
    <x v="2"/>
    <m/>
    <s v=""/>
    <x v="0"/>
    <x v="2"/>
    <s v="Q1"/>
    <x v="0"/>
  </r>
  <r>
    <s v="EOS1237"/>
    <d v="2026-01-16T00:00:00"/>
    <s v="FB"/>
    <s v="FB"/>
    <s v="Krulay Desai"/>
    <s v="Ahmedabad"/>
    <s v="Gujarat "/>
    <s v="Follow up "/>
    <n v="108000"/>
    <n v="1071236"/>
    <s v="Follow up"/>
    <x v="2"/>
    <m/>
    <s v=""/>
    <x v="0"/>
    <x v="2"/>
    <s v="Q1"/>
    <x v="0"/>
  </r>
  <r>
    <s v="EOS1238"/>
    <d v="2026-01-16T00:00:00"/>
    <s v="FB"/>
    <s v="FB"/>
    <s v="Jigar Thakkar"/>
    <s v="Ahmedabad"/>
    <s v="Gujarat "/>
    <s v="Follow up "/>
    <n v="130000"/>
    <n v="1071237"/>
    <s v="Follow up"/>
    <x v="2"/>
    <m/>
    <s v=""/>
    <x v="0"/>
    <x v="2"/>
    <s v="Q1"/>
    <x v="0"/>
  </r>
  <r>
    <s v="EOS1239"/>
    <d v="2026-01-16T00:00:00"/>
    <s v="FB"/>
    <s v="FB"/>
    <s v="Nirmal Rajpurohit"/>
    <s v="Mangrol"/>
    <s v="Gujarat "/>
    <s v="Follow up "/>
    <n v="130000"/>
    <n v="1071238"/>
    <s v="Follow up"/>
    <x v="2"/>
    <m/>
    <s v=""/>
    <x v="0"/>
    <x v="2"/>
    <s v="Q1"/>
    <x v="0"/>
  </r>
  <r>
    <s v="EOS1240"/>
    <d v="2026-01-16T00:00:00"/>
    <s v="FB"/>
    <s v="FB"/>
    <s v="Aftab Kadu"/>
    <s v="Rajkot"/>
    <s v="Gujarat "/>
    <s v="Follow up "/>
    <n v="108000"/>
    <n v="1071239"/>
    <s v="Follow up"/>
    <x v="2"/>
    <m/>
    <s v=""/>
    <x v="0"/>
    <x v="2"/>
    <s v="Q1"/>
    <x v="0"/>
  </r>
  <r>
    <s v="EOS1241"/>
    <d v="2026-01-16T00:00:00"/>
    <s v="FB"/>
    <s v="FB"/>
    <s v="Raj Rupapara"/>
    <s v="Junagadh"/>
    <s v="Gujarat "/>
    <s v="Follow up "/>
    <n v="108000"/>
    <n v="1071240"/>
    <s v="Follow up"/>
    <x v="2"/>
    <m/>
    <s v=""/>
    <x v="0"/>
    <x v="2"/>
    <s v="Q1"/>
    <x v="0"/>
  </r>
  <r>
    <s v="EOS1242"/>
    <d v="2026-01-16T00:00:00"/>
    <s v="FB"/>
    <s v="FB"/>
    <s v="Nirmal"/>
    <s v="Veraval"/>
    <s v="Gujarat "/>
    <s v="Follow up "/>
    <n v="130000"/>
    <n v="1071241"/>
    <s v="Follow up"/>
    <x v="2"/>
    <m/>
    <s v=""/>
    <x v="0"/>
    <x v="2"/>
    <s v="Q1"/>
    <x v="0"/>
  </r>
  <r>
    <s v="EOS1243"/>
    <d v="2026-01-16T00:00:00"/>
    <s v="FB"/>
    <s v="FB"/>
    <s v="Sumra Faizan"/>
    <m/>
    <s v="Gujarat "/>
    <s v="Follow up "/>
    <n v="130000"/>
    <n v="1071242"/>
    <s v="Follow up"/>
    <x v="2"/>
    <m/>
    <s v=""/>
    <x v="0"/>
    <x v="2"/>
    <s v="Q1"/>
    <x v="0"/>
  </r>
  <r>
    <s v="EOS1244"/>
    <d v="2026-01-16T00:00:00"/>
    <s v="FB"/>
    <s v="FB"/>
    <s v="Shekh Munzamilbhai M"/>
    <s v="Daman"/>
    <s v="Gujarat "/>
    <s v="Follow up "/>
    <n v="108000"/>
    <n v="1071243"/>
    <s v="Follow up"/>
    <x v="2"/>
    <m/>
    <s v=""/>
    <x v="0"/>
    <x v="2"/>
    <s v="Q1"/>
    <x v="0"/>
  </r>
  <r>
    <s v="EOS1245"/>
    <d v="2026-01-16T00:00:00"/>
    <s v="FB"/>
    <s v="FB"/>
    <s v="Mustafa"/>
    <s v="Junagadh"/>
    <s v="Gujarat "/>
    <s v="Follow up "/>
    <n v="108000"/>
    <n v="1071244"/>
    <s v="Follow up"/>
    <x v="2"/>
    <m/>
    <s v=""/>
    <x v="0"/>
    <x v="2"/>
    <s v="Q1"/>
    <x v="0"/>
  </r>
  <r>
    <s v="EOS1246"/>
    <d v="2026-01-17T00:00:00"/>
    <s v="FB"/>
    <s v="FB"/>
    <s v="S_K_Babi_0786"/>
    <s v="Rajkot"/>
    <s v="Gujarat"/>
    <s v="Follow up "/>
    <n v="108000"/>
    <n v="1071245"/>
    <s v="Follow up"/>
    <x v="2"/>
    <m/>
    <s v=""/>
    <x v="0"/>
    <x v="2"/>
    <s v="Q1"/>
    <x v="0"/>
  </r>
  <r>
    <s v="EOS1247"/>
    <d v="2026-01-17T00:00:00"/>
    <s v="FB"/>
    <s v="FB"/>
    <s v="Manthan Upadhyay"/>
    <s v=" Bhavnagar"/>
    <s v="Gujarat"/>
    <s v="Rejected"/>
    <n v="108000"/>
    <n v="1071246"/>
    <s v="Rejected"/>
    <x v="0"/>
    <m/>
    <s v=""/>
    <x v="0"/>
    <x v="2"/>
    <s v="Q1"/>
    <x v="0"/>
  </r>
  <r>
    <s v="EOS1248"/>
    <d v="2026-01-17T00:00:00"/>
    <s v="FB "/>
    <s v="FB"/>
    <s v="Shekh Muhmmad"/>
    <s v="Kalol"/>
    <s v="Gujarat"/>
    <s v="Follow up "/>
    <n v="130000"/>
    <n v="1071247"/>
    <s v="Follow up"/>
    <x v="2"/>
    <m/>
    <s v=""/>
    <x v="0"/>
    <x v="2"/>
    <s v="Q1"/>
    <x v="0"/>
  </r>
  <r>
    <s v="EOS1249"/>
    <d v="2026-01-17T00:00:00"/>
    <s v="FB"/>
    <s v="FB"/>
    <s v="Panchani Arvind"/>
    <s v="Junagadh"/>
    <s v="Gujarat"/>
    <s v="Follow up "/>
    <n v="130000"/>
    <n v="1071248"/>
    <s v="Follow up"/>
    <x v="2"/>
    <m/>
    <s v=""/>
    <x v="0"/>
    <x v="2"/>
    <s v="Q1"/>
    <x v="0"/>
  </r>
  <r>
    <s v="EOS1250"/>
    <d v="2026-01-17T00:00:00"/>
    <s v="FB"/>
    <s v="FB"/>
    <s v="JETHAVA navaz"/>
    <s v="Vadodara"/>
    <s v="Gujarat"/>
    <s v="Rejected"/>
    <n v="108000"/>
    <n v="1071249"/>
    <s v="Rejected"/>
    <x v="0"/>
    <m/>
    <s v=""/>
    <x v="0"/>
    <x v="2"/>
    <s v="Q1"/>
    <x v="0"/>
  </r>
  <r>
    <s v="EOS1251"/>
    <d v="2026-01-17T00:00:00"/>
    <s v="FB "/>
    <s v="FB"/>
    <s v="PusHpendrasinh Raulji"/>
    <s v="Ahmedabad"/>
    <s v="Gujarat"/>
    <s v="Rejected"/>
    <n v="108000"/>
    <n v="1071250"/>
    <s v="Rejected"/>
    <x v="0"/>
    <m/>
    <s v=""/>
    <x v="0"/>
    <x v="2"/>
    <s v="Q1"/>
    <x v="0"/>
  </r>
  <r>
    <s v="EOS1252"/>
    <d v="2026-01-17T00:00:00"/>
    <s v="FB "/>
    <s v="FB"/>
    <s v="Dipak murlidha"/>
    <s v="Surat"/>
    <s v="Gujarat"/>
    <s v="Rejected"/>
    <n v="130000"/>
    <n v="1071251"/>
    <s v="Rejected"/>
    <x v="0"/>
    <m/>
    <s v=""/>
    <x v="0"/>
    <x v="2"/>
    <s v="Q1"/>
    <x v="0"/>
  </r>
  <r>
    <s v="EOS1253"/>
    <d v="2026-01-17T00:00:00"/>
    <s v="FB "/>
    <s v="FB"/>
    <s v="Akshay mehta"/>
    <s v="Gandhinagar"/>
    <s v="Gujarat"/>
    <s v="Follow up "/>
    <n v="108000"/>
    <n v="1071252"/>
    <s v="Follow up"/>
    <x v="2"/>
    <m/>
    <s v=""/>
    <x v="0"/>
    <x v="2"/>
    <s v="Q1"/>
    <x v="0"/>
  </r>
  <r>
    <s v="EOS1254"/>
    <d v="2026-01-17T00:00:00"/>
    <s v="FB"/>
    <s v="FB"/>
    <m/>
    <s v="Ahmedabad"/>
    <s v="Gujarat"/>
    <s v="Follow up "/>
    <n v="130000"/>
    <n v="1071253"/>
    <s v="Follow up"/>
    <x v="2"/>
    <m/>
    <s v=""/>
    <x v="0"/>
    <x v="2"/>
    <s v="Q1"/>
    <x v="0"/>
  </r>
  <r>
    <s v="EOS1255"/>
    <d v="2026-01-17T00:00:00"/>
    <s v="FB"/>
    <s v="FB"/>
    <s v="Solanki bhavesh "/>
    <s v="Ahmedabad"/>
    <s v="Gujarat "/>
    <s v="Follow up "/>
    <n v="177000"/>
    <n v="1071254"/>
    <s v="Follow up"/>
    <x v="2"/>
    <m/>
    <s v=""/>
    <x v="1"/>
    <x v="2"/>
    <s v="Q1"/>
    <x v="0"/>
  </r>
  <r>
    <s v="EOS1256"/>
    <d v="2026-01-17T00:00:00"/>
    <s v="FB"/>
    <s v="FB"/>
    <s v="Jadeja Yuvrajsinh Hatdi"/>
    <s v="Vadodara"/>
    <s v="Gujarat"/>
    <s v="Rejected"/>
    <n v="130000"/>
    <n v="1071255"/>
    <s v="Rejected"/>
    <x v="0"/>
    <m/>
    <s v=""/>
    <x v="0"/>
    <x v="2"/>
    <s v="Q1"/>
    <x v="0"/>
  </r>
  <r>
    <s v="EOS1257"/>
    <d v="2026-01-17T00:00:00"/>
    <s v="FB "/>
    <s v="FB"/>
    <s v="Dinesh Bhaliya"/>
    <s v="Surat"/>
    <s v="Gujarat "/>
    <s v="Follow up "/>
    <n v="130000"/>
    <n v="1071256"/>
    <s v="Follow up"/>
    <x v="2"/>
    <m/>
    <s v=""/>
    <x v="0"/>
    <x v="2"/>
    <s v="Q1"/>
    <x v="0"/>
  </r>
  <r>
    <s v="EOS1258"/>
    <d v="2026-01-17T00:00:00"/>
    <s v="FB"/>
    <s v="FB"/>
    <s v="Harshil Katakiya"/>
    <s v="Shehera"/>
    <s v="Gujarat "/>
    <s v="Follow up "/>
    <n v="130000"/>
    <n v="1071257"/>
    <s v="Follow up"/>
    <x v="2"/>
    <m/>
    <s v=""/>
    <x v="0"/>
    <x v="2"/>
    <s v="Q1"/>
    <x v="0"/>
  </r>
  <r>
    <s v="EOS1259"/>
    <d v="2026-01-17T00:00:00"/>
    <s v="FB"/>
    <s v="FB"/>
    <s v="Nilesh Solanki"/>
    <m/>
    <s v="Gujarat "/>
    <s v="Follow up "/>
    <n v="177000"/>
    <n v="1071258"/>
    <s v="Follow up"/>
    <x v="2"/>
    <m/>
    <s v=""/>
    <x v="1"/>
    <x v="2"/>
    <s v="Q1"/>
    <x v="0"/>
  </r>
  <r>
    <s v="EOS1260"/>
    <d v="2026-01-17T00:00:00"/>
    <s v="FB"/>
    <s v="FB"/>
    <s v="Dipakbhai pravinbhai"/>
    <m/>
    <s v="Gujarat"/>
    <s v="Follow up "/>
    <n v="130000"/>
    <n v="1071259"/>
    <s v="Follow up"/>
    <x v="2"/>
    <m/>
    <s v=""/>
    <x v="0"/>
    <x v="2"/>
    <s v="Q1"/>
    <x v="0"/>
  </r>
  <r>
    <s v="EOS1261"/>
    <d v="2026-01-19T00:00:00"/>
    <s v="FB"/>
    <s v="FB"/>
    <s v="Kalpesh Ninama"/>
    <s v="Dabhoi"/>
    <s v="Gujarat"/>
    <s v="Follow up "/>
    <n v="108000"/>
    <n v="1071260"/>
    <s v="Follow up"/>
    <x v="2"/>
    <m/>
    <s v=""/>
    <x v="0"/>
    <x v="2"/>
    <s v="Q1"/>
    <x v="0"/>
  </r>
  <r>
    <s v="EOS1262"/>
    <d v="2026-01-19T00:00:00"/>
    <s v="FB"/>
    <s v="FB"/>
    <s v="Safwan wadiwala"/>
    <s v="Gondal"/>
    <s v="Gujarat"/>
    <s v="Follow up "/>
    <n v="130000"/>
    <n v="1071261"/>
    <s v="Follow up"/>
    <x v="2"/>
    <m/>
    <s v=""/>
    <x v="0"/>
    <x v="2"/>
    <s v="Q1"/>
    <x v="0"/>
  </r>
  <r>
    <s v="EOS1263"/>
    <d v="2026-01-19T00:00:00"/>
    <s v="FB"/>
    <s v="FB"/>
    <s v="Chuhan samir"/>
    <s v="Gandhinagar"/>
    <s v="Gujarat"/>
    <s v="Follow up "/>
    <n v="130000"/>
    <n v="1071262"/>
    <s v="Follow up"/>
    <x v="2"/>
    <m/>
    <s v=""/>
    <x v="0"/>
    <x v="2"/>
    <s v="Q1"/>
    <x v="0"/>
  </r>
  <r>
    <s v="EOS1264"/>
    <d v="2026-01-19T00:00:00"/>
    <s v="FB"/>
    <s v="FB"/>
    <s v="Hirenkumar arvindbhai"/>
    <s v="Rajkot"/>
    <s v="Gujarat"/>
    <s v="Follow up "/>
    <n v="108000"/>
    <n v="1071263"/>
    <s v="Follow up"/>
    <x v="2"/>
    <m/>
    <s v=""/>
    <x v="0"/>
    <x v="2"/>
    <s v="Q1"/>
    <x v="0"/>
  </r>
  <r>
    <s v="EOS1265"/>
    <d v="2026-01-19T00:00:00"/>
    <s v="FB"/>
    <s v="FB"/>
    <s v="Bhuva Rushik"/>
    <s v="Kalol"/>
    <s v="Gujarat"/>
    <s v="Follow up "/>
    <n v="130000"/>
    <n v="1071264"/>
    <s v="Follow up"/>
    <x v="2"/>
    <m/>
    <s v=""/>
    <x v="0"/>
    <x v="2"/>
    <s v="Q1"/>
    <x v="0"/>
  </r>
  <r>
    <s v="EOS1266"/>
    <d v="2026-01-19T00:00:00"/>
    <s v="FB"/>
    <s v="FB"/>
    <s v="Chetan _172"/>
    <s v="Nadiad"/>
    <s v="Gujarat"/>
    <s v="Follow up "/>
    <n v="130000"/>
    <n v="1071265"/>
    <s v="Follow up"/>
    <x v="2"/>
    <m/>
    <s v=""/>
    <x v="0"/>
    <x v="2"/>
    <s v="Q1"/>
    <x v="0"/>
  </r>
  <r>
    <s v="EOS1267"/>
    <d v="2026-01-19T00:00:00"/>
    <s v="FB"/>
    <s v="FB"/>
    <s v="Prit Thakor"/>
    <s v="Godhra"/>
    <s v="Gujarat"/>
    <s v="Follow up "/>
    <n v="130000"/>
    <n v="1071266"/>
    <s v="Follow up"/>
    <x v="2"/>
    <m/>
    <s v=""/>
    <x v="0"/>
    <x v="2"/>
    <s v="Q1"/>
    <x v="0"/>
  </r>
  <r>
    <s v="EOS1268"/>
    <d v="2026-01-19T00:00:00"/>
    <s v="FB"/>
    <s v="FB"/>
    <s v="Samir Bhatuk"/>
    <s v="Surat"/>
    <s v="Gujarat "/>
    <s v="Follow up "/>
    <n v="108000"/>
    <n v="1071267"/>
    <s v="Follow up"/>
    <x v="2"/>
    <m/>
    <s v=""/>
    <x v="0"/>
    <x v="2"/>
    <s v="Q1"/>
    <x v="0"/>
  </r>
  <r>
    <s v="EOS1269"/>
    <d v="2026-01-19T00:00:00"/>
    <s v="FB"/>
    <s v="FB"/>
    <s v="Vyas Alpesh"/>
    <s v="Adipur"/>
    <s v="Gujarat"/>
    <s v="Follow up "/>
    <n v="108000"/>
    <n v="1071268"/>
    <s v="Follow up"/>
    <x v="2"/>
    <m/>
    <s v=""/>
    <x v="0"/>
    <x v="2"/>
    <s v="Q1"/>
    <x v="0"/>
  </r>
  <r>
    <s v="EOS1270"/>
    <d v="2026-01-19T00:00:00"/>
    <s v="FB"/>
    <s v="FB"/>
    <s v="Himanshu Lalwani"/>
    <s v="Dholka"/>
    <s v="Gujarat"/>
    <s v="Follow up "/>
    <n v="130000"/>
    <n v="1071269"/>
    <s v="Follow up"/>
    <x v="2"/>
    <m/>
    <s v=""/>
    <x v="0"/>
    <x v="2"/>
    <s v="Q1"/>
    <x v="0"/>
  </r>
  <r>
    <s v="EOS1271"/>
    <d v="2026-01-19T00:00:00"/>
    <s v="FB"/>
    <s v="FB"/>
    <s v="Veeru C Gohil"/>
    <m/>
    <s v="Gujarat"/>
    <s v="Follow up "/>
    <n v="177000"/>
    <n v="1071270"/>
    <s v="Follow up"/>
    <x v="2"/>
    <m/>
    <s v=""/>
    <x v="1"/>
    <x v="2"/>
    <s v="Q1"/>
    <x v="0"/>
  </r>
  <r>
    <s v="EOS1272"/>
    <d v="2026-01-21T00:00:00"/>
    <s v="FB"/>
    <s v="FB"/>
    <s v="Dineshkherajan"/>
    <s v="Nadiad"/>
    <s v="Gujarat"/>
    <s v="Follow up "/>
    <n v="130000"/>
    <n v="1071271"/>
    <s v="Follow up"/>
    <x v="2"/>
    <m/>
    <s v=""/>
    <x v="0"/>
    <x v="2"/>
    <s v="Q1"/>
    <x v="0"/>
  </r>
  <r>
    <s v="EOS1273"/>
    <d v="2026-01-21T00:00:00"/>
    <s v="FB"/>
    <s v="FB"/>
    <s v="PINANK NIMBARK"/>
    <m/>
    <s v="Gujarat"/>
    <s v="Follow up "/>
    <n v="130000"/>
    <n v="1071272"/>
    <s v="Follow up"/>
    <x v="2"/>
    <m/>
    <s v=""/>
    <x v="0"/>
    <x v="2"/>
    <s v="Q1"/>
    <x v="0"/>
  </r>
  <r>
    <s v="EOS1274"/>
    <d v="2026-01-21T00:00:00"/>
    <s v="FB"/>
    <s v="FB"/>
    <s v="Harshad"/>
    <s v="Vadodara"/>
    <s v="Gujarat "/>
    <s v="Follow up "/>
    <n v="130000"/>
    <n v="1071273"/>
    <s v="Follow up"/>
    <x v="2"/>
    <m/>
    <s v=""/>
    <x v="0"/>
    <x v="2"/>
    <s v="Q1"/>
    <x v="0"/>
  </r>
  <r>
    <s v="EOS1275"/>
    <d v="2026-01-21T00:00:00"/>
    <s v="FB"/>
    <s v="FB"/>
    <s v="Maaj Maaj vohra"/>
    <s v="Surat"/>
    <s v="Gujarat "/>
    <s v="Follow up "/>
    <n v="177000"/>
    <n v="1071274"/>
    <s v="Follow up"/>
    <x v="2"/>
    <m/>
    <s v=""/>
    <x v="1"/>
    <x v="2"/>
    <s v="Q1"/>
    <x v="0"/>
  </r>
  <r>
    <s v="EOS1276"/>
    <d v="2026-01-21T00:00:00"/>
    <s v="FB"/>
    <s v="FB"/>
    <s v="Shakil farid saiyed"/>
    <s v="Anand"/>
    <s v="Gujarat "/>
    <s v="Follow up "/>
    <n v="108000"/>
    <n v="1071275"/>
    <s v="Follow up"/>
    <x v="2"/>
    <m/>
    <s v=""/>
    <x v="0"/>
    <x v="2"/>
    <s v="Q1"/>
    <x v="0"/>
  </r>
  <r>
    <s v="EOS1277"/>
    <d v="2026-01-21T00:00:00"/>
    <s v="FB"/>
    <s v="FB"/>
    <s v="MS"/>
    <s v="Kheralu"/>
    <s v="Gujarat"/>
    <s v="Rejected"/>
    <n v="108000"/>
    <n v="1071276"/>
    <s v="Rejected"/>
    <x v="0"/>
    <m/>
    <s v=""/>
    <x v="0"/>
    <x v="2"/>
    <s v="Q1"/>
    <x v="0"/>
  </r>
  <r>
    <s v="EOS1278"/>
    <d v="2026-01-21T00:00:00"/>
    <s v="FB"/>
    <s v="FB"/>
    <s v="Hetax Thakor"/>
    <s v="Surat "/>
    <s v="Gujarat "/>
    <s v="Follow up "/>
    <n v="130000"/>
    <n v="1071277"/>
    <s v="Follow up"/>
    <x v="2"/>
    <m/>
    <s v=""/>
    <x v="0"/>
    <x v="2"/>
    <s v="Q1"/>
    <x v="0"/>
  </r>
  <r>
    <s v="EOS1279"/>
    <d v="2026-01-21T00:00:00"/>
    <s v="FB"/>
    <s v="FB"/>
    <s v="Vyas Alpesh"/>
    <s v="Jasdan "/>
    <s v="Gujarat "/>
    <s v="Follow up "/>
    <n v="130000"/>
    <n v="1071278"/>
    <s v="Follow up"/>
    <x v="2"/>
    <m/>
    <s v=""/>
    <x v="0"/>
    <x v="2"/>
    <s v="Q1"/>
    <x v="0"/>
  </r>
  <r>
    <s v="EOS1280"/>
    <d v="2026-01-21T00:00:00"/>
    <s v="FB"/>
    <s v="FB"/>
    <s v="Vipul Mithapara"/>
    <s v="Ahmedabad"/>
    <s v="Gujarat"/>
    <s v="Follow up "/>
    <n v="108000"/>
    <n v="1071279"/>
    <s v="Follow up"/>
    <x v="2"/>
    <m/>
    <s v=""/>
    <x v="0"/>
    <x v="2"/>
    <s v="Q1"/>
    <x v="0"/>
  </r>
  <r>
    <s v="EOS1281"/>
    <d v="2026-01-21T00:00:00"/>
    <s v="FB"/>
    <s v="FB"/>
    <s v="krupesh patel "/>
    <s v="Ahmedabad"/>
    <s v="Gujarat "/>
    <s v="Follow up "/>
    <n v="108000"/>
    <n v="1071280"/>
    <s v="Follow up"/>
    <x v="2"/>
    <m/>
    <s v=""/>
    <x v="0"/>
    <x v="2"/>
    <s v="Q1"/>
    <x v="0"/>
  </r>
  <r>
    <s v="EOS1282"/>
    <d v="2026-01-21T00:00:00"/>
    <s v="FB"/>
    <s v="FB"/>
    <s v="Shivam Gupta"/>
    <s v="Port Porbandar"/>
    <s v="Gujarat"/>
    <s v="Rejected"/>
    <n v="177000"/>
    <n v="1071281"/>
    <s v="Rejected"/>
    <x v="0"/>
    <m/>
    <s v=""/>
    <x v="1"/>
    <x v="2"/>
    <s v="Q1"/>
    <x v="0"/>
  </r>
  <r>
    <s v="EOS1283"/>
    <d v="2026-01-21T00:00:00"/>
    <s v="FB"/>
    <s v="FB"/>
    <s v="SUNIL PITERSAN"/>
    <s v="Junagadh"/>
    <s v="Gujarat"/>
    <s v="Rejected"/>
    <n v="108000"/>
    <n v="1071282"/>
    <s v="Rejected"/>
    <x v="0"/>
    <m/>
    <s v=""/>
    <x v="0"/>
    <x v="2"/>
    <s v="Q1"/>
    <x v="0"/>
  </r>
  <r>
    <s v="EOS1284"/>
    <d v="2026-01-22T00:00:00"/>
    <s v="FB"/>
    <s v="FB"/>
    <s v="Gajera Deep"/>
    <s v="Ahmedabad"/>
    <s v="Gujarat "/>
    <s v="Follow up "/>
    <n v="177000"/>
    <n v="1071283"/>
    <s v="Follow up"/>
    <x v="2"/>
    <m/>
    <s v=""/>
    <x v="1"/>
    <x v="2"/>
    <s v="Q1"/>
    <x v="0"/>
  </r>
  <r>
    <s v="EOS1285"/>
    <d v="2026-01-22T00:00:00"/>
    <s v="FB"/>
    <s v="FB"/>
    <s v="Pandya Vasan"/>
    <s v="Ahmedabad"/>
    <s v="Gujarat "/>
    <s v="Follow up "/>
    <n v="108000"/>
    <n v="1071284"/>
    <s v="Follow up"/>
    <x v="2"/>
    <m/>
    <s v=""/>
    <x v="0"/>
    <x v="2"/>
    <s v="Q1"/>
    <x v="0"/>
  </r>
  <r>
    <s v="EOS1286"/>
    <d v="2026-01-22T00:00:00"/>
    <s v="FB"/>
    <s v="FB"/>
    <s v="Sanjay Jain"/>
    <s v="Sihor"/>
    <s v="Gujarat"/>
    <s v="Rejected"/>
    <n v="108000"/>
    <n v="1071285"/>
    <s v="Rejected"/>
    <x v="0"/>
    <m/>
    <s v=""/>
    <x v="0"/>
    <x v="2"/>
    <s v="Q1"/>
    <x v="0"/>
  </r>
  <r>
    <s v="EOS1287"/>
    <d v="2026-01-22T00:00:00"/>
    <s v="FB"/>
    <s v="FB"/>
    <s v="RB_"/>
    <s v="Ahmedabad"/>
    <s v="Gujarat"/>
    <s v="Follow up "/>
    <n v="108000"/>
    <n v="1071286"/>
    <s v="Follow up"/>
    <x v="2"/>
    <m/>
    <s v=""/>
    <x v="0"/>
    <x v="2"/>
    <s v="Q1"/>
    <x v="0"/>
  </r>
  <r>
    <s v="EOS1288"/>
    <d v="2026-01-25T00:00:00"/>
    <s v="FB"/>
    <s v="FB"/>
    <s v="bhagaram"/>
    <s v="Ankleshwar"/>
    <s v="Gujarat"/>
    <s v="Follow up "/>
    <n v="130000"/>
    <n v="1071287"/>
    <s v="Follow up"/>
    <x v="2"/>
    <m/>
    <s v=""/>
    <x v="0"/>
    <x v="2"/>
    <s v="Q1"/>
    <x v="0"/>
  </r>
  <r>
    <s v="EOS1289"/>
    <d v="2026-01-25T00:00:00"/>
    <s v="FB"/>
    <s v="FB"/>
    <s v="Mukesh Patel"/>
    <s v="Delhi"/>
    <s v="Delhi "/>
    <s v="Follow up "/>
    <n v="108000"/>
    <n v="1071288"/>
    <s v="Follow up"/>
    <x v="2"/>
    <m/>
    <s v=""/>
    <x v="0"/>
    <x v="2"/>
    <s v="Q1"/>
    <x v="1"/>
  </r>
  <r>
    <s v="EOS1290"/>
    <d v="2026-01-25T00:00:00"/>
    <s v="FB"/>
    <s v="FB"/>
    <s v="Golu Rathour"/>
    <s v="Gorakhpur"/>
    <s v="Gujarat"/>
    <s v="Follow up "/>
    <n v="108000"/>
    <n v="1071289"/>
    <s v="Follow up"/>
    <x v="2"/>
    <m/>
    <s v=""/>
    <x v="0"/>
    <x v="2"/>
    <s v="Q1"/>
    <x v="0"/>
  </r>
  <r>
    <s v="EOS1291"/>
    <d v="2026-01-25T00:00:00"/>
    <s v="FB"/>
    <s v="FB"/>
    <s v="Abhay Upadhyay"/>
    <m/>
    <s v="Gujarat"/>
    <s v="Follow up "/>
    <n v="130000"/>
    <n v="1071290"/>
    <s v="Follow up"/>
    <x v="2"/>
    <m/>
    <s v=""/>
    <x v="0"/>
    <x v="2"/>
    <s v="Q1"/>
    <x v="0"/>
  </r>
  <r>
    <s v="EOS1292"/>
    <d v="2026-01-25T00:00:00"/>
    <s v="FB"/>
    <s v="FB"/>
    <s v="Mahipal Singh Jadega"/>
    <s v="Rajkot"/>
    <s v="Gujarat"/>
    <s v="Follow up "/>
    <n v="177000"/>
    <n v="1071291"/>
    <s v="Follow up"/>
    <x v="2"/>
    <m/>
    <s v=""/>
    <x v="1"/>
    <x v="2"/>
    <s v="Q1"/>
    <x v="0"/>
  </r>
  <r>
    <s v="EOS1293"/>
    <d v="2026-01-25T00:00:00"/>
    <s v="FB"/>
    <s v="FB"/>
    <s v="Arjun"/>
    <s v="Ahmedabad"/>
    <s v="Gujarat"/>
    <s v="Follow up "/>
    <n v="130000"/>
    <n v="1071292"/>
    <s v="Follow up"/>
    <x v="2"/>
    <m/>
    <s v=""/>
    <x v="0"/>
    <x v="2"/>
    <s v="Q1"/>
    <x v="0"/>
  </r>
  <r>
    <s v="EOS1294"/>
    <d v="2026-01-25T00:00:00"/>
    <s v="FB"/>
    <s v="FB"/>
    <s v="Alpeshji Padihar"/>
    <s v="Junagadh"/>
    <s v="Gujarat"/>
    <s v="Follow up "/>
    <n v="108000"/>
    <n v="1071293"/>
    <s v="Follow up"/>
    <x v="2"/>
    <m/>
    <s v=""/>
    <x v="0"/>
    <x v="2"/>
    <s v="Q1"/>
    <x v="0"/>
  </r>
  <r>
    <s v="EOS1295"/>
    <d v="2026-01-25T00:00:00"/>
    <s v="FB"/>
    <s v="FB"/>
    <s v="Bhakti gondaliya"/>
    <s v="bareilly"/>
    <s v="Gujarat "/>
    <s v="Follow up "/>
    <n v="130000"/>
    <n v="1071294"/>
    <s v="Follow up"/>
    <x v="2"/>
    <m/>
    <s v=""/>
    <x v="0"/>
    <x v="2"/>
    <s v="Q1"/>
    <x v="0"/>
  </r>
  <r>
    <s v="EOS1296"/>
    <d v="2026-01-25T00:00:00"/>
    <s v="FB"/>
    <s v="FB"/>
    <s v="Deepak Gangwa"/>
    <s v="Unnao"/>
    <s v="Gujarat"/>
    <s v="Follow up "/>
    <n v="108000"/>
    <n v="1071295"/>
    <s v="Follow up"/>
    <x v="2"/>
    <m/>
    <s v=""/>
    <x v="0"/>
    <x v="2"/>
    <s v="Q1"/>
    <x v="0"/>
  </r>
  <r>
    <s v="EOS1297"/>
    <d v="2026-01-25T00:00:00"/>
    <s v="FB"/>
    <s v="FB"/>
    <s v="Shukla Pradeep"/>
    <s v="Aligarh"/>
    <s v="Uttar Pradesh "/>
    <s v="Follow up "/>
    <n v="130000"/>
    <n v="1071296"/>
    <s v="Follow up"/>
    <x v="2"/>
    <m/>
    <s v=""/>
    <x v="0"/>
    <x v="2"/>
    <s v="Q1"/>
    <x v="1"/>
  </r>
  <r>
    <s v="EOS1298"/>
    <d v="2026-01-25T00:00:00"/>
    <s v="FB"/>
    <s v="FB"/>
    <s v="Narayan up 81"/>
    <s v="Agar"/>
    <s v="Delhi"/>
    <s v="Follow up "/>
    <n v="130000"/>
    <n v="1071297"/>
    <s v="Follow up"/>
    <x v="2"/>
    <m/>
    <s v=""/>
    <x v="0"/>
    <x v="2"/>
    <s v="Q1"/>
    <x v="1"/>
  </r>
  <r>
    <s v="EOS1299"/>
    <d v="2026-01-27T00:00:00"/>
    <s v="FB"/>
    <s v="FB"/>
    <s v="Aridaman Singh"/>
    <s v="kalol "/>
    <s v="Gujarat"/>
    <s v="Follow up "/>
    <n v="108000"/>
    <n v="1071298"/>
    <s v="Follow up"/>
    <x v="2"/>
    <m/>
    <s v=""/>
    <x v="0"/>
    <x v="2"/>
    <s v="Q1"/>
    <x v="0"/>
  </r>
  <r>
    <s v="EOS1300"/>
    <d v="2026-01-27T00:00:00"/>
    <s v="FB"/>
    <s v="FB"/>
    <s v="Patel Nikunj A"/>
    <s v="Gandhinagar"/>
    <s v="Gujarat"/>
    <s v="Follow up "/>
    <n v="130000"/>
    <n v="1071299"/>
    <s v="Follow up"/>
    <x v="2"/>
    <m/>
    <s v=""/>
    <x v="0"/>
    <x v="2"/>
    <s v="Q1"/>
    <x v="0"/>
  </r>
  <r>
    <s v="EOS1301"/>
    <d v="2026-01-27T00:00:00"/>
    <s v="FB"/>
    <s v="FB"/>
    <s v="harry.331"/>
    <s v="Naroda "/>
    <s v="Gujarat"/>
    <s v="Follow up "/>
    <n v="177000"/>
    <n v="1071300"/>
    <s v="Follow up"/>
    <x v="2"/>
    <m/>
    <s v=""/>
    <x v="1"/>
    <x v="2"/>
    <s v="Q1"/>
    <x v="0"/>
  </r>
  <r>
    <s v="EOS1302"/>
    <d v="2026-01-27T00:00:00"/>
    <s v="FB"/>
    <s v="FB"/>
    <s v="shalini maurya"/>
    <m/>
    <s v="Gujarat"/>
    <s v="Follow up "/>
    <n v="108000"/>
    <n v="1071301"/>
    <s v="Follow up"/>
    <x v="2"/>
    <m/>
    <s v=""/>
    <x v="0"/>
    <x v="2"/>
    <s v="Q1"/>
    <x v="0"/>
  </r>
  <r>
    <s v="EOS1303"/>
    <d v="2026-01-27T00:00:00"/>
    <s v="FB"/>
    <s v="FB"/>
    <s v="jaydeep "/>
    <s v="Gandhinagar"/>
    <s v="Gujarat"/>
    <s v="Follow up "/>
    <n v="108000"/>
    <n v="1071302"/>
    <s v="Follow up"/>
    <x v="2"/>
    <m/>
    <s v=""/>
    <x v="0"/>
    <x v="2"/>
    <s v="Q1"/>
    <x v="0"/>
  </r>
  <r>
    <s v="EOS1304"/>
    <d v="2026-01-27T00:00:00"/>
    <s v="FB"/>
    <s v="FB"/>
    <s v="Shrimali brijesh"/>
    <m/>
    <s v="Gujarat"/>
    <s v="Follow up "/>
    <n v="177000"/>
    <n v="1071303"/>
    <s v="Follow up"/>
    <x v="2"/>
    <m/>
    <s v=""/>
    <x v="1"/>
    <x v="2"/>
    <s v="Q1"/>
    <x v="0"/>
  </r>
  <r>
    <s v="EOS1305"/>
    <d v="2026-01-29T00:00:00"/>
    <s v="FB"/>
    <s v="FB"/>
    <s v="subash"/>
    <s v="Khambhalia"/>
    <s v="Gujarat"/>
    <s v="Follow up "/>
    <n v="108000"/>
    <n v="1071304"/>
    <s v="Follow up"/>
    <x v="2"/>
    <m/>
    <s v=""/>
    <x v="0"/>
    <x v="2"/>
    <s v="Q1"/>
    <x v="0"/>
  </r>
  <r>
    <s v="EOS1306"/>
    <d v="2026-01-29T00:00:00"/>
    <s v="FB"/>
    <s v="FB"/>
    <s v="Ranvirsinh Dayma"/>
    <s v="Wankaner"/>
    <s v="Gujarat"/>
    <s v="Rejected"/>
    <n v="177000"/>
    <n v="1071305"/>
    <s v="Rejected"/>
    <x v="0"/>
    <m/>
    <s v=""/>
    <x v="1"/>
    <x v="2"/>
    <s v="Q1"/>
    <x v="0"/>
  </r>
  <r>
    <s v="EOS1307"/>
    <d v="2026-01-29T00:00:00"/>
    <s v="FB"/>
    <s v="FB"/>
    <s v="Tushar Baraiya"/>
    <s v="Wankaner"/>
    <s v="Gujarat"/>
    <s v="Follow up "/>
    <n v="130000"/>
    <n v="1071306"/>
    <s v="Follow up"/>
    <x v="2"/>
    <m/>
    <s v=""/>
    <x v="0"/>
    <x v="2"/>
    <s v="Q1"/>
    <x v="0"/>
  </r>
  <r>
    <s v="EOS1308"/>
    <d v="2026-01-29T00:00:00"/>
    <s v="FB"/>
    <s v="FB"/>
    <s v="Shubh"/>
    <s v="Surat"/>
    <s v="Gujarat"/>
    <s v="Follow up "/>
    <n v="108000"/>
    <n v="1071307"/>
    <s v="Follow up"/>
    <x v="2"/>
    <m/>
    <s v=""/>
    <x v="0"/>
    <x v="2"/>
    <s v="Q1"/>
    <x v="0"/>
  </r>
  <r>
    <s v="EOS1309"/>
    <d v="2026-01-29T00:00:00"/>
    <s v="FB"/>
    <s v="FB"/>
    <s v="Abhay Jam"/>
    <m/>
    <s v="Gujarat"/>
    <s v="Follow up "/>
    <n v="130000"/>
    <n v="1071308"/>
    <s v="Follow up"/>
    <x v="2"/>
    <m/>
    <s v=""/>
    <x v="0"/>
    <x v="2"/>
    <s v="Q1"/>
    <x v="0"/>
  </r>
  <r>
    <s v="EOS1310"/>
    <d v="2026-01-29T00:00:00"/>
    <s v="FB"/>
    <s v="FB"/>
    <s v="Amit "/>
    <m/>
    <m/>
    <s v="Follow up "/>
    <n v="130000"/>
    <n v="1071309"/>
    <s v="Follow up"/>
    <x v="2"/>
    <m/>
    <s v=""/>
    <x v="0"/>
    <x v="2"/>
    <s v="Q1"/>
    <x v="4"/>
  </r>
  <r>
    <s v="EOS1311"/>
    <d v="2026-01-29T00:00:00"/>
    <s v="FB"/>
    <s v="FB"/>
    <s v="Kamlesh Ahir"/>
    <m/>
    <m/>
    <s v="Follow up "/>
    <n v="130000"/>
    <n v="1071310"/>
    <s v="Follow up"/>
    <x v="2"/>
    <m/>
    <s v=""/>
    <x v="0"/>
    <x v="2"/>
    <s v="Q1"/>
    <x v="4"/>
  </r>
  <r>
    <s v="EOS1312"/>
    <d v="2026-01-29T00:00:00"/>
    <s v="FB"/>
    <s v="FB"/>
    <s v="Rajendra kapadia"/>
    <m/>
    <m/>
    <s v="Follow up "/>
    <n v="130000"/>
    <n v="1071311"/>
    <s v="Follow up"/>
    <x v="2"/>
    <m/>
    <s v=""/>
    <x v="0"/>
    <x v="2"/>
    <s v="Q1"/>
    <x v="4"/>
  </r>
  <r>
    <s v="EOS1313"/>
    <d v="2026-01-29T00:00:00"/>
    <s v="FB"/>
    <s v="FB"/>
    <s v="Thakor Labhubhai"/>
    <m/>
    <m/>
    <s v="Follow up "/>
    <n v="108000"/>
    <n v="1071312"/>
    <s v="Follow up"/>
    <x v="2"/>
    <m/>
    <s v=""/>
    <x v="0"/>
    <x v="2"/>
    <s v="Q1"/>
    <x v="4"/>
  </r>
  <r>
    <s v="EOS1314"/>
    <d v="2026-01-29T00:00:00"/>
    <s v="FB"/>
    <s v="FB"/>
    <s v="Javid Majothi"/>
    <s v="Ambala "/>
    <s v="Haryana "/>
    <s v="Follow up "/>
    <n v="108000"/>
    <n v="1071313"/>
    <s v="Follow up"/>
    <x v="2"/>
    <m/>
    <s v=""/>
    <x v="0"/>
    <x v="2"/>
    <s v="Q1"/>
    <x v="1"/>
  </r>
  <r>
    <s v="EOS1315"/>
    <d v="2026-01-29T00:00:00"/>
    <s v="FB"/>
    <s v="FB"/>
    <s v="Kp Parjapati"/>
    <s v="Agar"/>
    <s v="Uttar Pradesh "/>
    <s v="Follow up "/>
    <n v="108000"/>
    <n v="1071314"/>
    <s v="Follow up"/>
    <x v="2"/>
    <m/>
    <s v=""/>
    <x v="0"/>
    <x v="2"/>
    <s v="Q1"/>
    <x v="1"/>
  </r>
  <r>
    <s v="EOS1316"/>
    <d v="2026-01-29T00:00:00"/>
    <s v="FB"/>
    <s v="FB"/>
    <s v="Yogesh kumar"/>
    <s v="Farrukhabad"/>
    <s v="Uttar Pradesh "/>
    <s v="Follow up "/>
    <n v="130000"/>
    <n v="1071315"/>
    <s v="Follow up"/>
    <x v="2"/>
    <m/>
    <s v=""/>
    <x v="0"/>
    <x v="2"/>
    <s v="Q1"/>
    <x v="1"/>
  </r>
  <r>
    <s v="EOS1317"/>
    <d v="2026-01-29T00:00:00"/>
    <s v="FB"/>
    <s v="FB"/>
    <s v="Vikram Kumar Kashya"/>
    <s v="SaleMadhya Pradeshur"/>
    <s v="Uttar Pradesh "/>
    <s v="Follow up "/>
    <n v="177000"/>
    <n v="1071316"/>
    <s v="Follow up"/>
    <x v="2"/>
    <m/>
    <s v=""/>
    <x v="1"/>
    <x v="2"/>
    <s v="Q1"/>
    <x v="1"/>
  </r>
  <r>
    <s v="EOS1318"/>
    <d v="2026-01-29T00:00:00"/>
    <s v="FB"/>
    <s v="FB"/>
    <s v="vikas kushwaha"/>
    <m/>
    <s v="Gujarat"/>
    <s v="Follow up "/>
    <n v="108000"/>
    <n v="1071317"/>
    <s v="Follow up"/>
    <x v="2"/>
    <m/>
    <s v=""/>
    <x v="0"/>
    <x v="2"/>
    <s v="Q1"/>
    <x v="0"/>
  </r>
  <r>
    <s v="EOS1319"/>
    <d v="2026-01-29T00:00:00"/>
    <s v="FB"/>
    <s v="FB"/>
    <s v="Sahil"/>
    <s v="himmatnagar"/>
    <s v="Gujarat"/>
    <s v="Follow up "/>
    <n v="108000"/>
    <n v="1071318"/>
    <s v="Follow up"/>
    <x v="2"/>
    <m/>
    <s v=""/>
    <x v="0"/>
    <x v="2"/>
    <s v="Q1"/>
    <x v="0"/>
  </r>
  <r>
    <s v="EOS1320"/>
    <d v="2026-01-30T00:00:00"/>
    <s v="FB"/>
    <s v="FB"/>
    <s v="Dev Patel"/>
    <s v="Botad"/>
    <s v="Gujarat"/>
    <s v="Follow up "/>
    <n v="108000"/>
    <n v="1071319"/>
    <s v="Follow up"/>
    <x v="2"/>
    <m/>
    <s v=""/>
    <x v="0"/>
    <x v="2"/>
    <s v="Q1"/>
    <x v="0"/>
  </r>
  <r>
    <s v="EOS1321"/>
    <d v="2026-01-30T00:00:00"/>
    <s v="FB"/>
    <s v="FB"/>
    <s v="Sandip Himani"/>
    <s v="Patan"/>
    <s v="Gujarat"/>
    <s v="Follow up "/>
    <n v="130000"/>
    <n v="1071320"/>
    <s v="Follow up"/>
    <x v="2"/>
    <m/>
    <s v=""/>
    <x v="0"/>
    <x v="2"/>
    <s v="Q1"/>
    <x v="0"/>
  </r>
  <r>
    <s v="EOS1322"/>
    <d v="2026-01-31T00:00:00"/>
    <s v="FB"/>
    <s v="FB"/>
    <s v="Rawat yogesh"/>
    <s v="Lucknow"/>
    <s v="Uttar Pradesh "/>
    <s v="Rejected"/>
    <n v="130000"/>
    <n v="1071321"/>
    <s v="Rejected"/>
    <x v="0"/>
    <m/>
    <s v=""/>
    <x v="0"/>
    <x v="2"/>
    <s v="Q1"/>
    <x v="1"/>
  </r>
  <r>
    <s v="EOS1323"/>
    <d v="2026-02-03T00:00:00"/>
    <s v="FB"/>
    <s v="FB"/>
    <s v="Piyush Mishra"/>
    <s v="Varanasi"/>
    <s v="Uttar Pradesh "/>
    <s v="Follow up "/>
    <n v="177000"/>
    <n v="1071322"/>
    <s v="Follow up"/>
    <x v="2"/>
    <m/>
    <s v=""/>
    <x v="1"/>
    <x v="9"/>
    <s v="Q1"/>
    <x v="1"/>
  </r>
  <r>
    <s v="EOS1324"/>
    <d v="2026-02-03T00:00:00"/>
    <s v="FB"/>
    <s v="FB"/>
    <s v="Akhilesh Mishra"/>
    <s v="Ahmedabad"/>
    <s v="Gujarat"/>
    <s v="Follow up "/>
    <n v="177000"/>
    <n v="1071323"/>
    <s v="Follow up"/>
    <x v="2"/>
    <m/>
    <s v=""/>
    <x v="1"/>
    <x v="9"/>
    <s v="Q1"/>
    <x v="0"/>
  </r>
  <r>
    <s v="EOS1325"/>
    <d v="2026-02-03T00:00:00"/>
    <s v="FB"/>
    <s v="FB"/>
    <s v="Manish"/>
    <s v="Rajkot"/>
    <s v="Gujarat"/>
    <s v="Follow up "/>
    <n v="130000"/>
    <n v="1071324"/>
    <s v="Follow up"/>
    <x v="2"/>
    <m/>
    <s v=""/>
    <x v="0"/>
    <x v="9"/>
    <s v="Q1"/>
    <x v="0"/>
  </r>
  <r>
    <s v="EOS1326"/>
    <d v="2026-02-03T00:00:00"/>
    <s v="FB"/>
    <s v="FB"/>
    <s v="Vimal Doshi"/>
    <s v="Ankleshwar"/>
    <s v="Gujarat"/>
    <s v="Follow up "/>
    <n v="108000"/>
    <n v="1071325"/>
    <s v="Follow up"/>
    <x v="2"/>
    <m/>
    <s v=""/>
    <x v="0"/>
    <x v="9"/>
    <s v="Q1"/>
    <x v="0"/>
  </r>
  <r>
    <s v="EOS1327"/>
    <d v="2026-02-03T00:00:00"/>
    <s v="FB"/>
    <s v="FB"/>
    <s v="Sandeep Prasad"/>
    <s v="Surat"/>
    <s v="Gujarat"/>
    <s v="Follow up "/>
    <n v="130000"/>
    <n v="1071326"/>
    <s v="Follow up"/>
    <x v="2"/>
    <m/>
    <s v=""/>
    <x v="0"/>
    <x v="9"/>
    <s v="Q1"/>
    <x v="0"/>
  </r>
  <r>
    <s v="EOS1328"/>
    <d v="2026-02-03T00:00:00"/>
    <s v="FB"/>
    <s v="FB"/>
    <s v="Mehul Rajput"/>
    <s v="Azamgarh"/>
    <s v="Uttar Pradesh "/>
    <s v="Follow up "/>
    <n v="130000"/>
    <n v="1071327"/>
    <s v="Follow up"/>
    <x v="2"/>
    <m/>
    <s v=""/>
    <x v="0"/>
    <x v="9"/>
    <s v="Q1"/>
    <x v="1"/>
  </r>
  <r>
    <s v="EOS1329"/>
    <d v="2026-02-03T00:00:00"/>
    <s v="FB"/>
    <s v="FB"/>
    <s v="Anupam Rathore"/>
    <s v="Jetalpur"/>
    <s v="Gujarat"/>
    <s v="Follow up "/>
    <n v="108000"/>
    <n v="1071328"/>
    <s v="Follow up"/>
    <x v="2"/>
    <m/>
    <s v=""/>
    <x v="0"/>
    <x v="9"/>
    <s v="Q1"/>
    <x v="0"/>
  </r>
  <r>
    <s v="EOS1330"/>
    <d v="2026-02-03T00:00:00"/>
    <s v="FB"/>
    <s v="FB"/>
    <s v="Baraiya Ajay"/>
    <s v="Surat"/>
    <s v="Gujarat"/>
    <s v="Follow up "/>
    <n v="130000"/>
    <n v="1071329"/>
    <s v="Follow up"/>
    <x v="2"/>
    <m/>
    <s v=""/>
    <x v="0"/>
    <x v="9"/>
    <s v="Q1"/>
    <x v="0"/>
  </r>
  <r>
    <s v="EOS1331"/>
    <d v="2026-02-03T00:00:00"/>
    <s v="FB"/>
    <s v="FB"/>
    <s v="Pradip Chauhan"/>
    <s v="Ahmedabad"/>
    <s v="Gujarat"/>
    <s v="Follow up "/>
    <n v="108000"/>
    <n v="1071330"/>
    <s v="Follow up"/>
    <x v="2"/>
    <m/>
    <s v=""/>
    <x v="0"/>
    <x v="9"/>
    <s v="Q1"/>
    <x v="0"/>
  </r>
  <r>
    <s v="EOS1332"/>
    <d v="2026-02-03T00:00:00"/>
    <s v="FB"/>
    <s v="FB"/>
    <s v="Patel Mana"/>
    <s v="Anand"/>
    <s v="Gujarat"/>
    <s v="Follow up "/>
    <n v="308000"/>
    <n v="1071331"/>
    <s v="Follow up"/>
    <x v="2"/>
    <m/>
    <s v=""/>
    <x v="2"/>
    <x v="9"/>
    <s v="Q1"/>
    <x v="0"/>
  </r>
  <r>
    <s v="EOS1333"/>
    <d v="2026-02-03T00:00:00"/>
    <s v="FB"/>
    <s v="FB"/>
    <s v="JUNED BABA"/>
    <s v="Dholka"/>
    <s v="Gujarat"/>
    <s v="Follow up "/>
    <n v="108000"/>
    <n v="1071332"/>
    <s v="Follow up"/>
    <x v="2"/>
    <m/>
    <s v=""/>
    <x v="0"/>
    <x v="9"/>
    <s v="Q1"/>
    <x v="0"/>
  </r>
  <r>
    <s v="EOS1334"/>
    <d v="2026-02-03T00:00:00"/>
    <s v="FB"/>
    <s v="FB"/>
    <s v="Pathan Sajjad Pathan"/>
    <s v="Morbi "/>
    <s v="Gujarat"/>
    <s v="Follow up "/>
    <n v="108000"/>
    <n v="1071333"/>
    <s v="Follow up"/>
    <x v="2"/>
    <m/>
    <s v=""/>
    <x v="0"/>
    <x v="9"/>
    <s v="Q1"/>
    <x v="0"/>
  </r>
  <r>
    <s v="EOS1335"/>
    <d v="2026-02-03T00:00:00"/>
    <s v="FB"/>
    <s v="FB"/>
    <s v="Pavan Nakum"/>
    <s v="Surat"/>
    <s v="Gujarat"/>
    <s v="Follow up "/>
    <n v="130000"/>
    <n v="1071334"/>
    <s v="Follow up"/>
    <x v="2"/>
    <m/>
    <s v=""/>
    <x v="0"/>
    <x v="9"/>
    <s v="Q1"/>
    <x v="0"/>
  </r>
  <r>
    <s v="EOS1336"/>
    <d v="2026-02-04T00:00:00"/>
    <s v="FB"/>
    <s v="FB"/>
    <s v="Paras Borda"/>
    <s v="Jamnagar"/>
    <s v="Gujarat"/>
    <s v="Follow up "/>
    <n v="130000"/>
    <n v="1071335"/>
    <s v="Follow up"/>
    <x v="2"/>
    <m/>
    <s v=""/>
    <x v="0"/>
    <x v="9"/>
    <s v="Q1"/>
    <x v="0"/>
  </r>
  <r>
    <s v="EOS1337"/>
    <d v="2026-02-04T00:00:00"/>
    <s v="FB"/>
    <s v="FB"/>
    <s v="Gangani Vijay"/>
    <s v="Surat"/>
    <s v="Gujarat"/>
    <s v="Follow up "/>
    <n v="130000"/>
    <n v="1071336"/>
    <s v="Follow up"/>
    <x v="2"/>
    <m/>
    <s v=""/>
    <x v="0"/>
    <x v="9"/>
    <s v="Q1"/>
    <x v="0"/>
  </r>
  <r>
    <s v="EOS1338"/>
    <d v="2026-02-04T00:00:00"/>
    <s v="FB"/>
    <s v="FB"/>
    <s v="Dev yadav"/>
    <m/>
    <s v="Gujarat"/>
    <s v="Rejected"/>
    <n v="130000"/>
    <n v="1071337"/>
    <s v="Rejected"/>
    <x v="0"/>
    <m/>
    <s v=""/>
    <x v="0"/>
    <x v="9"/>
    <s v="Q1"/>
    <x v="0"/>
  </r>
  <r>
    <s v="EOS1339"/>
    <d v="2026-02-04T00:00:00"/>
    <s v="FB"/>
    <s v="FB"/>
    <s v="Anahu Kumar"/>
    <s v="Port Porbandar"/>
    <s v="Gujarat"/>
    <s v="Rejected"/>
    <n v="108000"/>
    <n v="1071338"/>
    <s v="Rejected"/>
    <x v="0"/>
    <m/>
    <s v=""/>
    <x v="0"/>
    <x v="9"/>
    <s v="Q1"/>
    <x v="0"/>
  </r>
  <r>
    <s v="EOS1340"/>
    <d v="2026-02-04T00:00:00"/>
    <s v="FB "/>
    <s v="FB"/>
    <s v="Theba sufiyan"/>
    <s v="Rajkot"/>
    <s v="Gujarat "/>
    <s v="Follow up "/>
    <n v="108000"/>
    <n v="1071339"/>
    <s v="Follow up"/>
    <x v="2"/>
    <m/>
    <s v=""/>
    <x v="0"/>
    <x v="9"/>
    <s v="Q1"/>
    <x v="0"/>
  </r>
  <r>
    <s v="EOS1341"/>
    <d v="2026-02-06T00:00:00"/>
    <s v="FB"/>
    <s v="FB"/>
    <s v="Ashishkumar Lunagariya"/>
    <s v="Ahmedabad"/>
    <s v="Gujarat "/>
    <s v="Rejected"/>
    <n v="130000"/>
    <n v="1071340"/>
    <s v="Rejected"/>
    <x v="0"/>
    <m/>
    <s v=""/>
    <x v="0"/>
    <x v="9"/>
    <s v="Q1"/>
    <x v="0"/>
  </r>
  <r>
    <s v="EOS1342"/>
    <d v="2026-02-06T00:00:00"/>
    <s v="FB "/>
    <s v="FB"/>
    <s v="Shyam"/>
    <s v="vadoadra"/>
    <s v="Gujarat "/>
    <s v="Follow up "/>
    <n v="108000"/>
    <n v="1071341"/>
    <s v="Follow up"/>
    <x v="2"/>
    <m/>
    <s v=""/>
    <x v="0"/>
    <x v="9"/>
    <s v="Q1"/>
    <x v="0"/>
  </r>
  <r>
    <s v="EOS1343"/>
    <d v="2026-02-06T00:00:00"/>
    <s v="FB"/>
    <s v="FB"/>
    <s v="jalpesh.patel"/>
    <s v="Rajkot"/>
    <s v="Gujarat "/>
    <s v="Rejected"/>
    <n v="130000"/>
    <n v="1071342"/>
    <s v="Rejected"/>
    <x v="0"/>
    <m/>
    <s v=""/>
    <x v="0"/>
    <x v="9"/>
    <s v="Q1"/>
    <x v="0"/>
  </r>
  <r>
    <s v="EOS1344"/>
    <d v="2026-02-09T00:00:00"/>
    <s v="FB "/>
    <s v="FB"/>
    <s v="Sagar Bharvad"/>
    <s v="mundra"/>
    <s v="Gujarat "/>
    <s v="Follow up "/>
    <n v="130000"/>
    <n v="1071343"/>
    <s v="Follow up"/>
    <x v="2"/>
    <m/>
    <s v=""/>
    <x v="0"/>
    <x v="9"/>
    <s v="Q1"/>
    <x v="0"/>
  </r>
  <r>
    <s v="EOS1345"/>
    <d v="2026-02-09T00:00:00"/>
    <s v="FB"/>
    <s v="FB"/>
    <s v="Sardarsinh Zala"/>
    <m/>
    <s v="Gujarat "/>
    <s v="Follow up "/>
    <n v="108000"/>
    <n v="1071344"/>
    <s v="Follow up"/>
    <x v="2"/>
    <m/>
    <s v=""/>
    <x v="0"/>
    <x v="9"/>
    <s v="Q1"/>
    <x v="0"/>
  </r>
  <r>
    <s v="EOS1346"/>
    <d v="2026-02-09T00:00:00"/>
    <s v="FB"/>
    <s v="FB"/>
    <s v="Dhruvesh"/>
    <s v=" Bhavnagar"/>
    <s v="Gujarat "/>
    <s v="Follow up "/>
    <n v="108000"/>
    <n v="1071345"/>
    <s v="Follow up"/>
    <x v="2"/>
    <m/>
    <s v=""/>
    <x v="0"/>
    <x v="9"/>
    <s v="Q1"/>
    <x v="0"/>
  </r>
  <r>
    <s v="EOS1347"/>
    <d v="2026-02-09T00:00:00"/>
    <s v="FB"/>
    <s v="FB"/>
    <s v="Arvind Kothariy"/>
    <s v="Dhandhuka"/>
    <s v="Gujarat "/>
    <s v="Rejected"/>
    <n v="177000"/>
    <n v="1071346"/>
    <s v="Rejected"/>
    <x v="0"/>
    <m/>
    <s v=""/>
    <x v="1"/>
    <x v="9"/>
    <s v="Q1"/>
    <x v="0"/>
  </r>
  <r>
    <s v="EOS1348"/>
    <d v="2026-02-09T00:00:00"/>
    <s v="FB "/>
    <s v="FB"/>
    <s v="Nayan Solank"/>
    <s v="Ahmedabad"/>
    <s v="Gujarat "/>
    <s v="Follow up "/>
    <n v="108000"/>
    <n v="1071347"/>
    <s v="Follow up"/>
    <x v="2"/>
    <m/>
    <s v=""/>
    <x v="0"/>
    <x v="9"/>
    <s v="Q1"/>
    <x v="0"/>
  </r>
  <r>
    <s v="EOS1349"/>
    <d v="2026-02-09T00:00:00"/>
    <s v="FB"/>
    <s v="FB"/>
    <s v="Gaurav Raval"/>
    <s v="Ahmedabad"/>
    <s v="Gujarat "/>
    <s v="Follow up "/>
    <n v="177000"/>
    <n v="1071348"/>
    <s v="Follow up"/>
    <x v="2"/>
    <m/>
    <s v=""/>
    <x v="1"/>
    <x v="9"/>
    <s v="Q1"/>
    <x v="0"/>
  </r>
  <r>
    <s v="EOS1350"/>
    <d v="2026-02-09T00:00:00"/>
    <s v="FB"/>
    <s v="FB"/>
    <s v="Shahid ali Quresh"/>
    <s v="Veraval"/>
    <s v="Gujarat "/>
    <s v="Follow up "/>
    <n v="177000"/>
    <n v="1071349"/>
    <s v="Follow up"/>
    <x v="2"/>
    <m/>
    <s v=""/>
    <x v="1"/>
    <x v="9"/>
    <s v="Q1"/>
    <x v="0"/>
  </r>
  <r>
    <s v="EOS1351"/>
    <d v="2026-02-09T00:00:00"/>
    <s v="FB"/>
    <s v="FB"/>
    <s v="Mahesh Chagli"/>
    <s v="Haldwani"/>
    <s v="Bihar "/>
    <s v="Rejected"/>
    <n v="108000"/>
    <n v="1071350"/>
    <s v="Rejected"/>
    <x v="0"/>
    <m/>
    <s v=""/>
    <x v="0"/>
    <x v="9"/>
    <s v="Q1"/>
    <x v="3"/>
  </r>
  <r>
    <s v="EOS1352"/>
    <d v="2026-02-09T00:00:00"/>
    <s v="FB "/>
    <s v="FB"/>
    <s v="Jitendra"/>
    <s v="Rajkot"/>
    <s v="Gujarat "/>
    <s v="Ringing"/>
    <n v="108000"/>
    <n v="1071351"/>
    <s v="Ringing"/>
    <x v="2"/>
    <m/>
    <s v=""/>
    <x v="0"/>
    <x v="9"/>
    <s v="Q1"/>
    <x v="0"/>
  </r>
  <r>
    <s v="EOS1353"/>
    <d v="2026-02-09T00:00:00"/>
    <s v="FB "/>
    <s v="FB"/>
    <s v="mustak shaikh"/>
    <s v="Visavadar"/>
    <s v="Gujarat "/>
    <s v="Rejected"/>
    <n v="108000"/>
    <n v="1071352"/>
    <s v="Rejected"/>
    <x v="0"/>
    <m/>
    <s v=""/>
    <x v="0"/>
    <x v="9"/>
    <s v="Q1"/>
    <x v="0"/>
  </r>
  <r>
    <s v="EOS1354"/>
    <d v="2026-02-09T00:00:00"/>
    <s v="FB "/>
    <s v="FB"/>
    <s v="Vishal"/>
    <s v="Palanpur"/>
    <s v="Gujarat "/>
    <s v="Follow up "/>
    <n v="130000"/>
    <n v="1071353"/>
    <s v="Follow up"/>
    <x v="2"/>
    <m/>
    <s v=""/>
    <x v="0"/>
    <x v="9"/>
    <s v="Q1"/>
    <x v="0"/>
  </r>
  <r>
    <s v="EOS1355"/>
    <d v="2026-02-09T00:00:00"/>
    <s v="FB"/>
    <s v="FB"/>
    <s v="Ravi Pate"/>
    <s v="Faridabad"/>
    <s v="Haryana"/>
    <s v="Follow up "/>
    <n v="108000"/>
    <n v="1071354"/>
    <s v="Follow up"/>
    <x v="2"/>
    <m/>
    <s v=""/>
    <x v="0"/>
    <x v="9"/>
    <s v="Q1"/>
    <x v="1"/>
  </r>
  <r>
    <s v="EOS1356"/>
    <d v="2026-02-09T00:00:00"/>
    <s v="FB"/>
    <s v="FB"/>
    <s v="Satyabhan Tamar"/>
    <s v="Vadodara"/>
    <s v="Gujarat "/>
    <s v="Rejected"/>
    <n v="108000"/>
    <n v="1071355"/>
    <s v="Rejected"/>
    <x v="0"/>
    <m/>
    <s v=""/>
    <x v="0"/>
    <x v="9"/>
    <s v="Q1"/>
    <x v="0"/>
  </r>
  <r>
    <s v="EOS1357"/>
    <d v="2025-12-27T00:00:00"/>
    <s v="WP"/>
    <m/>
    <s v="Chintan panchal "/>
    <s v="Surat "/>
    <s v="Gujarat"/>
    <s v="Follow up "/>
    <n v="108000"/>
    <n v="1071356"/>
    <s v="Follow up"/>
    <x v="2"/>
    <m/>
    <s v=""/>
    <x v="0"/>
    <x v="8"/>
    <s v="Q4"/>
    <x v="0"/>
  </r>
  <r>
    <s v="EOS1358"/>
    <d v="2026-02-09T00:00:00"/>
    <s v="FB"/>
    <s v="FB"/>
    <s v="Shiyal jayesh bhai"/>
    <s v="Botad"/>
    <s v="Gujarat "/>
    <s v="Follow up "/>
    <n v="130000"/>
    <n v="1071357"/>
    <s v="Follow up"/>
    <x v="2"/>
    <m/>
    <s v=""/>
    <x v="0"/>
    <x v="9"/>
    <s v="Q1"/>
    <x v="0"/>
  </r>
  <r>
    <s v="EOS1359"/>
    <d v="2026-02-09T00:00:00"/>
    <s v="FB"/>
    <s v="FB"/>
    <s v="Ashish Sojitra"/>
    <s v="Valsad"/>
    <s v="Gujarat "/>
    <s v="Rejected"/>
    <n v="130000"/>
    <n v="1071358"/>
    <s v="Rejected"/>
    <x v="0"/>
    <m/>
    <s v=""/>
    <x v="0"/>
    <x v="9"/>
    <s v="Q1"/>
    <x v="0"/>
  </r>
  <r>
    <s v="EOS1360"/>
    <d v="2026-02-09T00:00:00"/>
    <s v="FB "/>
    <s v="FB"/>
    <s v="Dhruv"/>
    <s v="Botad"/>
    <s v="Gujarat "/>
    <s v="Follow up "/>
    <n v="108000"/>
    <n v="1071359"/>
    <s v="Follow up"/>
    <x v="2"/>
    <m/>
    <s v=""/>
    <x v="0"/>
    <x v="9"/>
    <s v="Q1"/>
    <x v="0"/>
  </r>
  <r>
    <s v="EOS1361"/>
    <d v="2026-02-09T00:00:00"/>
    <s v="FB"/>
    <s v="FB"/>
    <s v="Vipul Patel"/>
    <s v="Jasdan"/>
    <s v="Gujarat"/>
    <s v="Rejected"/>
    <n v="130000"/>
    <n v="1071360"/>
    <s v="Rejected"/>
    <x v="0"/>
    <m/>
    <s v=""/>
    <x v="0"/>
    <x v="9"/>
    <s v="Q1"/>
    <x v="0"/>
  </r>
  <r>
    <s v="EOS1362"/>
    <d v="2026-02-09T00:00:00"/>
    <s v="FB "/>
    <s v="FB"/>
    <s v="kt"/>
    <s v="Talbahet"/>
    <s v="Uttar Pradesh "/>
    <s v="Rejected"/>
    <n v="130000"/>
    <n v="1071361"/>
    <s v="Rejected"/>
    <x v="0"/>
    <m/>
    <s v=""/>
    <x v="0"/>
    <x v="9"/>
    <s v="Q1"/>
    <x v="1"/>
  </r>
  <r>
    <s v="EOS1363"/>
    <d v="2026-02-09T00:00:00"/>
    <s v="FB "/>
    <s v="FB"/>
    <s v="Sachendra Yadav"/>
    <s v="Hamirpur"/>
    <s v="Uttar Pradesh "/>
    <s v="Ringing"/>
    <n v="130000"/>
    <n v="1071362"/>
    <s v="Ringing"/>
    <x v="2"/>
    <m/>
    <s v=""/>
    <x v="0"/>
    <x v="9"/>
    <s v="Q1"/>
    <x v="1"/>
  </r>
  <r>
    <s v="EOS1364"/>
    <d v="2026-02-09T00:00:00"/>
    <s v="FB "/>
    <s v="FB"/>
    <s v="Vikas omar"/>
    <s v="Halol"/>
    <s v="Gujarat "/>
    <s v="Follow up "/>
    <n v="130000"/>
    <n v="1071363"/>
    <s v="Follow up"/>
    <x v="2"/>
    <m/>
    <s v=""/>
    <x v="0"/>
    <x v="9"/>
    <s v="Q1"/>
    <x v="0"/>
  </r>
  <r>
    <s v="EOS1365"/>
    <d v="2026-02-10T00:00:00"/>
    <s v="FB"/>
    <s v="FB"/>
    <s v="Parthu Patel"/>
    <s v="Surat"/>
    <s v="Gujarat"/>
    <s v="Follow up "/>
    <n v="130000"/>
    <n v="1071364"/>
    <s v="Follow up"/>
    <x v="2"/>
    <m/>
    <s v=""/>
    <x v="0"/>
    <x v="9"/>
    <s v="Q1"/>
    <x v="0"/>
  </r>
  <r>
    <s v="EOS1366"/>
    <d v="2026-02-10T00:00:00"/>
    <s v="FB"/>
    <s v="FB"/>
    <s v="Pritesh Parmar"/>
    <s v="Upetla "/>
    <s v="Gujarat"/>
    <s v="Follow up "/>
    <n v="108000"/>
    <n v="1071365"/>
    <s v="Follow up"/>
    <x v="2"/>
    <m/>
    <s v=""/>
    <x v="0"/>
    <x v="9"/>
    <s v="Q1"/>
    <x v="0"/>
  </r>
  <r>
    <s v="EOS1367"/>
    <d v="2026-02-10T00:00:00"/>
    <s v="FB"/>
    <s v="FB"/>
    <s v="Kalpesh bharai"/>
    <s v="halol"/>
    <s v="Gujarat"/>
    <s v="Follow up "/>
    <n v="108000"/>
    <n v="1071366"/>
    <s v="Follow up"/>
    <x v="2"/>
    <m/>
    <s v=""/>
    <x v="0"/>
    <x v="9"/>
    <s v="Q1"/>
    <x v="0"/>
  </r>
  <r>
    <s v="EOS1368"/>
    <d v="2026-02-10T00:00:00"/>
    <s v="FB"/>
    <s v="FB"/>
    <s v="ravi rana "/>
    <s v="Mehsana"/>
    <s v="Gujarat"/>
    <s v="Follow up "/>
    <n v="130000"/>
    <n v="1071367"/>
    <s v="Follow up"/>
    <x v="2"/>
    <m/>
    <s v=""/>
    <x v="0"/>
    <x v="9"/>
    <s v="Q1"/>
    <x v="0"/>
  </r>
  <r>
    <s v="EOS1369"/>
    <d v="2026-02-10T00:00:00"/>
    <s v="FB"/>
    <s v="FB"/>
    <s v="Kasif"/>
    <s v="Jamnagar"/>
    <s v="Gujarat"/>
    <s v="Rejected"/>
    <n v="130000"/>
    <n v="1071368"/>
    <s v="Rejected"/>
    <x v="0"/>
    <m/>
    <s v=""/>
    <x v="0"/>
    <x v="9"/>
    <s v="Q1"/>
    <x v="0"/>
  </r>
  <r>
    <s v="EOS1370"/>
    <d v="2026-02-10T00:00:00"/>
    <s v="WA"/>
    <m/>
    <s v="Vara Gautam"/>
    <m/>
    <s v="Gujarat"/>
    <s v="Follow up "/>
    <n v="130000"/>
    <n v="1071369"/>
    <s v="Follow up"/>
    <x v="2"/>
    <m/>
    <s v=""/>
    <x v="0"/>
    <x v="9"/>
    <s v="Q1"/>
    <x v="0"/>
  </r>
  <r>
    <s v="EOS1371"/>
    <d v="2026-02-10T00:00:00"/>
    <s v="FB"/>
    <s v="FB"/>
    <s v="Pravin Choudhary"/>
    <s v="Junagadh"/>
    <s v="Gujarat"/>
    <s v="Follow up "/>
    <n v="108000"/>
    <n v="1071370"/>
    <s v="Follow up"/>
    <x v="2"/>
    <m/>
    <s v=""/>
    <x v="0"/>
    <x v="9"/>
    <s v="Q1"/>
    <x v="0"/>
  </r>
  <r>
    <s v="EOS1372"/>
    <d v="2026-02-10T00:00:00"/>
    <s v="FB"/>
    <s v="FB"/>
    <s v="SAHIL HIRAPARA"/>
    <m/>
    <s v="Gujarat "/>
    <s v="Follow up "/>
    <n v="130000"/>
    <n v="1071371"/>
    <s v="Follow up"/>
    <x v="2"/>
    <m/>
    <s v=""/>
    <x v="0"/>
    <x v="9"/>
    <s v="Q1"/>
    <x v="0"/>
  </r>
  <r>
    <s v="EOS1373"/>
    <d v="2026-02-11T00:00:00"/>
    <s v="FB"/>
    <s v="FB"/>
    <s v="Savan patel "/>
    <s v="Surat"/>
    <s v="Gujarat"/>
    <s v="Follow up "/>
    <n v="130000"/>
    <n v="1071372"/>
    <s v="Follow up"/>
    <x v="2"/>
    <m/>
    <s v=""/>
    <x v="0"/>
    <x v="9"/>
    <s v="Q1"/>
    <x v="0"/>
  </r>
  <r>
    <s v="EOS1374"/>
    <d v="2026-02-11T00:00:00"/>
    <s v="FB"/>
    <s v="FB"/>
    <s v="Dhaval Kanani"/>
    <s v="Una "/>
    <s v="Gujarat "/>
    <s v="Follow up "/>
    <n v="130000"/>
    <n v="1071373"/>
    <s v="Follow up"/>
    <x v="2"/>
    <m/>
    <s v=""/>
    <x v="0"/>
    <x v="9"/>
    <s v="Q1"/>
    <x v="0"/>
  </r>
  <r>
    <s v="EOS1375"/>
    <d v="2026-02-11T00:00:00"/>
    <s v="FB"/>
    <s v="FB"/>
    <s v="Rohit Vaja"/>
    <m/>
    <s v="Gujarat"/>
    <s v="Follow up "/>
    <n v="130000"/>
    <n v="1071374"/>
    <s v="Follow up"/>
    <x v="2"/>
    <m/>
    <s v=""/>
    <x v="0"/>
    <x v="9"/>
    <s v="Q1"/>
    <x v="0"/>
  </r>
  <r>
    <s v="EOS1376"/>
    <d v="2026-02-11T00:00:00"/>
    <s v="FB"/>
    <s v="FB"/>
    <s v="Dipak"/>
    <m/>
    <s v="Gujarat"/>
    <s v="Follow up "/>
    <n v="108000"/>
    <n v="1071375"/>
    <s v="Follow up"/>
    <x v="2"/>
    <m/>
    <s v=""/>
    <x v="0"/>
    <x v="9"/>
    <s v="Q1"/>
    <x v="0"/>
  </r>
  <r>
    <s v="EOS1377"/>
    <d v="2026-02-11T00:00:00"/>
    <s v="FB"/>
    <s v="FB"/>
    <s v="Rudresh vya"/>
    <s v="Ahmedabad"/>
    <s v="Gujarat"/>
    <s v="Follow up "/>
    <n v="108000"/>
    <n v="1071376"/>
    <s v="Follow up"/>
    <x v="2"/>
    <m/>
    <s v=""/>
    <x v="0"/>
    <x v="9"/>
    <s v="Q1"/>
    <x v="0"/>
  </r>
  <r>
    <s v="EOS1378"/>
    <d v="2026-02-12T00:00:00"/>
    <s v="FB"/>
    <s v="FB"/>
    <s v="Aaftab Lala Khan Pathan"/>
    <s v="Ahmedabad"/>
    <s v="Gujarat "/>
    <s v="Follow up "/>
    <n v="130000"/>
    <n v="1071377"/>
    <s v="Follow up"/>
    <x v="2"/>
    <m/>
    <s v=""/>
    <x v="0"/>
    <x v="9"/>
    <s v="Q1"/>
    <x v="0"/>
  </r>
  <r>
    <s v="EOS1379"/>
    <d v="2026-02-12T00:00:00"/>
    <s v="FB"/>
    <s v="FB"/>
    <s v="Ajay"/>
    <s v="Deesa"/>
    <s v="Gujarat"/>
    <s v="Follow up "/>
    <n v="108000"/>
    <n v="1071378"/>
    <s v="Follow up"/>
    <x v="2"/>
    <m/>
    <s v=""/>
    <x v="0"/>
    <x v="9"/>
    <s v="Q1"/>
    <x v="0"/>
  </r>
  <r>
    <s v="EOS1380"/>
    <d v="2026-02-12T00:00:00"/>
    <s v="FB"/>
    <s v="FB"/>
    <s v="Adit Solanki"/>
    <s v="vav"/>
    <s v="Gujarat"/>
    <s v="Follow up "/>
    <n v="108000"/>
    <n v="1071379"/>
    <s v="Follow up"/>
    <x v="2"/>
    <m/>
    <s v=""/>
    <x v="0"/>
    <x v="9"/>
    <s v="Q1"/>
    <x v="0"/>
  </r>
  <r>
    <s v="EOS1381"/>
    <d v="2026-02-12T00:00:00"/>
    <s v="FB"/>
    <s v="FB"/>
    <s v="Vipulsinh Rajput"/>
    <s v="Kushinagar"/>
    <s v="Uttar Pradesh "/>
    <s v="Ringing"/>
    <n v="108000"/>
    <n v="1071380"/>
    <s v="Ringing"/>
    <x v="2"/>
    <m/>
    <s v=""/>
    <x v="0"/>
    <x v="9"/>
    <s v="Q1"/>
    <x v="1"/>
  </r>
  <r>
    <s v="EOS1382"/>
    <d v="2026-02-12T00:00:00"/>
    <s v="FB "/>
    <s v="FB"/>
    <s v="Mumtaj Ali"/>
    <s v="Rajkot"/>
    <s v="Gujarat"/>
    <s v="Follow up "/>
    <n v="108000"/>
    <n v="1071381"/>
    <s v="Follow up"/>
    <x v="2"/>
    <m/>
    <s v=""/>
    <x v="0"/>
    <x v="9"/>
    <s v="Q1"/>
    <x v="0"/>
  </r>
  <r>
    <s v="EOS1383"/>
    <d v="2026-02-12T00:00:00"/>
    <s v="FB"/>
    <s v="FB"/>
    <s v="Akshay zala"/>
    <s v="Rajkot"/>
    <s v="Gujarat"/>
    <s v="Rejected"/>
    <n v="108000"/>
    <n v="1071382"/>
    <s v="Rejected"/>
    <x v="0"/>
    <m/>
    <s v=""/>
    <x v="0"/>
    <x v="9"/>
    <s v="Q1"/>
    <x v="0"/>
  </r>
  <r>
    <s v="EOS1384"/>
    <d v="2026-02-12T00:00:00"/>
    <s v="FB "/>
    <s v="FB"/>
    <s v="Ankit Kanpariya"/>
    <s v="Tharad"/>
    <s v="Gujarat"/>
    <s v="Follow up "/>
    <n v="108000"/>
    <n v="1071383"/>
    <s v="Follow up"/>
    <x v="2"/>
    <m/>
    <s v=""/>
    <x v="0"/>
    <x v="9"/>
    <s v="Q1"/>
    <x v="0"/>
  </r>
  <r>
    <s v="EOS1385"/>
    <d v="2026-02-12T00:00:00"/>
    <s v="FB"/>
    <s v="FB"/>
    <s v="JAYRAJSINH RAJPUT"/>
    <s v="Vijapur"/>
    <s v="Gujarat"/>
    <s v="Ringing"/>
    <n v="130000"/>
    <n v="1071384"/>
    <s v="Ringing"/>
    <x v="2"/>
    <m/>
    <s v=""/>
    <x v="0"/>
    <x v="9"/>
    <s v="Q1"/>
    <x v="0"/>
  </r>
  <r>
    <s v="EOS1386"/>
    <d v="2026-02-12T00:00:00"/>
    <s v="FB "/>
    <s v="FB"/>
    <s v="Pradip parmar"/>
    <s v="Anand "/>
    <s v="Gujarat "/>
    <s v="Follow up "/>
    <n v="130000"/>
    <n v="1071385"/>
    <s v="Follow up"/>
    <x v="2"/>
    <m/>
    <s v=""/>
    <x v="0"/>
    <x v="9"/>
    <s v="Q1"/>
    <x v="0"/>
  </r>
  <r>
    <s v="EOS1387"/>
    <d v="2026-02-12T00:00:00"/>
    <s v="FB"/>
    <s v="FB"/>
    <s v="patel dhruval"/>
    <s v="nawada"/>
    <s v="Bihar"/>
    <s v="Rejected"/>
    <n v="130000"/>
    <n v="1071386"/>
    <s v="Rejected"/>
    <x v="0"/>
    <m/>
    <s v=""/>
    <x v="0"/>
    <x v="9"/>
    <s v="Q1"/>
    <x v="3"/>
  </r>
  <r>
    <s v="EOS1388"/>
    <d v="2026-02-12T00:00:00"/>
    <s v="FB "/>
    <s v="FB"/>
    <s v="Narendra kumar Niraj"/>
    <s v="Bokaro"/>
    <s v="jharkhand"/>
    <s v="Rejected"/>
    <n v="108000"/>
    <n v="1071387"/>
    <s v="Rejected"/>
    <x v="0"/>
    <m/>
    <s v=""/>
    <x v="0"/>
    <x v="9"/>
    <s v="Q1"/>
    <x v="3"/>
  </r>
  <r>
    <s v="EOS1389"/>
    <d v="2026-02-12T00:00:00"/>
    <s v="FB "/>
    <s v="FB"/>
    <s v="Shailendra Prasad"/>
    <s v="Visnagar"/>
    <s v="Gujarat "/>
    <s v="Follow up "/>
    <n v="130000"/>
    <n v="1071388"/>
    <s v="Follow up"/>
    <x v="2"/>
    <m/>
    <s v=""/>
    <x v="0"/>
    <x v="9"/>
    <s v="Q1"/>
    <x v="0"/>
  </r>
  <r>
    <s v="EOS1390"/>
    <d v="2026-02-12T00:00:00"/>
    <s v="FB"/>
    <s v="FB"/>
    <s v="Kishan"/>
    <s v="Surat"/>
    <s v="Gujarat "/>
    <s v="Follow up "/>
    <n v="130000"/>
    <n v="1071389"/>
    <s v="Follow up"/>
    <x v="2"/>
    <m/>
    <s v=""/>
    <x v="0"/>
    <x v="9"/>
    <s v="Q1"/>
    <x v="0"/>
  </r>
  <r>
    <s v="EOS1391"/>
    <d v="2026-02-13T00:00:00"/>
    <s v="FB"/>
    <s v="FB"/>
    <s v="Jayesh"/>
    <s v="Mehsana"/>
    <s v="Gujarat "/>
    <s v="Follow up "/>
    <n v="108000"/>
    <n v="1071390"/>
    <s v="Follow up"/>
    <x v="2"/>
    <m/>
    <s v=""/>
    <x v="0"/>
    <x v="9"/>
    <s v="Q1"/>
    <x v="0"/>
  </r>
  <r>
    <s v="EOS1392"/>
    <d v="2026-02-13T00:00:00"/>
    <s v="FB"/>
    <s v="FB"/>
    <s v="Chintan Modi"/>
    <s v="Gandhinagar"/>
    <s v="Gujarat "/>
    <s v="Follow up "/>
    <n v="108000"/>
    <n v="1071391"/>
    <s v="Follow up"/>
    <x v="2"/>
    <m/>
    <s v=""/>
    <x v="0"/>
    <x v="9"/>
    <s v="Q1"/>
    <x v="0"/>
  </r>
  <r>
    <s v="EOS1393"/>
    <d v="2026-02-13T00:00:00"/>
    <s v="FB"/>
    <s v="FB"/>
    <s v="Nirmal"/>
    <s v="Ahmedabad"/>
    <s v="Gujarat "/>
    <s v="Follow up "/>
    <n v="108000"/>
    <n v="1071392"/>
    <s v="Follow up"/>
    <x v="2"/>
    <m/>
    <s v=""/>
    <x v="0"/>
    <x v="9"/>
    <s v="Q1"/>
    <x v="0"/>
  </r>
  <r>
    <s v="EOS1394"/>
    <d v="2026-02-13T00:00:00"/>
    <s v="FB"/>
    <s v="FB"/>
    <s v="Ravi Dave"/>
    <m/>
    <s v="Gujarat "/>
    <s v="Follow up "/>
    <n v="130000"/>
    <n v="1071393"/>
    <s v="Follow up"/>
    <x v="2"/>
    <m/>
    <s v=""/>
    <x v="0"/>
    <x v="9"/>
    <s v="Q1"/>
    <x v="0"/>
  </r>
  <r>
    <s v="EOS1395"/>
    <d v="2026-02-13T00:00:00"/>
    <s v="FB"/>
    <s v="FB"/>
    <s v="Jay Parmar"/>
    <s v="Khambhalia"/>
    <s v="Gujarat "/>
    <s v="Follow up "/>
    <n v="130000"/>
    <n v="1071394"/>
    <s v="Follow up"/>
    <x v="2"/>
    <m/>
    <s v=""/>
    <x v="0"/>
    <x v="9"/>
    <s v="Q1"/>
    <x v="0"/>
  </r>
  <r>
    <s v="EOS1396"/>
    <d v="2026-02-14T00:00:00"/>
    <s v="FB"/>
    <s v="FB"/>
    <s v="Javed darvesh"/>
    <s v="Prachi"/>
    <s v="Gujarat "/>
    <s v="Follow up "/>
    <n v="130000"/>
    <n v="1071395"/>
    <s v="Follow up"/>
    <x v="2"/>
    <m/>
    <s v=""/>
    <x v="0"/>
    <x v="9"/>
    <s v="Q1"/>
    <x v="0"/>
  </r>
  <r>
    <s v="EOS1397"/>
    <d v="2026-02-14T00:00:00"/>
    <s v="FB"/>
    <s v="FB"/>
    <s v="Rohitsinh Jadav"/>
    <s v="Barabanki"/>
    <s v="Uttar Pradesh "/>
    <s v="Follow up "/>
    <n v="177000"/>
    <n v="1071396"/>
    <s v="Follow up"/>
    <x v="2"/>
    <m/>
    <s v=""/>
    <x v="1"/>
    <x v="9"/>
    <s v="Q1"/>
    <x v="1"/>
  </r>
  <r>
    <s v="EOS1398"/>
    <d v="2026-02-14T00:00:00"/>
    <s v="FB"/>
    <s v="FB"/>
    <s v="Abhay Gupta"/>
    <s v="Karwi"/>
    <s v="Uttar Pradesh "/>
    <s v="Follow up "/>
    <n v="130000"/>
    <n v="1071397"/>
    <s v="Follow up"/>
    <x v="2"/>
    <m/>
    <s v=""/>
    <x v="0"/>
    <x v="9"/>
    <s v="Q1"/>
    <x v="1"/>
  </r>
  <r>
    <s v="EOS1399"/>
    <d v="2026-02-14T00:00:00"/>
    <s v="FB"/>
    <s v="FB"/>
    <s v="Mohit Singh"/>
    <s v="Gandhinagar"/>
    <s v="Gujarat"/>
    <s v="Rejected "/>
    <n v="108000"/>
    <n v="1071398"/>
    <s v="Rejected"/>
    <x v="0"/>
    <m/>
    <s v=""/>
    <x v="0"/>
    <x v="9"/>
    <s v="Q1"/>
    <x v="0"/>
  </r>
  <r>
    <s v="EOS1400"/>
    <d v="2026-02-14T00:00:00"/>
    <s v="FB"/>
    <s v="FB"/>
    <s v="vahid shaikh"/>
    <s v="Kanpur"/>
    <s v="Uttar Pradesh "/>
    <s v="Rejected"/>
    <n v="108000"/>
    <n v="1071399"/>
    <s v="Rejected"/>
    <x v="0"/>
    <m/>
    <s v=""/>
    <x v="0"/>
    <x v="9"/>
    <s v="Q1"/>
    <x v="1"/>
  </r>
  <r>
    <s v="EOS1401"/>
    <d v="2026-02-16T00:00:00"/>
    <s v="FB "/>
    <s v="FB"/>
    <s v="Gaurav gautam"/>
    <s v="Khambhalia"/>
    <s v="Gujarat "/>
    <s v="Follow up "/>
    <n v="177000"/>
    <n v="1071400"/>
    <s v="Follow up"/>
    <x v="2"/>
    <m/>
    <s v=""/>
    <x v="1"/>
    <x v="9"/>
    <s v="Q1"/>
    <x v="0"/>
  </r>
  <r>
    <s v="EOS1402"/>
    <d v="2026-02-16T00:00:00"/>
    <s v="FB"/>
    <s v="FB"/>
    <s v="Javed darvesh"/>
    <s v="bhanvad"/>
    <s v="Gujarat "/>
    <s v="Follow up "/>
    <n v="130000"/>
    <n v="1071401"/>
    <s v="Follow up"/>
    <x v="2"/>
    <m/>
    <s v=""/>
    <x v="0"/>
    <x v="9"/>
    <s v="Q1"/>
    <x v="0"/>
  </r>
  <r>
    <s v="EOS1403"/>
    <d v="2026-02-16T00:00:00"/>
    <s v="FB"/>
    <s v="FB"/>
    <s v="Hiren Odedra"/>
    <s v="Chotila"/>
    <s v="Gujarat "/>
    <s v="Follow up "/>
    <n v="108000"/>
    <n v="1071402"/>
    <s v="Follow up"/>
    <x v="2"/>
    <m/>
    <s v=""/>
    <x v="0"/>
    <x v="9"/>
    <s v="Q1"/>
    <x v="0"/>
  </r>
  <r>
    <s v="EOS1404"/>
    <d v="2026-02-16T00:00:00"/>
    <s v="FB"/>
    <s v="FB"/>
    <s v="Maldip Darbar"/>
    <s v=" Bhavnagar"/>
    <s v="Gujarat"/>
    <s v="Follow up "/>
    <n v="108000"/>
    <n v="1071403"/>
    <s v="Follow up"/>
    <x v="2"/>
    <m/>
    <s v=""/>
    <x v="0"/>
    <x v="9"/>
    <s v="Q1"/>
    <x v="0"/>
  </r>
  <r>
    <s v="EOS1405"/>
    <d v="2026-02-16T00:00:00"/>
    <s v="FB"/>
    <s v="FB"/>
    <s v="Harshit makwana"/>
    <s v="Jamnagar"/>
    <s v="Gujarat "/>
    <s v="Follow up "/>
    <n v="130000"/>
    <n v="1071404"/>
    <s v="Follow up"/>
    <x v="2"/>
    <m/>
    <s v=""/>
    <x v="0"/>
    <x v="9"/>
    <s v="Q1"/>
    <x v="0"/>
  </r>
  <r>
    <s v="EOS1406"/>
    <d v="2026-02-16T00:00:00"/>
    <s v="FB"/>
    <s v="FB"/>
    <s v="Mahavirsinh Solanki"/>
    <s v="Surat"/>
    <s v="Gujarat "/>
    <s v="Follow up "/>
    <n v="108000"/>
    <n v="1071405"/>
    <s v="Follow up"/>
    <x v="2"/>
    <m/>
    <s v=""/>
    <x v="0"/>
    <x v="9"/>
    <s v="Q1"/>
    <x v="0"/>
  </r>
  <r>
    <s v="EOS1407"/>
    <d v="2026-02-16T00:00:00"/>
    <s v="FB"/>
    <s v="FB"/>
    <s v="Ronak"/>
    <s v="Ahmedabad"/>
    <s v="Gujarat "/>
    <s v="Follow up "/>
    <n v="130000"/>
    <n v="1071406"/>
    <s v="Follow up"/>
    <x v="2"/>
    <m/>
    <s v=""/>
    <x v="0"/>
    <x v="9"/>
    <s v="Q1"/>
    <x v="0"/>
  </r>
  <r>
    <s v="EOS1408"/>
    <d v="2026-02-16T00:00:00"/>
    <s v="FB"/>
    <s v="FB"/>
    <s v="AD Rajput"/>
    <s v=" "/>
    <s v="Gujarat "/>
    <s v="Follow up "/>
    <n v="130000"/>
    <n v="1071407"/>
    <s v="Follow up"/>
    <x v="2"/>
    <m/>
    <s v=""/>
    <x v="0"/>
    <x v="9"/>
    <s v="Q1"/>
    <x v="0"/>
  </r>
  <r>
    <s v="EOS1409"/>
    <d v="2026-02-16T00:00:00"/>
    <s v="FB"/>
    <s v="FB"/>
    <s v="PRUTHVI SINGH V THAKOR"/>
    <s v="Porbandar"/>
    <s v="Gujarat"/>
    <s v="Follow up "/>
    <n v="108000"/>
    <n v="1071408"/>
    <s v="Follow up"/>
    <x v="2"/>
    <m/>
    <s v=""/>
    <x v="0"/>
    <x v="9"/>
    <s v="Q1"/>
    <x v="0"/>
  </r>
  <r>
    <s v="EOS1410"/>
    <d v="2026-02-16T00:00:00"/>
    <s v="FB"/>
    <s v="FB"/>
    <s v="Vijay Modhvadiya"/>
    <s v="utraula"/>
    <s v="Uttar Pradesh "/>
    <s v="Follow up "/>
    <n v="108000"/>
    <n v="1071409"/>
    <s v="Follow up"/>
    <x v="2"/>
    <m/>
    <s v=""/>
    <x v="0"/>
    <x v="9"/>
    <s v="Q1"/>
    <x v="1"/>
  </r>
  <r>
    <s v="EOS1411"/>
    <d v="2026-02-16T00:00:00"/>
    <s v="FB"/>
    <s v="FB"/>
    <s v="Asrar Ahmad Raini"/>
    <s v="Noida"/>
    <s v="Uttar Pradesh "/>
    <s v="Follow up "/>
    <n v="130000"/>
    <n v="1071410"/>
    <s v="Follow up"/>
    <x v="2"/>
    <m/>
    <s v=""/>
    <x v="0"/>
    <x v="9"/>
    <s v="Q1"/>
    <x v="1"/>
  </r>
  <r>
    <s v="EOS1412"/>
    <d v="2026-02-16T00:00:00"/>
    <s v="FB"/>
    <s v="FB"/>
    <s v="mdaman"/>
    <s v=" Bhavnagar"/>
    <s v="Gujarat "/>
    <s v="Follow up "/>
    <n v="108000"/>
    <n v="1071411"/>
    <s v="Follow up"/>
    <x v="2"/>
    <m/>
    <s v=""/>
    <x v="0"/>
    <x v="9"/>
    <s v="Q1"/>
    <x v="0"/>
  </r>
  <r>
    <s v="EOS1413"/>
    <d v="2026-02-17T00:00:00"/>
    <s v="FB"/>
    <s v="FB"/>
    <s v="Shaktisinh Gohil"/>
    <s v="Ahmedabad"/>
    <s v="Gujarat "/>
    <s v="Follow up "/>
    <n v="108000"/>
    <n v="1071412"/>
    <s v="Follow up"/>
    <x v="2"/>
    <m/>
    <s v=""/>
    <x v="0"/>
    <x v="9"/>
    <s v="Q1"/>
    <x v="0"/>
  </r>
  <r>
    <s v="EOS1414"/>
    <d v="2026-02-17T00:00:00"/>
    <s v="FB"/>
    <s v="FB"/>
    <s v="Dipen Gandhi"/>
    <s v="Surat "/>
    <s v="Gujarat "/>
    <s v="Follow up "/>
    <n v="108000"/>
    <n v="1071413"/>
    <s v="Follow up"/>
    <x v="2"/>
    <m/>
    <s v=""/>
    <x v="0"/>
    <x v="9"/>
    <s v="Q1"/>
    <x v="0"/>
  </r>
  <r>
    <s v="EOS1415"/>
    <d v="2026-02-17T00:00:00"/>
    <s v="FB"/>
    <s v="FB"/>
    <s v="Ahir Chintan"/>
    <s v="Dedana"/>
    <s v="Gujarat "/>
    <s v="Follow up "/>
    <n v="108000"/>
    <n v="1071414"/>
    <s v="Follow up"/>
    <x v="2"/>
    <m/>
    <s v=""/>
    <x v="0"/>
    <x v="9"/>
    <s v="Q1"/>
    <x v="0"/>
  </r>
  <r>
    <s v="EOS1416"/>
    <d v="2026-02-17T00:00:00"/>
    <s v="FB"/>
    <s v="FB"/>
    <s v="Vyas Yogesh"/>
    <s v="Bharuch"/>
    <s v="Gujarat "/>
    <s v="Follow up "/>
    <n v="130000"/>
    <n v="1071415"/>
    <s v="Follow up"/>
    <x v="2"/>
    <m/>
    <s v=""/>
    <x v="0"/>
    <x v="9"/>
    <s v="Q1"/>
    <x v="0"/>
  </r>
  <r>
    <s v="EOS1417"/>
    <d v="2026-02-17T00:00:00"/>
    <s v="FB"/>
    <s v="FB"/>
    <s v="Monik Mehta"/>
    <s v="agra"/>
    <s v="Uttar Pradesh "/>
    <s v="Follow up "/>
    <n v="108000"/>
    <n v="1071416"/>
    <s v="Follow up"/>
    <x v="2"/>
    <m/>
    <s v=""/>
    <x v="0"/>
    <x v="9"/>
    <s v="Q1"/>
    <x v="1"/>
  </r>
  <r>
    <s v="EOS1418"/>
    <d v="2026-02-17T00:00:00"/>
    <s v="FB"/>
    <s v="FB"/>
    <s v="Vishal Sharma"/>
    <s v="Noida"/>
    <s v="Uttar Pradesh "/>
    <s v="Follow up "/>
    <n v="108000"/>
    <n v="1071417"/>
    <s v="Follow up"/>
    <x v="2"/>
    <m/>
    <s v=""/>
    <x v="0"/>
    <x v="9"/>
    <s v="Q1"/>
    <x v="1"/>
  </r>
  <r>
    <s v="EOS1419"/>
    <d v="2026-02-17T00:00:00"/>
    <s v="FB"/>
    <s v="FB"/>
    <s v="Sonu Choudhary"/>
    <s v="Mau"/>
    <s v="Uttar Pradesh "/>
    <s v="Follow up "/>
    <n v="130000"/>
    <n v="1071418"/>
    <s v="Follow up"/>
    <x v="2"/>
    <m/>
    <s v=""/>
    <x v="0"/>
    <x v="9"/>
    <s v="Q1"/>
    <x v="1"/>
  </r>
  <r>
    <s v="EOS1420"/>
    <d v="2026-02-17T00:00:00"/>
    <s v="FB"/>
    <s v="FB"/>
    <s v="Anand mohan singh"/>
    <s v="Ahmedabad"/>
    <s v="Gujarat "/>
    <s v="Follow up "/>
    <n v="130000"/>
    <n v="1071419"/>
    <s v="Follow up"/>
    <x v="2"/>
    <m/>
    <s v=""/>
    <x v="0"/>
    <x v="9"/>
    <s v="Q1"/>
    <x v="0"/>
  </r>
  <r>
    <s v="EOS1421"/>
    <d v="2026-02-17T00:00:00"/>
    <s v="FB"/>
    <s v="FB"/>
    <s v="Sanket kothiya"/>
    <s v="Anand"/>
    <s v="Gujarat "/>
    <s v="Follow up "/>
    <n v="108000"/>
    <n v="1071420"/>
    <s v="Follow up"/>
    <x v="2"/>
    <m/>
    <s v=""/>
    <x v="0"/>
    <x v="9"/>
    <s v="Q1"/>
    <x v="0"/>
  </r>
  <r>
    <s v="EOS1422"/>
    <d v="2026-02-18T00:00:00"/>
    <s v="FB"/>
    <s v="FB"/>
    <s v="prakash"/>
    <s v="Bardoli"/>
    <s v="Gujarat "/>
    <s v="Follow up "/>
    <n v="108000"/>
    <n v="1071421"/>
    <s v="Follow up"/>
    <x v="2"/>
    <m/>
    <s v=""/>
    <x v="0"/>
    <x v="9"/>
    <s v="Q1"/>
    <x v="0"/>
  </r>
  <r>
    <s v="EOS1423"/>
    <d v="2026-02-18T00:00:00"/>
    <s v="FB"/>
    <s v="FB"/>
    <s v="Vicky Biscuitwala"/>
    <s v="Dwarka"/>
    <s v="Gujarat"/>
    <s v="Rejected"/>
    <n v="108000"/>
    <n v="1071422"/>
    <s v="Rejected"/>
    <x v="0"/>
    <m/>
    <s v=""/>
    <x v="0"/>
    <x v="9"/>
    <s v="Q1"/>
    <x v="0"/>
  </r>
  <r>
    <s v="EOS1424"/>
    <d v="2026-02-18T00:00:00"/>
    <s v="FB "/>
    <s v="FB"/>
    <s v="Aryan Bhai"/>
    <s v="Halol"/>
    <s v="Gujarat "/>
    <s v="Follow up "/>
    <n v="130000"/>
    <n v="1071423"/>
    <s v="Follow up"/>
    <x v="2"/>
    <m/>
    <s v=""/>
    <x v="0"/>
    <x v="9"/>
    <s v="Q1"/>
    <x v="0"/>
  </r>
  <r>
    <s v="EOS1425"/>
    <d v="2026-02-18T00:00:00"/>
    <s v="FB"/>
    <s v="FB"/>
    <s v="Talati Mittul"/>
    <s v="Vapi"/>
    <s v="Gujarat "/>
    <s v="Follow up "/>
    <n v="108000"/>
    <n v="1071424"/>
    <s v="Follow up"/>
    <x v="2"/>
    <m/>
    <s v=""/>
    <x v="0"/>
    <x v="9"/>
    <s v="Q1"/>
    <x v="0"/>
  </r>
  <r>
    <s v="EOS1426"/>
    <d v="2026-02-18T00:00:00"/>
    <s v="FB"/>
    <s v="FB"/>
    <s v="Anil Patadiya"/>
    <s v="Rajkot"/>
    <s v="Gujarat "/>
    <s v="Follow up "/>
    <n v="108000"/>
    <n v="1071425"/>
    <s v="Follow up"/>
    <x v="2"/>
    <m/>
    <s v=""/>
    <x v="0"/>
    <x v="9"/>
    <s v="Q1"/>
    <x v="0"/>
  </r>
  <r>
    <s v="EOS1427"/>
    <d v="2026-02-18T00:00:00"/>
    <s v="FB"/>
    <s v="FB"/>
    <s v="kishan"/>
    <s v="Ghaziabad"/>
    <s v="Uttar Pradesh "/>
    <s v="Follow up "/>
    <n v="130000"/>
    <n v="1071426"/>
    <s v="Follow up"/>
    <x v="2"/>
    <m/>
    <s v=""/>
    <x v="0"/>
    <x v="9"/>
    <s v="Q1"/>
    <x v="1"/>
  </r>
  <r>
    <s v="EOS1428"/>
    <d v="2026-02-18T00:00:00"/>
    <s v="FB"/>
    <s v="FB"/>
    <s v="Deepak Bansal"/>
    <s v="Kolkata"/>
    <s v="West Bengal"/>
    <s v="Follow up "/>
    <n v="108000"/>
    <n v="1071427"/>
    <s v="Follow up"/>
    <x v="2"/>
    <m/>
    <s v=""/>
    <x v="0"/>
    <x v="9"/>
    <s v="Q1"/>
    <x v="3"/>
  </r>
  <r>
    <s v="EOS1429"/>
    <d v="2026-02-18T00:00:00"/>
    <s v="FB"/>
    <s v="FB"/>
    <s v="Arup Saha(Arpan)"/>
    <s v="Khambhalia"/>
    <s v="Gujarat "/>
    <s v="Follow up "/>
    <n v="108000"/>
    <n v="1071428"/>
    <s v="Follow up"/>
    <x v="2"/>
    <m/>
    <s v=""/>
    <x v="0"/>
    <x v="9"/>
    <s v="Q1"/>
    <x v="0"/>
  </r>
  <r>
    <s v="EOS1430"/>
    <d v="2026-02-18T00:00:00"/>
    <s v="FB"/>
    <s v="FB"/>
    <s v="Devdan Rudach"/>
    <s v="Ahmedabad"/>
    <s v="Gujarat "/>
    <s v="Follow up "/>
    <n v="130000"/>
    <n v="1071429"/>
    <s v="Follow up"/>
    <x v="2"/>
    <m/>
    <s v=""/>
    <x v="0"/>
    <x v="9"/>
    <s v="Q1"/>
    <x v="0"/>
  </r>
  <r>
    <s v="EOS1431"/>
    <d v="2026-02-21T00:00:00"/>
    <s v="FB"/>
    <s v="FB"/>
    <s v="Satvara Sandip"/>
    <s v="Ahmedabad"/>
    <s v="Gujarat "/>
    <s v="Follow up "/>
    <n v="108000"/>
    <n v="1071430"/>
    <s v="Follow up"/>
    <x v="2"/>
    <m/>
    <s v=""/>
    <x v="0"/>
    <x v="9"/>
    <s v="Q1"/>
    <x v="0"/>
  </r>
  <r>
    <s v="EOS1432"/>
    <d v="2026-02-21T00:00:00"/>
    <s v="FB"/>
    <s v="FB"/>
    <s v="Krish "/>
    <s v="Mangrol"/>
    <s v="Gujarat "/>
    <s v="Follow up "/>
    <n v="108000"/>
    <n v="1071431"/>
    <s v="Follow up"/>
    <x v="2"/>
    <m/>
    <s v=""/>
    <x v="0"/>
    <x v="9"/>
    <s v="Q1"/>
    <x v="0"/>
  </r>
  <r>
    <s v="EOS1433"/>
    <d v="2026-02-21T00:00:00"/>
    <s v="FB"/>
    <s v="FB"/>
    <s v="Dilip Mokariya"/>
    <s v="Rajkot "/>
    <s v="Gujarat "/>
    <s v="Follow up "/>
    <n v="108000"/>
    <n v="1071432"/>
    <s v="Follow up"/>
    <x v="2"/>
    <m/>
    <s v=""/>
    <x v="0"/>
    <x v="9"/>
    <s v="Q1"/>
    <x v="0"/>
  </r>
  <r>
    <s v="EOS1434"/>
    <d v="2026-02-21T00:00:00"/>
    <s v="FB"/>
    <s v="FB"/>
    <s v="Satish Ahir"/>
    <m/>
    <s v="Uttar Pradesh "/>
    <s v="Follow up "/>
    <n v="130000"/>
    <n v="1071433"/>
    <s v="Follow up"/>
    <x v="2"/>
    <m/>
    <s v=""/>
    <x v="0"/>
    <x v="9"/>
    <s v="Q1"/>
    <x v="1"/>
  </r>
  <r>
    <s v="EOS1435"/>
    <d v="2026-02-21T00:00:00"/>
    <s v="FB"/>
    <s v="FB"/>
    <s v="Hemant Sharma"/>
    <s v="haridwar "/>
    <s v="Uttar Pradesh "/>
    <s v="Follow up "/>
    <n v="130000"/>
    <n v="1071434"/>
    <s v="Follow up"/>
    <x v="2"/>
    <m/>
    <s v=""/>
    <x v="0"/>
    <x v="9"/>
    <s v="Q1"/>
    <x v="1"/>
  </r>
  <r>
    <s v="EOS1436"/>
    <d v="2026-02-21T00:00:00"/>
    <s v="FB"/>
    <s v="FB"/>
    <s v="Adv. Ikram Ansari"/>
    <s v="Surat"/>
    <s v="Gujarat "/>
    <s v="Rejected"/>
    <n v="108000"/>
    <n v="1071435"/>
    <s v="Rejected"/>
    <x v="0"/>
    <m/>
    <s v=""/>
    <x v="0"/>
    <x v="9"/>
    <s v="Q1"/>
    <x v="0"/>
  </r>
  <r>
    <s v="EOS1437"/>
    <d v="2026-02-21T00:00:00"/>
    <s v="FB "/>
    <s v="FB"/>
    <s v="mahesh mevada"/>
    <s v="Valasan"/>
    <s v="Gujarat"/>
    <s v="Rejected"/>
    <n v="108000"/>
    <n v="1071436"/>
    <s v="Rejected"/>
    <x v="0"/>
    <m/>
    <s v=""/>
    <x v="0"/>
    <x v="9"/>
    <s v="Q1"/>
    <x v="0"/>
  </r>
  <r>
    <s v="EOS1438"/>
    <d v="2026-02-21T00:00:00"/>
    <s v="FB "/>
    <s v="FB"/>
    <s v="Aadil Vahora"/>
    <s v="Kapadwan"/>
    <s v="Gujarat"/>
    <s v="Follow up "/>
    <n v="130000"/>
    <n v="1071437"/>
    <s v="Follow up"/>
    <x v="2"/>
    <m/>
    <s v=""/>
    <x v="0"/>
    <x v="9"/>
    <s v="Q1"/>
    <x v="0"/>
  </r>
  <r>
    <s v="EOS1439"/>
    <d v="2026-02-21T00:00:00"/>
    <s v="FB"/>
    <s v="FB"/>
    <s v="Yash"/>
    <s v="Kheda"/>
    <s v="Gujarat"/>
    <s v="Follow up "/>
    <n v="108000"/>
    <n v="1071438"/>
    <s v="Follow up"/>
    <x v="2"/>
    <m/>
    <s v=""/>
    <x v="0"/>
    <x v="9"/>
    <s v="Q1"/>
    <x v="0"/>
  </r>
  <r>
    <s v="EOS1440"/>
    <d v="2026-02-21T00:00:00"/>
    <s v="FB"/>
    <s v="FB"/>
    <s v="Rutwik"/>
    <s v="Ahmedabad"/>
    <s v="Gujarat"/>
    <s v="Rejected"/>
    <n v="130000"/>
    <n v="1071439"/>
    <s v="Rejected"/>
    <x v="0"/>
    <m/>
    <s v=""/>
    <x v="0"/>
    <x v="9"/>
    <s v="Q1"/>
    <x v="0"/>
  </r>
  <r>
    <s v="EOS1441"/>
    <d v="2026-02-21T00:00:00"/>
    <s v="FB "/>
    <s v="FB"/>
    <s v="Krish "/>
    <s v="Dahod"/>
    <s v="Gujarat"/>
    <s v="Rejected"/>
    <n v="108000"/>
    <n v="1071440"/>
    <s v="Rejected"/>
    <x v="0"/>
    <m/>
    <s v=""/>
    <x v="0"/>
    <x v="9"/>
    <s v="Q1"/>
    <x v="0"/>
  </r>
  <r>
    <s v="EOS1442"/>
    <d v="2026-02-21T00:00:00"/>
    <s v="FB "/>
    <s v="FB"/>
    <s v="Hitesh Manglani"/>
    <s v="dwarka"/>
    <s v="Gujarat"/>
    <s v="Follow up "/>
    <n v="130000"/>
    <n v="1071441"/>
    <s v="Follow up"/>
    <x v="2"/>
    <m/>
    <s v=""/>
    <x v="0"/>
    <x v="9"/>
    <s v="Q1"/>
    <x v="0"/>
  </r>
  <r>
    <s v="EOS1443"/>
    <d v="2026-02-21T00:00:00"/>
    <s v="FB"/>
    <s v="FB"/>
    <s v="CHAVDA LAKHANKUMAR DHARMENDRABHAI"/>
    <s v="Gandhidham"/>
    <s v="Gujarat"/>
    <s v="Follow up "/>
    <n v="130000"/>
    <n v="1071442"/>
    <s v="Follow up"/>
    <x v="2"/>
    <m/>
    <s v=""/>
    <x v="0"/>
    <x v="9"/>
    <s v="Q1"/>
    <x v="0"/>
  </r>
  <r>
    <s v="EOS1444"/>
    <d v="2026-02-22T00:00:00"/>
    <s v="FB"/>
    <s v="FB"/>
    <s v="Ankit Chaudhary"/>
    <s v="Ahmedabad"/>
    <s v="Gujarat"/>
    <s v="Follow up "/>
    <n v="108000"/>
    <n v="1071443"/>
    <s v="Follow up"/>
    <x v="2"/>
    <m/>
    <s v=""/>
    <x v="0"/>
    <x v="9"/>
    <s v="Q1"/>
    <x v="0"/>
  </r>
  <r>
    <s v="EOS1445"/>
    <d v="2026-02-25T00:00:00"/>
    <s v="FB"/>
    <s v="FB"/>
    <s v="Prakash Matlani"/>
    <s v="Ahmedabad"/>
    <m/>
    <s v="Follow up "/>
    <n v="130000"/>
    <n v="1071444"/>
    <s v="Follow up"/>
    <x v="2"/>
    <m/>
    <s v=""/>
    <x v="0"/>
    <x v="9"/>
    <s v="Q1"/>
    <x v="4"/>
  </r>
  <r>
    <s v="EOS1446"/>
    <d v="2026-02-25T00:00:00"/>
    <s v="FB"/>
    <s v="FB"/>
    <s v="NAVYA"/>
    <s v="Bhavnagar"/>
    <s v="Gujarat"/>
    <s v="Follow up "/>
    <n v="108000"/>
    <n v="1071445"/>
    <s v="Follow up"/>
    <x v="2"/>
    <m/>
    <s v=""/>
    <x v="0"/>
    <x v="9"/>
    <s v="Q1"/>
    <x v="0"/>
  </r>
  <r>
    <s v="EOS1447"/>
    <d v="2026-03-12T00:00:00"/>
    <s v="FB"/>
    <s v="FB"/>
    <s v="Vijay Solanki"/>
    <s v="Vadodara"/>
    <s v="Gujarat"/>
    <s v="Follow up "/>
    <n v="108000"/>
    <n v="1071446"/>
    <s v="Follow up"/>
    <x v="2"/>
    <m/>
    <s v=""/>
    <x v="0"/>
    <x v="10"/>
    <s v="Q1"/>
    <x v="0"/>
  </r>
  <r>
    <s v="EOS1448"/>
    <d v="2026-03-12T00:00:00"/>
    <s v="FB"/>
    <s v="FB"/>
    <s v="Ronak Maheshwari"/>
    <s v="Ahemdabad"/>
    <s v="Gujarat"/>
    <s v="Follow up "/>
    <n v="108000"/>
    <n v="1071447"/>
    <s v="Follow up"/>
    <x v="2"/>
    <m/>
    <s v=""/>
    <x v="0"/>
    <x v="10"/>
    <s v="Q1"/>
    <x v="0"/>
  </r>
  <r>
    <s v="EOS1449"/>
    <d v="2026-03-13T00:00:00"/>
    <s v="FB"/>
    <s v="FB"/>
    <s v="Narayan Singh Rathore"/>
    <s v="Vadodara"/>
    <s v="Gujarat"/>
    <s v="Follow up "/>
    <n v="108000"/>
    <n v="1071448"/>
    <s v="Follow up"/>
    <x v="2"/>
    <m/>
    <s v=""/>
    <x v="0"/>
    <x v="10"/>
    <s v="Q1"/>
    <x v="0"/>
  </r>
  <r>
    <s v="EOS1450"/>
    <d v="2026-03-13T00:00:00"/>
    <s v="FB"/>
    <s v="FB"/>
    <s v="Juber_T"/>
    <s v="Botad"/>
    <s v="Gujarat"/>
    <s v="Follow up "/>
    <n v="177000"/>
    <n v="1071449"/>
    <s v="Follow up"/>
    <x v="2"/>
    <m/>
    <s v=""/>
    <x v="1"/>
    <x v="10"/>
    <s v="Q1"/>
    <x v="0"/>
  </r>
  <r>
    <s v="EOS1451"/>
    <d v="2026-03-16T00:00:00"/>
    <s v="FB"/>
    <s v="FB"/>
    <s v="Parikshitsinh padhiyar"/>
    <s v="Bharuch"/>
    <s v="Gujarat"/>
    <s v="Follow up "/>
    <n v="130000"/>
    <n v="1071450"/>
    <s v="Follow up"/>
    <x v="2"/>
    <m/>
    <s v=""/>
    <x v="0"/>
    <x v="10"/>
    <s v="Q1"/>
    <x v="0"/>
  </r>
  <r>
    <s v="EOS1452"/>
    <d v="2026-03-16T00:00:00"/>
    <s v="FB"/>
    <s v="FB"/>
    <s v="Uvesh Amin"/>
    <s v="Mehsana"/>
    <s v="Gujarat"/>
    <s v="Follow up "/>
    <n v="108000"/>
    <n v="1071451"/>
    <s v="Follow up"/>
    <x v="2"/>
    <m/>
    <s v=""/>
    <x v="0"/>
    <x v="10"/>
    <s v="Q1"/>
    <x v="0"/>
  </r>
  <r>
    <s v="EOS1453"/>
    <d v="2026-03-16T00:00:00"/>
    <s v="FB"/>
    <s v="FB"/>
    <s v="Smith patel"/>
    <s v="Junagadh"/>
    <s v="Gujarat"/>
    <s v="Follow up "/>
    <n v="177000"/>
    <n v="1071452"/>
    <s v="Follow up"/>
    <x v="2"/>
    <m/>
    <s v=""/>
    <x v="1"/>
    <x v="10"/>
    <s v="Q1"/>
    <x v="0"/>
  </r>
  <r>
    <s v="EOS1454"/>
    <d v="2026-03-16T00:00:00"/>
    <s v="FB"/>
    <s v="FB"/>
    <s v="Pradipsinh Solanki"/>
    <s v="Chikhli"/>
    <s v="Gujarat"/>
    <s v="Follow up "/>
    <n v="130000"/>
    <n v="1071453"/>
    <s v="Follow up"/>
    <x v="2"/>
    <m/>
    <s v=""/>
    <x v="0"/>
    <x v="10"/>
    <s v="Q1"/>
    <x v="0"/>
  </r>
  <r>
    <s v="EOS1455"/>
    <d v="2026-03-16T00:00:00"/>
    <s v="FB"/>
    <s v="FB"/>
    <s v="Yogesh Patel"/>
    <s v="Ahmedabad"/>
    <s v="Gujarat"/>
    <s v="Follow up "/>
    <n v="108000"/>
    <n v="1071454"/>
    <s v="Follow up"/>
    <x v="2"/>
    <m/>
    <s v=""/>
    <x v="0"/>
    <x v="10"/>
    <s v="Q1"/>
    <x v="0"/>
  </r>
  <r>
    <s v="EOS1456"/>
    <d v="2026-03-16T00:00:00"/>
    <s v="FB"/>
    <s v="FB"/>
    <s v="Dhaval Bhavsar"/>
    <s v="Vadodara"/>
    <s v="Gujarat"/>
    <s v="Follow up "/>
    <n v="108000"/>
    <n v="1071455"/>
    <s v="Follow up"/>
    <x v="2"/>
    <m/>
    <s v=""/>
    <x v="0"/>
    <x v="10"/>
    <s v="Q1"/>
    <x v="0"/>
  </r>
  <r>
    <s v="EOS1457"/>
    <d v="2026-03-16T00:00:00"/>
    <s v="FB"/>
    <s v="FB"/>
    <s v="Shaikh Mo Uvesh Khslid"/>
    <s v="Godhra"/>
    <s v="Gujarat"/>
    <s v="Follow up "/>
    <n v="108000"/>
    <n v="1071456"/>
    <s v="Follow up"/>
    <x v="2"/>
    <m/>
    <s v=""/>
    <x v="0"/>
    <x v="10"/>
    <s v="Q1"/>
    <x v="0"/>
  </r>
  <r>
    <s v="EOS1458"/>
    <d v="2026-03-16T00:00:00"/>
    <s v="FB"/>
    <s v="FB"/>
    <s v="Irfan Chanki"/>
    <s v="Ahmedabad"/>
    <s v="Gujarat"/>
    <s v="Rejected"/>
    <n v="130000"/>
    <n v="1071457"/>
    <s v="Rejected"/>
    <x v="0"/>
    <m/>
    <s v=""/>
    <x v="0"/>
    <x v="10"/>
    <s v="Q1"/>
    <x v="0"/>
  </r>
  <r>
    <s v="EOS1459"/>
    <d v="2026-03-16T00:00:00"/>
    <s v="FB"/>
    <s v="FB"/>
    <s v="PRAKASH VAGHELA"/>
    <s v="Ahmedabad"/>
    <s v="Gujarat"/>
    <s v="Follow up "/>
    <n v="130000"/>
    <n v="1071458"/>
    <s v="Follow up"/>
    <x v="2"/>
    <m/>
    <s v=""/>
    <x v="0"/>
    <x v="10"/>
    <s v="Q1"/>
    <x v="0"/>
  </r>
  <r>
    <s v="EOS1460"/>
    <d v="2026-03-16T00:00:00"/>
    <s v="FB"/>
    <s v="FB"/>
    <s v="Ronak Solanki"/>
    <s v="Junagadh"/>
    <s v="Gujarat"/>
    <s v="Follow up "/>
    <n v="108000"/>
    <n v="1071459"/>
    <s v="Follow up"/>
    <x v="2"/>
    <m/>
    <s v=""/>
    <x v="0"/>
    <x v="10"/>
    <s v="Q1"/>
    <x v="0"/>
  </r>
  <r>
    <s v="EOS1461"/>
    <d v="2026-03-16T00:00:00"/>
    <s v="FB"/>
    <s v="FB"/>
    <s v="Hardik Bhanushali"/>
    <s v="Jetpur "/>
    <s v="Gujarat"/>
    <s v="Follow up "/>
    <n v="130000"/>
    <n v="1071460"/>
    <s v="Follow up"/>
    <x v="2"/>
    <m/>
    <s v=""/>
    <x v="0"/>
    <x v="10"/>
    <s v="Q1"/>
    <x v="0"/>
  </r>
  <r>
    <s v="EOS1462"/>
    <d v="2026-03-16T00:00:00"/>
    <s v="FB"/>
    <s v="FB"/>
    <s v="Ketan"/>
    <s v="Bhavnagar"/>
    <s v="Gujarat"/>
    <s v="Follow up "/>
    <n v="108000"/>
    <n v="1071461"/>
    <s v="Follow up"/>
    <x v="2"/>
    <m/>
    <s v=""/>
    <x v="0"/>
    <x v="10"/>
    <s v="Q1"/>
    <x v="0"/>
  </r>
  <r>
    <s v="EOS1463"/>
    <d v="2026-03-16T00:00:00"/>
    <s v="FB"/>
    <s v="FB"/>
    <s v="Gohil Bapu"/>
    <s v="Gandhidham"/>
    <s v="Gujarat"/>
    <s v="Follow up "/>
    <n v="130000"/>
    <n v="1071462"/>
    <s v="Follow up"/>
    <x v="2"/>
    <m/>
    <s v=""/>
    <x v="0"/>
    <x v="10"/>
    <s v="Q1"/>
    <x v="0"/>
  </r>
  <r>
    <s v="EOS1464"/>
    <d v="2026-03-16T00:00:00"/>
    <s v="FB"/>
    <s v="FB"/>
    <s v="Ankit Chaudhary"/>
    <s v="Anjar"/>
    <s v="Gujarat"/>
    <s v="Follow up "/>
    <n v="130000"/>
    <n v="1071463"/>
    <s v="Follow up"/>
    <x v="2"/>
    <m/>
    <s v=""/>
    <x v="0"/>
    <x v="10"/>
    <s v="Q1"/>
    <x v="0"/>
  </r>
  <r>
    <s v="EOS1465"/>
    <d v="2026-03-16T00:00:00"/>
    <s v="FB"/>
    <s v="FB"/>
    <s v="Parth Patel"/>
    <s v="Ahmednagar"/>
    <s v="Maharashtra"/>
    <s v="Follow up "/>
    <n v="108000"/>
    <n v="1071464"/>
    <s v="Follow up"/>
    <x v="2"/>
    <m/>
    <s v=""/>
    <x v="0"/>
    <x v="10"/>
    <s v="Q1"/>
    <x v="0"/>
  </r>
  <r>
    <s v="EOS1466"/>
    <d v="2026-03-16T00:00:00"/>
    <s v="FB"/>
    <s v="FB"/>
    <s v="R K Ravindra Karad"/>
    <s v="Wankaner"/>
    <s v="Gujarat"/>
    <s v="Follow up "/>
    <n v="108000"/>
    <n v="1071465"/>
    <s v="Follow up"/>
    <x v="2"/>
    <m/>
    <s v=""/>
    <x v="0"/>
    <x v="10"/>
    <s v="Q1"/>
    <x v="0"/>
  </r>
  <r>
    <s v="EOS1467"/>
    <d v="2026-03-17T00:00:00"/>
    <s v="FB"/>
    <s v="FB"/>
    <s v="Tosif Bloch"/>
    <s v="Junagadh"/>
    <s v="Gujarat"/>
    <s v="Follow up "/>
    <n v="108000"/>
    <n v="1071466"/>
    <s v="Follow up"/>
    <x v="2"/>
    <m/>
    <s v=""/>
    <x v="0"/>
    <x v="10"/>
    <s v="Q1"/>
    <x v="0"/>
  </r>
  <r>
    <s v="EOS1468"/>
    <d v="2026-03-17T00:00:00"/>
    <s v="FB"/>
    <s v="FB"/>
    <s v="Ravi patel"/>
    <s v="Bharuch"/>
    <s v="Gujarat"/>
    <s v="Follow up "/>
    <n v="130000"/>
    <n v="1071467"/>
    <s v="Follow up"/>
    <x v="2"/>
    <m/>
    <s v=""/>
    <x v="0"/>
    <x v="10"/>
    <s v="Q1"/>
    <x v="0"/>
  </r>
  <r>
    <s v="EOS1469"/>
    <d v="2026-03-17T00:00:00"/>
    <s v="FB"/>
    <s v="FB"/>
    <s v="shoaib.mansuri"/>
    <m/>
    <s v="Gujarat"/>
    <s v="Follow up "/>
    <n v="130000"/>
    <n v="1071468"/>
    <s v="Follow up"/>
    <x v="2"/>
    <m/>
    <s v=""/>
    <x v="0"/>
    <x v="10"/>
    <s v="Q1"/>
    <x v="0"/>
  </r>
  <r>
    <s v="EOS1470"/>
    <d v="2026-03-17T00:00:00"/>
    <s v="FB"/>
    <s v="FB"/>
    <s v="Dilip Prajapati"/>
    <s v="Matar"/>
    <s v="Gujarat"/>
    <s v="Follow up "/>
    <n v="108000"/>
    <n v="1071469"/>
    <s v="Follow up"/>
    <x v="2"/>
    <m/>
    <s v=""/>
    <x v="0"/>
    <x v="10"/>
    <s v="Q1"/>
    <x v="0"/>
  </r>
  <r>
    <s v="EOS1471"/>
    <d v="2026-03-17T00:00:00"/>
    <s v="FB"/>
    <s v="FB"/>
    <s v="Rabari Vikram"/>
    <s v="Anand"/>
    <s v="Gujarat"/>
    <s v="Follow up "/>
    <n v="108000"/>
    <n v="1071470"/>
    <s v="Follow up"/>
    <x v="2"/>
    <m/>
    <s v=""/>
    <x v="0"/>
    <x v="10"/>
    <s v="Q1"/>
    <x v="0"/>
  </r>
  <r>
    <s v="EOS1472"/>
    <d v="2026-03-18T00:00:00"/>
    <s v="FB"/>
    <s v="FB"/>
    <s v="Ammar Vahora"/>
    <s v="Silvassa"/>
    <s v="Gujarat"/>
    <s v="Follow up "/>
    <n v="130000"/>
    <n v="1071471"/>
    <s v="Follow up"/>
    <x v="2"/>
    <m/>
    <s v=""/>
    <x v="0"/>
    <x v="10"/>
    <s v="Q1"/>
    <x v="0"/>
  </r>
  <r>
    <s v="EOS1473"/>
    <d v="2026-03-18T00:00:00"/>
    <s v="FB"/>
    <s v="FB"/>
    <s v="mukeshlagdhir"/>
    <s v="Ahmedabad"/>
    <s v="Gujarat"/>
    <s v="Rejected"/>
    <n v="130000"/>
    <n v="1071472"/>
    <s v="Rejected"/>
    <x v="0"/>
    <m/>
    <s v=""/>
    <x v="0"/>
    <x v="10"/>
    <s v="Q1"/>
    <x v="0"/>
  </r>
  <r>
    <s v="EOS1474"/>
    <d v="2026-03-20T00:00:00"/>
    <s v="FB"/>
    <s v="FB"/>
    <s v="Dhruv Patel"/>
    <s v="Khambhalia"/>
    <s v="Gujarat"/>
    <s v="Follow up "/>
    <n v="108000"/>
    <n v="1071473"/>
    <s v="Follow up"/>
    <x v="2"/>
    <m/>
    <s v=""/>
    <x v="0"/>
    <x v="10"/>
    <s v="Q1"/>
    <x v="0"/>
  </r>
  <r>
    <s v="EOS1475"/>
    <d v="2026-03-20T00:00:00"/>
    <s v="FB"/>
    <s v="FB"/>
    <s v="Parth Rajgor"/>
    <s v="Petlad"/>
    <s v="Gujarat"/>
    <s v="Follow up "/>
    <n v="108000"/>
    <n v="1071474"/>
    <s v="Follow up"/>
    <x v="2"/>
    <m/>
    <s v=""/>
    <x v="0"/>
    <x v="10"/>
    <s v="Q1"/>
    <x v="0"/>
  </r>
  <r>
    <s v="EOS1476"/>
    <d v="2026-03-20T00:00:00"/>
    <s v="FB"/>
    <s v="FB"/>
    <s v="Patel"/>
    <s v="kadi"/>
    <s v="Gujarat"/>
    <s v="Follow up "/>
    <n v="108000"/>
    <n v="1071475"/>
    <s v="Follow up"/>
    <x v="2"/>
    <m/>
    <s v=""/>
    <x v="0"/>
    <x v="10"/>
    <s v="Q1"/>
    <x v="0"/>
  </r>
  <r>
    <s v="EOS1477"/>
    <d v="2026-03-20T00:00:00"/>
    <s v="FB"/>
    <s v="FB"/>
    <s v="Sunil Prajapati"/>
    <s v="Bhuj"/>
    <s v="Gujarat"/>
    <s v="Follow up "/>
    <n v="108000"/>
    <n v="1071476"/>
    <s v="Follow up"/>
    <x v="2"/>
    <m/>
    <s v=""/>
    <x v="0"/>
    <x v="10"/>
    <s v="Q1"/>
    <x v="0"/>
  </r>
  <r>
    <s v="EOS1478"/>
    <d v="2026-03-20T00:00:00"/>
    <s v="FB"/>
    <s v="FB"/>
    <s v="??RAAVAL MIHIIR?"/>
    <s v="Surat mandvi"/>
    <s v="Gujarat"/>
    <s v="Follow up "/>
    <n v="177000"/>
    <n v="1071477"/>
    <s v="Follow up"/>
    <x v="2"/>
    <m/>
    <s v=""/>
    <x v="1"/>
    <x v="10"/>
    <s v="Q1"/>
    <x v="0"/>
  </r>
  <r>
    <s v="EOS1479"/>
    <d v="2026-03-20T00:00:00"/>
    <s v="FB"/>
    <s v="FB"/>
    <s v="Chaudhari Naitik"/>
    <s v="Ahmedabad"/>
    <s v="Gujarat"/>
    <s v="Follow up "/>
    <n v="130000"/>
    <n v="1071478"/>
    <s v="Follow up"/>
    <x v="2"/>
    <m/>
    <s v=""/>
    <x v="0"/>
    <x v="10"/>
    <s v="Q1"/>
    <x v="0"/>
  </r>
  <r>
    <s v="EOS1480"/>
    <d v="2026-03-20T00:00:00"/>
    <s v="FB"/>
    <s v="FB"/>
    <s v="Prince vaitha"/>
    <s v="Godhra"/>
    <s v="Gujarat"/>
    <s v="Follow up "/>
    <n v="108000"/>
    <n v="1071479"/>
    <s v="Follow up"/>
    <x v="2"/>
    <m/>
    <s v=""/>
    <x v="0"/>
    <x v="10"/>
    <s v="Q1"/>
    <x v="0"/>
  </r>
  <r>
    <s v="EOS1481"/>
    <d v="2026-03-20T00:00:00"/>
    <s v="FB"/>
    <s v="FB"/>
    <s v="Panchal Siddharth"/>
    <s v="Gandhidham"/>
    <s v="Gujarat"/>
    <s v="Follow up "/>
    <n v="108000"/>
    <n v="1071480"/>
    <s v="Follow up"/>
    <x v="2"/>
    <m/>
    <s v=""/>
    <x v="0"/>
    <x v="10"/>
    <s v="Q1"/>
    <x v="0"/>
  </r>
  <r>
    <s v="EOS1482"/>
    <d v="2026-03-20T00:00:00"/>
    <s v="FB"/>
    <s v="FB"/>
    <s v="Bipin"/>
    <s v="Navsari"/>
    <s v="Gujarat"/>
    <s v="Follow up "/>
    <n v="108000"/>
    <n v="1071481"/>
    <s v="Follow up"/>
    <x v="2"/>
    <m/>
    <s v=""/>
    <x v="0"/>
    <x v="10"/>
    <s v="Q1"/>
    <x v="0"/>
  </r>
  <r>
    <s v="EOS1483"/>
    <d v="2026-03-20T00:00:00"/>
    <s v="FB"/>
    <s v="FB"/>
    <s v="Piyush Chauhan"/>
    <s v="Amreli"/>
    <s v="Gujarat"/>
    <s v="Follow up "/>
    <n v="108000"/>
    <n v="1071482"/>
    <s v="Follow up"/>
    <x v="2"/>
    <m/>
    <s v=""/>
    <x v="0"/>
    <x v="10"/>
    <s v="Q1"/>
    <x v="0"/>
  </r>
  <r>
    <s v="EOS1484"/>
    <d v="2026-03-20T00:00:00"/>
    <s v="FB"/>
    <s v="FB"/>
    <s v="Vivek Borsaniya"/>
    <s v="Rajkot"/>
    <s v="Gujarat"/>
    <s v="Follow up "/>
    <n v="130000"/>
    <n v="1071483"/>
    <s v="Follow up"/>
    <x v="2"/>
    <m/>
    <s v=""/>
    <x v="0"/>
    <x v="10"/>
    <s v="Q1"/>
    <x v="0"/>
  </r>
  <r>
    <s v="EOS1485"/>
    <d v="2026-03-20T00:00:00"/>
    <s v="FB"/>
    <s v="FB"/>
    <s v="Nikhil"/>
    <s v="Rajkot"/>
    <s v="Gujarat"/>
    <s v="Follow up "/>
    <n v="108000"/>
    <n v="1071484"/>
    <s v="Follow up"/>
    <x v="2"/>
    <m/>
    <s v=""/>
    <x v="0"/>
    <x v="10"/>
    <s v="Q1"/>
    <x v="0"/>
  </r>
  <r>
    <s v="EOS1486"/>
    <d v="2026-03-21T00:00:00"/>
    <s v="FB"/>
    <s v="FB"/>
    <s v="Alkesh Suba"/>
    <s v="Jetpur"/>
    <s v="Gujarat"/>
    <s v="Follow up "/>
    <n v="130000"/>
    <n v="1071485"/>
    <s v="Follow up"/>
    <x v="2"/>
    <m/>
    <s v=""/>
    <x v="0"/>
    <x v="10"/>
    <s v="Q1"/>
    <x v="0"/>
  </r>
  <r>
    <s v="EOS1487"/>
    <d v="2026-03-21T00:00:00"/>
    <s v="FB"/>
    <s v="FB"/>
    <s v="Kanji Tilavat"/>
    <m/>
    <s v="Gujarat"/>
    <s v="Follow up "/>
    <n v="108000"/>
    <n v="1071486"/>
    <s v="Follow up"/>
    <x v="2"/>
    <m/>
    <s v=""/>
    <x v="0"/>
    <x v="10"/>
    <s v="Q1"/>
    <x v="0"/>
  </r>
  <r>
    <s v="EOS1488"/>
    <d v="2026-03-21T00:00:00"/>
    <s v="FB"/>
    <s v="FB"/>
    <s v="Pran Singh Pa"/>
    <s v="Vishnagar "/>
    <s v="Gujarat"/>
    <s v="Deal "/>
    <n v="108000"/>
    <n v="1071487"/>
    <s v="Deal Done"/>
    <x v="1"/>
    <d v="2026-04-01T00:00:00"/>
    <n v="11"/>
    <x v="0"/>
    <x v="10"/>
    <s v="Q1"/>
    <x v="0"/>
  </r>
  <r>
    <s v="EOS1489"/>
    <d v="2026-03-21T00:00:00"/>
    <s v="FB "/>
    <s v="FB"/>
    <s v="Dev Patel "/>
    <s v="Botad"/>
    <s v="Gujarat"/>
    <s v="Rejected"/>
    <n v="130000"/>
    <n v="1071488"/>
    <s v="Rejected"/>
    <x v="0"/>
    <m/>
    <s v=""/>
    <x v="0"/>
    <x v="10"/>
    <s v="Q1"/>
    <x v="0"/>
  </r>
  <r>
    <s v="EOS1490"/>
    <d v="2026-03-23T00:00:00"/>
    <s v="FB"/>
    <s v="FB"/>
    <s v="Afjal Minapars"/>
    <s v="Vadodara"/>
    <s v="Gujarat"/>
    <s v="Follow up "/>
    <n v="130000"/>
    <n v="1071489"/>
    <s v="Follow up"/>
    <x v="2"/>
    <m/>
    <s v=""/>
    <x v="0"/>
    <x v="10"/>
    <s v="Q1"/>
    <x v="0"/>
  </r>
  <r>
    <s v="EOS1491"/>
    <d v="2026-03-23T00:00:00"/>
    <s v="FB"/>
    <s v="FB"/>
    <s v="Sunil Patel"/>
    <s v="Ahmedabad"/>
    <s v="Gujarat"/>
    <s v="Follow up "/>
    <n v="130000"/>
    <n v="1071490"/>
    <s v="Follow up"/>
    <x v="2"/>
    <m/>
    <s v=""/>
    <x v="0"/>
    <x v="10"/>
    <s v="Q1"/>
    <x v="0"/>
  </r>
  <r>
    <s v="EOS1492"/>
    <d v="2026-03-23T00:00:00"/>
    <s v="FB"/>
    <s v="FB"/>
    <s v="Hiren Koshti"/>
    <s v="Surat"/>
    <s v="Gujarat"/>
    <s v="Follow up "/>
    <n v="130000"/>
    <n v="1071491"/>
    <s v="Follow up"/>
    <x v="2"/>
    <m/>
    <s v=""/>
    <x v="0"/>
    <x v="10"/>
    <s v="Q1"/>
    <x v="0"/>
  </r>
  <r>
    <s v="EOS1493"/>
    <d v="2026-03-23T00:00:00"/>
    <s v="FB"/>
    <s v="FB"/>
    <s v="Rashtrapal Vankhede"/>
    <s v="Dabhoi"/>
    <s v="Gujarat"/>
    <s v="Follow up "/>
    <n v="130000"/>
    <n v="1071492"/>
    <s v="Follow up"/>
    <x v="2"/>
    <m/>
    <s v=""/>
    <x v="0"/>
    <x v="10"/>
    <s v="Q1"/>
    <x v="0"/>
  </r>
  <r>
    <s v="EOS1494"/>
    <d v="2026-03-23T00:00:00"/>
    <s v="FB"/>
    <s v="FB"/>
    <s v="Mansuri Sohil"/>
    <s v="mahuava"/>
    <s v="Gujarat"/>
    <s v="Follow up "/>
    <n v="108000"/>
    <n v="1071493"/>
    <s v="Follow up"/>
    <x v="2"/>
    <m/>
    <s v=""/>
    <x v="0"/>
    <x v="10"/>
    <s v="Q1"/>
    <x v="0"/>
  </r>
  <r>
    <s v="EOS1495"/>
    <d v="2026-03-23T00:00:00"/>
    <s v="FB"/>
    <s v="FB"/>
    <s v="Idris Shahidbhai Saiyad"/>
    <s v="Ahmedabad"/>
    <s v="Gujarat"/>
    <s v="Follow up "/>
    <n v="130000"/>
    <n v="1071494"/>
    <s v="Follow up"/>
    <x v="2"/>
    <m/>
    <s v=""/>
    <x v="0"/>
    <x v="10"/>
    <s v="Q1"/>
    <x v="0"/>
  </r>
  <r>
    <s v="EOS1496"/>
    <d v="2026-03-24T00:00:00"/>
    <s v="FB"/>
    <s v="FB"/>
    <s v="Sanjay thakor"/>
    <s v="Rajkot"/>
    <s v="Gujarat"/>
    <s v="Follow up "/>
    <n v="108000"/>
    <n v="1071495"/>
    <s v="Follow up"/>
    <x v="2"/>
    <m/>
    <s v=""/>
    <x v="0"/>
    <x v="10"/>
    <s v="Q1"/>
    <x v="0"/>
  </r>
  <r>
    <s v="EOS1497"/>
    <d v="2026-03-24T00:00:00"/>
    <s v="FB"/>
    <s v="FB"/>
    <s v="Dhaval gohel"/>
    <s v="Sitapur"/>
    <s v="Uttar Pradesh"/>
    <s v="Follow up "/>
    <n v="130000"/>
    <n v="1071496"/>
    <s v="Follow up"/>
    <x v="2"/>
    <m/>
    <s v=""/>
    <x v="0"/>
    <x v="10"/>
    <s v="Q1"/>
    <x v="1"/>
  </r>
  <r>
    <s v="EOS1498"/>
    <d v="2026-03-24T00:00:00"/>
    <s v="FB"/>
    <s v="FB"/>
    <s v="Mo Irfan Riyaj"/>
    <m/>
    <s v="Uttar Pradesh"/>
    <s v="Follow up "/>
    <n v="177000"/>
    <n v="1071497"/>
    <s v="Follow up"/>
    <x v="2"/>
    <m/>
    <s v=""/>
    <x v="1"/>
    <x v="10"/>
    <s v="Q1"/>
    <x v="1"/>
  </r>
  <r>
    <s v="EOS1499"/>
    <d v="2026-03-24T00:00:00"/>
    <s v="FB"/>
    <s v="FB"/>
    <s v="Ramendra singh"/>
    <s v="Morbi"/>
    <s v="Gujarat"/>
    <s v="Follow up "/>
    <n v="108000"/>
    <n v="1071498"/>
    <s v="Follow up"/>
    <x v="2"/>
    <m/>
    <s v=""/>
    <x v="0"/>
    <x v="10"/>
    <s v="Q1"/>
    <x v="0"/>
  </r>
  <r>
    <s v="EOS1500"/>
    <d v="2026-03-24T00:00:00"/>
    <s v="FB"/>
    <s v="FB"/>
    <s v=" Daud Chaniya"/>
    <s v="Ahmedabad"/>
    <s v="Gujarat"/>
    <s v="Follow up "/>
    <n v="130000"/>
    <n v="1071499"/>
    <s v="Follow up"/>
    <x v="2"/>
    <m/>
    <s v=""/>
    <x v="0"/>
    <x v="10"/>
    <s v="Q1"/>
    <x v="0"/>
  </r>
  <r>
    <s v="EOS1501"/>
    <d v="2026-03-24T00:00:00"/>
    <s v="FB"/>
    <s v="FB"/>
    <s v="Mahesh bhai"/>
    <s v="Varanasi"/>
    <s v="Uttar Pradesh"/>
    <s v="Follow up "/>
    <n v="130000"/>
    <n v="1071500"/>
    <s v="Follow up"/>
    <x v="2"/>
    <m/>
    <s v=""/>
    <x v="0"/>
    <x v="10"/>
    <s v="Q1"/>
    <x v="1"/>
  </r>
  <r>
    <s v="EOS1502"/>
    <d v="2026-03-24T00:00:00"/>
    <s v="FB"/>
    <s v="FB"/>
    <s v="Aniketsoni"/>
    <s v="jaso"/>
    <s v="Madhya Pradesh"/>
    <s v="Follow up "/>
    <n v="108000"/>
    <n v="1071501"/>
    <s v="Follow up"/>
    <x v="2"/>
    <m/>
    <s v=""/>
    <x v="0"/>
    <x v="10"/>
    <s v="Q1"/>
    <x v="2"/>
  </r>
  <r>
    <s v="EOS1503"/>
    <d v="2026-03-24T00:00:00"/>
    <s v="FB"/>
    <s v="FB"/>
    <s v="Rohit Singh Parihar"/>
    <m/>
    <m/>
    <s v="Follow up "/>
    <n v="108000"/>
    <n v="1071502"/>
    <s v="Follow up"/>
    <x v="2"/>
    <m/>
    <s v=""/>
    <x v="0"/>
    <x v="10"/>
    <s v="Q1"/>
    <x v="4"/>
  </r>
  <r>
    <s v="EOS1504"/>
    <d v="2026-03-24T00:00:00"/>
    <s v="FB"/>
    <s v="FB"/>
    <s v="CHANDEGARA HARSH A"/>
    <s v=" Bhavnagar"/>
    <s v="Gujarat "/>
    <s v="Follow up "/>
    <n v="130000"/>
    <n v="1071503"/>
    <s v="Follow up"/>
    <x v="2"/>
    <m/>
    <s v=""/>
    <x v="0"/>
    <x v="10"/>
    <s v="Q1"/>
    <x v="0"/>
  </r>
  <r>
    <s v="EOS1505"/>
    <d v="2025-10-22T00:00:00"/>
    <s v="FB"/>
    <s v="FB"/>
    <s v="Nirav ratnottar"/>
    <s v="Bhuj"/>
    <s v="Gujarat"/>
    <m/>
    <n v="130000"/>
    <n v="1071504"/>
    <s v=""/>
    <x v="3"/>
    <m/>
    <s v=""/>
    <x v="0"/>
    <x v="6"/>
    <s v="Q4"/>
    <x v="0"/>
  </r>
  <r>
    <s v="EOS1506"/>
    <d v="2026-04-01T00:00:00"/>
    <s v="FB"/>
    <s v="FB"/>
    <s v="Madhavi Bhatt"/>
    <s v="idar"/>
    <s v="Gujarat"/>
    <m/>
    <n v="108000"/>
    <n v="1071505"/>
    <s v=""/>
    <x v="3"/>
    <m/>
    <s v=""/>
    <x v="0"/>
    <x v="4"/>
    <s v="Q2"/>
    <x v="0"/>
  </r>
  <r>
    <s v="EOS1507"/>
    <d v="2026-04-01T00:00:00"/>
    <s v="FB"/>
    <s v="FB"/>
    <s v="divyapalsinh Bhupendrasinh rathod "/>
    <s v="Ahmedabad"/>
    <s v="Gujarat"/>
    <m/>
    <n v="108000"/>
    <n v="1071506"/>
    <s v=""/>
    <x v="3"/>
    <m/>
    <s v=""/>
    <x v="0"/>
    <x v="4"/>
    <s v="Q2"/>
    <x v="0"/>
  </r>
  <r>
    <s v="EOS1508"/>
    <d v="2026-04-01T00:00:00"/>
    <s v="FB"/>
    <s v="FB"/>
    <s v="Sunilgiri Goswami"/>
    <s v="vadodara "/>
    <s v="Gujarat"/>
    <m/>
    <n v="177000"/>
    <n v="1071507"/>
    <s v=""/>
    <x v="3"/>
    <m/>
    <s v=""/>
    <x v="1"/>
    <x v="4"/>
    <s v="Q2"/>
    <x v="0"/>
  </r>
  <r>
    <s v="EOS1509"/>
    <d v="2026-04-01T00:00:00"/>
    <s v="FB"/>
    <s v="FB"/>
    <s v="Vivek arunraop"/>
    <s v="Ahmedabad"/>
    <s v="Gujarat"/>
    <m/>
    <n v="108000"/>
    <n v="1071508"/>
    <s v=""/>
    <x v="3"/>
    <m/>
    <s v=""/>
    <x v="0"/>
    <x v="4"/>
    <s v="Q2"/>
    <x v="0"/>
  </r>
  <r>
    <s v="EOS1510"/>
    <d v="2026-04-01T00:00:00"/>
    <s v="FB"/>
    <s v="FB"/>
    <s v="krartik patel"/>
    <s v="Himatnagar"/>
    <s v="Gujarat"/>
    <m/>
    <n v="177000"/>
    <n v="1071509"/>
    <s v=""/>
    <x v="3"/>
    <m/>
    <s v=""/>
    <x v="1"/>
    <x v="4"/>
    <s v="Q2"/>
    <x v="0"/>
  </r>
  <r>
    <s v="EOS1511"/>
    <d v="2026-04-01T00:00:00"/>
    <s v="FB"/>
    <s v="FB"/>
    <s v="Darshan Doshi"/>
    <s v="Mainpuri"/>
    <s v="Uttar Pradesh"/>
    <m/>
    <n v="108000"/>
    <n v="1071510"/>
    <s v=""/>
    <x v="3"/>
    <m/>
    <s v=""/>
    <x v="0"/>
    <x v="4"/>
    <s v="Q2"/>
    <x v="1"/>
  </r>
  <r>
    <s v="EOS1512"/>
    <d v="2026-04-01T00:00:00"/>
    <s v="FB"/>
    <s v="FB"/>
    <s v="Gopal chauhan"/>
    <s v="Samastipur"/>
    <s v="Bihar"/>
    <m/>
    <n v="177000"/>
    <n v="1071511"/>
    <s v=""/>
    <x v="3"/>
    <m/>
    <s v=""/>
    <x v="1"/>
    <x v="4"/>
    <s v="Q2"/>
    <x v="3"/>
  </r>
  <r>
    <s v="EOS1513"/>
    <d v="2026-04-02T00:00:00"/>
    <s v="FB"/>
    <s v="FB"/>
    <s v="Navin Singh"/>
    <s v="Rajkot "/>
    <s v="Gujarat"/>
    <m/>
    <n v="177000"/>
    <n v="1071512"/>
    <s v=""/>
    <x v="3"/>
    <m/>
    <s v=""/>
    <x v="1"/>
    <x v="4"/>
    <s v="Q2"/>
    <x v="0"/>
  </r>
  <r>
    <s v="EOS1514"/>
    <d v="2026-04-02T00:00:00"/>
    <s v="FB"/>
    <s v="FB"/>
    <s v="Akshay Patel "/>
    <s v="Surat"/>
    <s v="Gujarat"/>
    <m/>
    <n v="177000"/>
    <n v="1071513"/>
    <s v=""/>
    <x v="3"/>
    <m/>
    <s v=""/>
    <x v="1"/>
    <x v="4"/>
    <s v="Q2"/>
    <x v="0"/>
  </r>
  <r>
    <s v="EOS1515"/>
    <d v="2026-04-02T00:00:00"/>
    <s v="FB"/>
    <s v="FB"/>
    <s v="Mohammed memo"/>
    <s v="Surat"/>
    <s v="Gujarat"/>
    <m/>
    <n v="108000"/>
    <n v="1071514"/>
    <s v=""/>
    <x v="3"/>
    <m/>
    <s v=""/>
    <x v="0"/>
    <x v="4"/>
    <s v="Q2"/>
    <x v="0"/>
  </r>
  <r>
    <s v="EOS1516"/>
    <d v="2026-04-02T00:00:00"/>
    <s v="FB"/>
    <s v="FB"/>
    <s v="Raju Boliya"/>
    <s v="Botad"/>
    <s v="Gujarat"/>
    <m/>
    <n v="130000"/>
    <n v="1071515"/>
    <s v=""/>
    <x v="3"/>
    <m/>
    <s v=""/>
    <x v="0"/>
    <x v="4"/>
    <s v="Q2"/>
    <x v="0"/>
  </r>
  <r>
    <s v="EOS1517"/>
    <d v="2026-04-02T00:00:00"/>
    <s v="FB"/>
    <s v="FB"/>
    <s v="Arman "/>
    <s v="Junagadh"/>
    <s v="Gujarat"/>
    <m/>
    <n v="130000"/>
    <n v="1071516"/>
    <s v=""/>
    <x v="3"/>
    <m/>
    <s v=""/>
    <x v="0"/>
    <x v="4"/>
    <s v="Q2"/>
    <x v="0"/>
  </r>
  <r>
    <s v="EOS1518"/>
    <d v="2026-04-02T00:00:00"/>
    <s v="FB"/>
    <s v="FB"/>
    <s v="Jaydip Ram"/>
    <s v="Mangrol"/>
    <s v="Gujarat"/>
    <m/>
    <n v="108000"/>
    <n v="1071517"/>
    <s v=""/>
    <x v="3"/>
    <m/>
    <s v=""/>
    <x v="0"/>
    <x v="4"/>
    <s v="Q2"/>
    <x v="0"/>
  </r>
  <r>
    <s v="EOS1519"/>
    <d v="2026-04-02T00:00:00"/>
    <s v="FB"/>
    <s v="FB"/>
    <s v="Hamzu Shaikh "/>
    <s v="Visnagar"/>
    <s v="Gujarat"/>
    <m/>
    <n v="108000"/>
    <n v="1071518"/>
    <s v=""/>
    <x v="3"/>
    <m/>
    <s v=""/>
    <x v="0"/>
    <x v="4"/>
    <s v="Q2"/>
    <x v="0"/>
  </r>
  <r>
    <s v="EOS1520"/>
    <d v="2026-04-02T00:00:00"/>
    <s v="FB"/>
    <s v="FB"/>
    <s v="Chand Patel "/>
    <s v="Samana"/>
    <s v="Punjab"/>
    <m/>
    <n v="130000"/>
    <n v="1071519"/>
    <s v=""/>
    <x v="3"/>
    <m/>
    <s v=""/>
    <x v="0"/>
    <x v="4"/>
    <s v="Q2"/>
    <x v="1"/>
  </r>
  <r>
    <s v="EOS1521"/>
    <d v="2026-04-02T00:00:00"/>
    <s v="FB"/>
    <s v="FB"/>
    <s v="Manav Garg"/>
    <s v="Etawah "/>
    <s v="Uttar Pradesh"/>
    <m/>
    <n v="130000"/>
    <n v="1071520"/>
    <s v=""/>
    <x v="3"/>
    <m/>
    <s v=""/>
    <x v="0"/>
    <x v="4"/>
    <s v="Q2"/>
    <x v="1"/>
  </r>
  <r>
    <s v="EOS1522"/>
    <d v="2026-04-02T00:00:00"/>
    <s v="FB"/>
    <s v="FB"/>
    <s v="Jeetu Yadav "/>
    <m/>
    <s v="Maharashtra"/>
    <m/>
    <n v="108000"/>
    <n v="1071521"/>
    <s v=""/>
    <x v="3"/>
    <m/>
    <s v=""/>
    <x v="0"/>
    <x v="4"/>
    <s v="Q2"/>
    <x v="0"/>
  </r>
  <r>
    <s v="EOS1523"/>
    <d v="2026-04-02T00:00:00"/>
    <s v="WA"/>
    <m/>
    <s v="Vidya Shinde "/>
    <s v="Surendranagar"/>
    <s v="Gujarat"/>
    <m/>
    <n v="177000"/>
    <n v="1071522"/>
    <s v=""/>
    <x v="3"/>
    <m/>
    <s v=""/>
    <x v="1"/>
    <x v="4"/>
    <s v="Q2"/>
    <x v="0"/>
  </r>
  <r>
    <s v="EOS1524"/>
    <d v="2026-04-02T00:00:00"/>
    <s v="FB"/>
    <s v="FB"/>
    <s v=" Mr Bharvad"/>
    <s v="Surat"/>
    <s v="Gujarat"/>
    <m/>
    <n v="108000"/>
    <n v="1071523"/>
    <s v=""/>
    <x v="3"/>
    <m/>
    <s v=""/>
    <x v="0"/>
    <x v="4"/>
    <s v="Q2"/>
    <x v="0"/>
  </r>
  <r>
    <s v="EOS1525"/>
    <d v="2026-04-02T00:00:00"/>
    <s v="FB"/>
    <s v="FB"/>
    <s v="Bhagirath Talaviya"/>
    <s v="Vadodara"/>
    <s v="Gujarat"/>
    <m/>
    <n v="177000"/>
    <n v="1071524"/>
    <s v=""/>
    <x v="3"/>
    <m/>
    <s v=""/>
    <x v="1"/>
    <x v="4"/>
    <s v="Q2"/>
    <x v="0"/>
  </r>
  <r>
    <s v="EOS1526"/>
    <d v="2026-04-03T00:00:00"/>
    <s v="FB"/>
    <s v="FB"/>
    <s v="Aabid Bhai"/>
    <s v="visanagar"/>
    <s v="Gujarat"/>
    <m/>
    <n v="130000"/>
    <n v="1071525"/>
    <s v=""/>
    <x v="3"/>
    <m/>
    <s v=""/>
    <x v="0"/>
    <x v="4"/>
    <s v="Q2"/>
    <x v="0"/>
  </r>
  <r>
    <s v="EOS1527"/>
    <d v="2026-04-03T00:00:00"/>
    <s v="FB"/>
    <s v="FB"/>
    <s v="Chaudhari Dhaval "/>
    <s v="siddhpur"/>
    <s v="Gujarat"/>
    <m/>
    <n v="130000"/>
    <n v="1071526"/>
    <s v=""/>
    <x v="3"/>
    <m/>
    <s v=""/>
    <x v="0"/>
    <x v="4"/>
    <s v="Q2"/>
    <x v="0"/>
  </r>
  <r>
    <s v="EOS1528"/>
    <d v="2026-04-04T00:00:00"/>
    <s v="FB"/>
    <s v="FB"/>
    <s v="moghaji thakor "/>
    <s v="Rajkot"/>
    <s v="Gujarat"/>
    <m/>
    <n v="177000"/>
    <n v="1071527"/>
    <s v=""/>
    <x v="3"/>
    <m/>
    <s v=""/>
    <x v="1"/>
    <x v="4"/>
    <s v="Q2"/>
    <x v="0"/>
  </r>
  <r>
    <s v="EOS1529"/>
    <d v="2026-04-04T00:00:00"/>
    <s v="FB"/>
    <s v="FB"/>
    <s v="Vihan "/>
    <s v="Kalol "/>
    <s v="Gujarat"/>
    <m/>
    <n v="108000"/>
    <n v="1071528"/>
    <s v=""/>
    <x v="3"/>
    <m/>
    <s v=""/>
    <x v="0"/>
    <x v="4"/>
    <s v="Q2"/>
    <x v="0"/>
  </r>
  <r>
    <s v="EOS1530"/>
    <d v="2026-04-04T00:00:00"/>
    <s v="FB"/>
    <s v="FB"/>
    <s v="Aadi "/>
    <s v="Vadodara"/>
    <s v="Gujarat"/>
    <m/>
    <n v="108000"/>
    <n v="1071529"/>
    <s v=""/>
    <x v="3"/>
    <m/>
    <s v=""/>
    <x v="0"/>
    <x v="4"/>
    <s v="Q2"/>
    <x v="0"/>
  </r>
  <r>
    <s v="EOS1531"/>
    <d v="2026-04-04T00:00:00"/>
    <s v="FB"/>
    <s v="FB"/>
    <s v="Bharatbhai zaverbhai rohit "/>
    <s v="Gandhidham"/>
    <s v="Gujarat"/>
    <m/>
    <n v="130000"/>
    <n v="1071530"/>
    <s v=""/>
    <x v="3"/>
    <m/>
    <s v=""/>
    <x v="0"/>
    <x v="4"/>
    <s v="Q2"/>
    <x v="0"/>
  </r>
  <r>
    <s v="EOS1532"/>
    <d v="2026-04-04T00:00:00"/>
    <s v="FB"/>
    <s v="FB"/>
    <s v="Ranjit Shih Bapu "/>
    <s v="rohtak"/>
    <s v="Haryana"/>
    <m/>
    <n v="130000"/>
    <n v="1071531"/>
    <s v=""/>
    <x v="3"/>
    <m/>
    <s v=""/>
    <x v="0"/>
    <x v="4"/>
    <s v="Q2"/>
    <x v="1"/>
  </r>
  <r>
    <s v="EOS1533"/>
    <d v="2026-04-04T00:00:00"/>
    <s v="FB"/>
    <s v="FB"/>
    <s v="Kavita Sharma"/>
    <s v="Safidon"/>
    <s v="Haryana"/>
    <m/>
    <n v="108000"/>
    <n v="1071532"/>
    <s v=""/>
    <x v="3"/>
    <m/>
    <s v=""/>
    <x v="0"/>
    <x v="4"/>
    <s v="Q2"/>
    <x v="1"/>
  </r>
  <r>
    <s v="EOS1534"/>
    <d v="2026-04-04T00:00:00"/>
    <s v="FB"/>
    <s v="FB"/>
    <s v="Mohit "/>
    <s v="Indore"/>
    <s v="Madhya Pradesh"/>
    <m/>
    <n v="108000"/>
    <n v="1071533"/>
    <s v=""/>
    <x v="3"/>
    <m/>
    <s v=""/>
    <x v="0"/>
    <x v="4"/>
    <s v="Q2"/>
    <x v="2"/>
  </r>
  <r>
    <s v="EOS1535"/>
    <d v="2026-04-04T00:00:00"/>
    <s v="FB"/>
    <s v="FB"/>
    <s v="Ankit Pal"/>
    <s v="Indore"/>
    <s v="Madhya Pradesh"/>
    <m/>
    <n v="177000"/>
    <n v="1071534"/>
    <s v=""/>
    <x v="3"/>
    <m/>
    <s v=""/>
    <x v="1"/>
    <x v="4"/>
    <s v="Q2"/>
    <x v="2"/>
  </r>
  <r>
    <s v="EOS1536"/>
    <d v="2026-04-04T00:00:00"/>
    <s v="FB"/>
    <s v="FB"/>
    <s v="Shalendra Rathore"/>
    <m/>
    <s v="Gujarat"/>
    <m/>
    <n v="130000"/>
    <n v="1071535"/>
    <s v=""/>
    <x v="3"/>
    <m/>
    <s v=""/>
    <x v="0"/>
    <x v="4"/>
    <s v="Q2"/>
    <x v="0"/>
  </r>
  <r>
    <s v="EOS1537"/>
    <d v="2026-04-06T00:00:00"/>
    <s v="FB"/>
    <s v="FB"/>
    <s v="DIVYESH NATHA"/>
    <m/>
    <s v="Gujarat"/>
    <m/>
    <n v="130000"/>
    <n v="1071536"/>
    <s v=""/>
    <x v="3"/>
    <m/>
    <s v=""/>
    <x v="0"/>
    <x v="4"/>
    <s v="Q2"/>
    <x v="0"/>
  </r>
  <r>
    <s v="EOS1538"/>
    <d v="2026-04-06T00:00:00"/>
    <s v="FB"/>
    <s v="FB"/>
    <s v="Devesh solanki "/>
    <s v="Wankaner"/>
    <s v="Gujarat"/>
    <m/>
    <n v="108000"/>
    <n v="1071537"/>
    <s v=""/>
    <x v="3"/>
    <m/>
    <s v=""/>
    <x v="0"/>
    <x v="4"/>
    <s v="Q2"/>
    <x v="0"/>
  </r>
  <r>
    <s v="EOS1539"/>
    <d v="2026-04-06T00:00:00"/>
    <s v="FB"/>
    <s v="FB"/>
    <s v="Alam bhai "/>
    <s v="Surendranagar"/>
    <s v="Gujarat"/>
    <m/>
    <n v="108000"/>
    <n v="1071538"/>
    <s v=""/>
    <x v="3"/>
    <m/>
    <s v=""/>
    <x v="0"/>
    <x v="4"/>
    <s v="Q2"/>
    <x v="0"/>
  </r>
  <r>
    <s v="EOS1540"/>
    <d v="2026-04-06T00:00:00"/>
    <s v="FB"/>
    <s v="FB"/>
    <s v="smit Madhar"/>
    <s v="Ahmedabad"/>
    <s v="Gujarat"/>
    <m/>
    <n v="108000"/>
    <n v="1071539"/>
    <s v=""/>
    <x v="3"/>
    <m/>
    <s v=""/>
    <x v="0"/>
    <x v="4"/>
    <s v="Q2"/>
    <x v="0"/>
  </r>
  <r>
    <s v="EOS1541"/>
    <d v="2026-04-06T00:00:00"/>
    <s v="FB"/>
    <s v="FB"/>
    <s v="Parth Borad"/>
    <m/>
    <s v="Gujarat"/>
    <m/>
    <n v="108000"/>
    <n v="1071540"/>
    <s v=""/>
    <x v="3"/>
    <m/>
    <s v=""/>
    <x v="0"/>
    <x v="4"/>
    <s v="Q2"/>
    <x v="0"/>
  </r>
  <r>
    <s v="EOS1542"/>
    <d v="2026-04-06T00:00:00"/>
    <s v="FB"/>
    <s v="FB"/>
    <s v="Somnth  Patil"/>
    <s v="Vadodara"/>
    <s v="Gujarat"/>
    <m/>
    <n v="130000"/>
    <n v="1071541"/>
    <s v=""/>
    <x v="3"/>
    <m/>
    <s v=""/>
    <x v="0"/>
    <x v="4"/>
    <s v="Q2"/>
    <x v="0"/>
  </r>
  <r>
    <s v="EOS1543"/>
    <d v="2026-04-06T00:00:00"/>
    <s v="FB"/>
    <s v="FB"/>
    <s v="Shishupal Singh Chauhan Jhab"/>
    <s v="Ahmedabad"/>
    <s v="Gujarat"/>
    <m/>
    <n v="130000"/>
    <n v="1071542"/>
    <s v=""/>
    <x v="3"/>
    <m/>
    <s v=""/>
    <x v="0"/>
    <x v="4"/>
    <s v="Q2"/>
    <x v="0"/>
  </r>
  <r>
    <s v="EOS1544"/>
    <d v="2026-04-06T00:00:00"/>
    <s v="FB"/>
    <s v="FB"/>
    <s v="Sanny S Patel"/>
    <s v="Khambhalia"/>
    <s v="Gujarat"/>
    <m/>
    <n v="177000"/>
    <n v="1071543"/>
    <s v=""/>
    <x v="3"/>
    <m/>
    <s v=""/>
    <x v="1"/>
    <x v="4"/>
    <s v="Q2"/>
    <x v="0"/>
  </r>
  <r>
    <s v="EOS1545"/>
    <d v="2026-04-06T00:00:00"/>
    <s v="FB"/>
    <s v="FB"/>
    <s v="Divyesh Modi"/>
    <s v="Bilkha"/>
    <s v="Gujarat"/>
    <m/>
    <n v="108000"/>
    <n v="1071544"/>
    <s v=""/>
    <x v="3"/>
    <m/>
    <s v=""/>
    <x v="0"/>
    <x v="4"/>
    <s v="Q2"/>
    <x v="0"/>
  </r>
  <r>
    <s v="EOS1546"/>
    <d v="2026-04-06T00:00:00"/>
    <s v="FB"/>
    <s v="FB"/>
    <s v="Wishal Virani"/>
    <s v="Ahmedabad"/>
    <s v="Gujarat"/>
    <m/>
    <n v="108000"/>
    <n v="1071545"/>
    <s v=""/>
    <x v="3"/>
    <m/>
    <s v=""/>
    <x v="0"/>
    <x v="4"/>
    <s v="Q2"/>
    <x v="0"/>
  </r>
  <r>
    <s v="EOS1547"/>
    <d v="2026-04-06T00:00:00"/>
    <s v="FB"/>
    <s v="FB"/>
    <s v="Anand Bhatt Ahmedabad"/>
    <s v="RANAVAV"/>
    <s v="Gujarat"/>
    <m/>
    <n v="108000"/>
    <n v="1071546"/>
    <s v=""/>
    <x v="3"/>
    <m/>
    <s v=""/>
    <x v="0"/>
    <x v="4"/>
    <s v="Q2"/>
    <x v="0"/>
  </r>
  <r>
    <s v="EOS1548"/>
    <d v="2026-04-06T00:00:00"/>
    <s v="FB"/>
    <s v="FB"/>
    <s v="dashrathsinh Makwana"/>
    <s v="Derdi khumbhajii"/>
    <s v="Gujarat"/>
    <m/>
    <n v="130000"/>
    <n v="1071547"/>
    <s v=""/>
    <x v="3"/>
    <m/>
    <s v=""/>
    <x v="0"/>
    <x v="4"/>
    <s v="Q2"/>
    <x v="0"/>
  </r>
  <r>
    <s v="EOS1549"/>
    <d v="2026-04-06T00:00:00"/>
    <s v="FB"/>
    <s v="FB"/>
    <s v="Bhaumik"/>
    <s v="Bhabhar"/>
    <s v="Gujarat"/>
    <m/>
    <n v="130000"/>
    <n v="1071548"/>
    <s v=""/>
    <x v="3"/>
    <m/>
    <s v=""/>
    <x v="0"/>
    <x v="4"/>
    <s v="Q2"/>
    <x v="0"/>
  </r>
  <r>
    <s v="EOS1550"/>
    <d v="2026-04-06T00:00:00"/>
    <s v="FB"/>
    <s v="FB"/>
    <s v="M R Chaudhary"/>
    <s v="Kapadawanj"/>
    <s v="Gujarat"/>
    <m/>
    <n v="108000"/>
    <n v="1071549"/>
    <s v=""/>
    <x v="3"/>
    <m/>
    <s v=""/>
    <x v="0"/>
    <x v="4"/>
    <s v="Q2"/>
    <x v="0"/>
  </r>
  <r>
    <s v="EOS1551"/>
    <d v="2026-04-07T00:00:00"/>
    <s v="FB"/>
    <s v="FB"/>
    <s v="Ayan Saiyad"/>
    <s v="Ghazipur"/>
    <s v="Uttar Pradesh"/>
    <m/>
    <n v="130000"/>
    <n v="1071550"/>
    <s v=""/>
    <x v="3"/>
    <m/>
    <s v=""/>
    <x v="0"/>
    <x v="4"/>
    <s v="Q2"/>
    <x v="1"/>
  </r>
  <r>
    <s v="EOS1552"/>
    <d v="2026-04-07T00:00:00"/>
    <s v="FB"/>
    <s v="FB"/>
    <s v="Sushil Kumar Gupta"/>
    <s v="Ballia"/>
    <s v="Uttar Pradesh"/>
    <m/>
    <n v="130000"/>
    <n v="1071551"/>
    <s v=""/>
    <x v="3"/>
    <m/>
    <s v=""/>
    <x v="0"/>
    <x v="4"/>
    <s v="Q2"/>
    <x v="1"/>
  </r>
  <r>
    <s v="EOS1553"/>
    <d v="2026-04-07T00:00:00"/>
    <s v="FB"/>
    <s v="FB"/>
    <s v="Amit Prajapati"/>
    <s v="Khambhalia"/>
    <s v="Gujarat"/>
    <m/>
    <n v="130000"/>
    <n v="1071552"/>
    <s v=""/>
    <x v="3"/>
    <m/>
    <s v=""/>
    <x v="0"/>
    <x v="4"/>
    <s v="Q2"/>
    <x v="0"/>
  </r>
  <r>
    <s v="EOS1554"/>
    <d v="2026-04-07T00:00:00"/>
    <s v="FB"/>
    <s v="FB"/>
    <s v="Divyesh Modi"/>
    <s v="Bilkha"/>
    <s v="Gujarat"/>
    <m/>
    <n v="177000"/>
    <n v="1071553"/>
    <s v=""/>
    <x v="3"/>
    <m/>
    <s v=""/>
    <x v="1"/>
    <x v="4"/>
    <s v="Q2"/>
    <x v="0"/>
  </r>
  <r>
    <s v="EOS1555"/>
    <d v="2026-04-08T00:00:00"/>
    <s v="FB"/>
    <s v="FB"/>
    <s v="Wishal Virani"/>
    <s v="Ahmedabad"/>
    <s v="Gujarat"/>
    <m/>
    <n v="130000"/>
    <n v="1071554"/>
    <s v=""/>
    <x v="3"/>
    <m/>
    <s v=""/>
    <x v="0"/>
    <x v="4"/>
    <s v="Q2"/>
    <x v="0"/>
  </r>
  <r>
    <s v="EOS1556"/>
    <d v="2026-04-08T00:00:00"/>
    <s v="FB"/>
    <s v="FB"/>
    <s v="Anand Bhatt Ahmedabad"/>
    <s v="RANAVAV"/>
    <s v="Gujarat"/>
    <m/>
    <n v="130000"/>
    <n v="1071555"/>
    <s v=""/>
    <x v="3"/>
    <m/>
    <s v=""/>
    <x v="0"/>
    <x v="4"/>
    <s v="Q2"/>
    <x v="0"/>
  </r>
  <r>
    <s v="EOS1557"/>
    <d v="2026-04-08T00:00:00"/>
    <s v="FB"/>
    <s v="FB"/>
    <s v="dashrathsinh Makwana"/>
    <s v="Derdi khumbhajii"/>
    <s v="Gujarat"/>
    <m/>
    <n v="130000"/>
    <n v="1071556"/>
    <s v=""/>
    <x v="3"/>
    <m/>
    <s v=""/>
    <x v="0"/>
    <x v="4"/>
    <s v="Q2"/>
    <x v="0"/>
  </r>
  <r>
    <s v="EOS1558"/>
    <d v="2026-04-08T00:00:00"/>
    <s v="FB"/>
    <s v="FB"/>
    <s v="Bhaumik"/>
    <s v="Bhabhar"/>
    <s v="Gujarat"/>
    <m/>
    <n v="130000"/>
    <n v="1071557"/>
    <s v=""/>
    <x v="3"/>
    <m/>
    <s v=""/>
    <x v="0"/>
    <x v="4"/>
    <s v="Q2"/>
    <x v="0"/>
  </r>
  <r>
    <s v="EOS1559"/>
    <d v="2026-04-09T00:00:00"/>
    <s v="FB"/>
    <s v="FB"/>
    <s v="M R Chaudhary"/>
    <s v="Kapadawanj"/>
    <s v="Gujarat"/>
    <m/>
    <n v="108000"/>
    <n v="1071558"/>
    <s v=""/>
    <x v="3"/>
    <m/>
    <s v=""/>
    <x v="0"/>
    <x v="4"/>
    <s v="Q2"/>
    <x v="0"/>
  </r>
  <r>
    <s v="EOS1560"/>
    <d v="2026-04-10T00:00:00"/>
    <s v="FB"/>
    <s v="FB"/>
    <s v="Ayan Saiyad"/>
    <s v="Ghazipur"/>
    <s v="Uttar Pradesh"/>
    <m/>
    <n v="130000"/>
    <n v="1071559"/>
    <s v=""/>
    <x v="3"/>
    <m/>
    <s v=""/>
    <x v="0"/>
    <x v="4"/>
    <s v="Q2"/>
    <x v="1"/>
  </r>
  <r>
    <s v="EOS1561"/>
    <d v="2026-04-10T00:00:00"/>
    <s v="FB"/>
    <s v="FB"/>
    <s v="Sushil Kumar Gupta"/>
    <s v="Ballia"/>
    <s v="Uttar Pradesh"/>
    <m/>
    <n v="177000"/>
    <n v="1071560"/>
    <s v=""/>
    <x v="3"/>
    <m/>
    <s v=""/>
    <x v="1"/>
    <x v="4"/>
    <s v="Q2"/>
    <x v="1"/>
  </r>
  <r>
    <s v="EOS1562"/>
    <d v="2026-04-10T00:00:00"/>
    <s v="FB"/>
    <s v="FB"/>
    <s v="Amit Prajapati"/>
    <s v="Nadiad"/>
    <s v="Gujarat"/>
    <m/>
    <n v="108000"/>
    <n v="1071561"/>
    <s v=""/>
    <x v="3"/>
    <m/>
    <s v=""/>
    <x v="0"/>
    <x v="4"/>
    <s v="Q2"/>
    <x v="0"/>
  </r>
  <r>
    <s v="EOS1563"/>
    <d v="2026-04-10T00:00:00"/>
    <s v="FB"/>
    <s v="FB"/>
    <s v="Arpan Kansara"/>
    <s v="Ahmedabad"/>
    <s v="Gujarat"/>
    <m/>
    <n v="177000"/>
    <n v="1071562"/>
    <s v=""/>
    <x v="3"/>
    <m/>
    <s v=""/>
    <x v="1"/>
    <x v="4"/>
    <s v="Q2"/>
    <x v="0"/>
  </r>
  <r>
    <s v="EOS1564"/>
    <d v="2026-04-10T00:00:00"/>
    <s v="FB"/>
    <s v="FB"/>
    <s v="Gupta Akhilesh"/>
    <s v="Ahmedabad"/>
    <s v="Gujarat"/>
    <m/>
    <n v="108000"/>
    <n v="1071563"/>
    <s v=""/>
    <x v="3"/>
    <m/>
    <s v=""/>
    <x v="0"/>
    <x v="4"/>
    <s v="Q2"/>
    <x v="0"/>
  </r>
  <r>
    <s v="EOS1565"/>
    <d v="2026-04-10T00:00:00"/>
    <s v="FB"/>
    <s v="FB"/>
    <s v="Ammar saiyed"/>
    <s v="NA"/>
    <s v="Gujarat"/>
    <m/>
    <n v="177000"/>
    <n v="1071564"/>
    <s v=""/>
    <x v="3"/>
    <m/>
    <s v=""/>
    <x v="1"/>
    <x v="4"/>
    <s v="Q2"/>
    <x v="0"/>
  </r>
  <r>
    <s v="EOS1566"/>
    <d v="2026-04-11T00:00:00"/>
    <s v="FB"/>
    <s v="FB"/>
    <s v="Ankit Patel"/>
    <s v="Upleta"/>
    <s v="Gujarat"/>
    <m/>
    <n v="108000"/>
    <n v="1071565"/>
    <s v=""/>
    <x v="3"/>
    <m/>
    <s v=""/>
    <x v="0"/>
    <x v="4"/>
    <s v="Q2"/>
    <x v="0"/>
  </r>
  <r>
    <s v="EOS1567"/>
    <d v="2026-04-11T00:00:00"/>
    <s v="FB"/>
    <s v="FB"/>
    <s v="Haresh Ahir"/>
    <s v="Kim"/>
    <s v="Gujarat"/>
    <m/>
    <n v="130000"/>
    <n v="1071566"/>
    <s v=""/>
    <x v="3"/>
    <m/>
    <s v=""/>
    <x v="0"/>
    <x v="4"/>
    <s v="Q2"/>
    <x v="0"/>
  </r>
  <r>
    <s v="EOS1568"/>
    <d v="2026-04-13T00:00:00"/>
    <s v="FB"/>
    <s v="FB"/>
    <s v="Musef"/>
    <s v="Mathura"/>
    <s v="Uttar Pradesh"/>
    <m/>
    <n v="177000"/>
    <n v="1071567"/>
    <s v=""/>
    <x v="3"/>
    <m/>
    <s v=""/>
    <x v="1"/>
    <x v="4"/>
    <s v="Q2"/>
    <x v="1"/>
  </r>
  <r>
    <s v="EOS1569"/>
    <d v="2026-04-13T00:00:00"/>
    <s v="FB"/>
    <s v="FB"/>
    <s v="Pankaj Saraswat"/>
    <s v="NA"/>
    <s v="Gujarat"/>
    <m/>
    <n v="108000"/>
    <n v="1071568"/>
    <s v=""/>
    <x v="3"/>
    <m/>
    <s v=""/>
    <x v="0"/>
    <x v="4"/>
    <s v="Q2"/>
    <x v="0"/>
  </r>
  <r>
    <s v="EOS1570"/>
    <d v="2026-04-13T00:00:00"/>
    <s v="FB"/>
    <s v="FB"/>
    <s v="haresh"/>
    <s v="BerhaMadhya Pradeshur"/>
    <s v="Odisha"/>
    <m/>
    <n v="108000"/>
    <n v="1071569"/>
    <s v=""/>
    <x v="3"/>
    <m/>
    <s v=""/>
    <x v="0"/>
    <x v="4"/>
    <s v="Q2"/>
    <x v="3"/>
  </r>
  <r>
    <s v="EOS1571"/>
    <d v="2026-04-13T00:00:00"/>
    <s v="FB"/>
    <s v="FB"/>
    <s v="Number@18"/>
    <s v="Ahmedabad"/>
    <s v="Gujarat"/>
    <m/>
    <n v="130000"/>
    <n v="1071570"/>
    <s v=""/>
    <x v="3"/>
    <m/>
    <s v=""/>
    <x v="0"/>
    <x v="4"/>
    <s v="Q2"/>
    <x v="0"/>
  </r>
  <r>
    <s v="EOS1572"/>
    <d v="2026-04-13T00:00:00"/>
    <s v="FB"/>
    <s v="FB"/>
    <s v="Pankaj mevada"/>
    <s v="BODELI"/>
    <s v="Gujarat"/>
    <m/>
    <n v="108000"/>
    <n v="1071571"/>
    <s v=""/>
    <x v="3"/>
    <m/>
    <s v=""/>
    <x v="0"/>
    <x v="4"/>
    <s v="Q2"/>
    <x v="0"/>
  </r>
  <r>
    <s v="EOS1573"/>
    <d v="2026-04-13T00:00:00"/>
    <s v="FB"/>
    <s v="FB"/>
    <s v="Jaya A Rathva"/>
    <s v="Gorakhpur"/>
    <s v="Uttar Pradesh"/>
    <m/>
    <n v="130000"/>
    <n v="1071572"/>
    <s v=""/>
    <x v="3"/>
    <m/>
    <s v=""/>
    <x v="0"/>
    <x v="4"/>
    <s v="Q2"/>
    <x v="1"/>
  </r>
  <r>
    <s v="EOS1574"/>
    <d v="2026-04-13T00:00:00"/>
    <s v="FB"/>
    <s v="FB"/>
    <s v="piyush"/>
    <s v="Kaptanganj kushinagar"/>
    <s v="Uttar Pradesh"/>
    <m/>
    <n v="130000"/>
    <n v="1071573"/>
    <s v=""/>
    <x v="3"/>
    <m/>
    <s v=""/>
    <x v="0"/>
    <x v="4"/>
    <s v="Q2"/>
    <x v="1"/>
  </r>
  <r>
    <s v="EOS1575"/>
    <d v="2026-04-13T00:00:00"/>
    <s v="FB"/>
    <s v="FB"/>
    <s v="Abhishek Shukla"/>
    <s v="NA"/>
    <s v="Gujarat"/>
    <m/>
    <n v="130000"/>
    <n v="1071574"/>
    <s v=""/>
    <x v="3"/>
    <m/>
    <s v=""/>
    <x v="0"/>
    <x v="4"/>
    <s v="Q2"/>
    <x v="0"/>
  </r>
  <r>
    <s v="EOS1576"/>
    <d v="2026-04-14T00:00:00"/>
    <s v="FB"/>
    <s v="FB"/>
    <s v="Jabbar"/>
    <s v="NA"/>
    <s v="Gujarat"/>
    <m/>
    <n v="130000"/>
    <n v="1071575"/>
    <s v=""/>
    <x v="3"/>
    <m/>
    <s v=""/>
    <x v="0"/>
    <x v="4"/>
    <s v="Q2"/>
    <x v="0"/>
  </r>
  <r>
    <s v="EOS1577"/>
    <d v="2026-04-14T00:00:00"/>
    <s v="FB"/>
    <s v="FB"/>
    <s v="Neha"/>
    <s v="Ahmedabad"/>
    <s v="Gujarat"/>
    <m/>
    <n v="130000"/>
    <n v="1071576"/>
    <s v=""/>
    <x v="3"/>
    <m/>
    <s v=""/>
    <x v="0"/>
    <x v="4"/>
    <s v="Q2"/>
    <x v="0"/>
  </r>
  <r>
    <s v="EOS1578"/>
    <d v="2026-04-14T00:00:00"/>
    <s v="FB"/>
    <s v="FB"/>
    <s v="Radhe Radhe"/>
    <s v="Jam Khmbhaliya Pin : no. 361306"/>
    <s v="Gujarat"/>
    <m/>
    <n v="130000"/>
    <n v="1071577"/>
    <s v=""/>
    <x v="3"/>
    <m/>
    <s v=""/>
    <x v="0"/>
    <x v="4"/>
    <s v="Q2"/>
    <x v="0"/>
  </r>
  <r>
    <s v="EOS1579"/>
    <d v="2026-04-14T00:00:00"/>
    <s v="FB"/>
    <s v="FB"/>
    <s v="Vishal Ahir"/>
    <s v="Ahmedabad"/>
    <s v="Gujarat"/>
    <m/>
    <n v="108000"/>
    <n v="1071578"/>
    <s v=""/>
    <x v="3"/>
    <m/>
    <s v=""/>
    <x v="0"/>
    <x v="4"/>
    <s v="Q2"/>
    <x v="0"/>
  </r>
  <r>
    <s v="EOS1580"/>
    <d v="2026-04-14T00:00:00"/>
    <s v="FB"/>
    <s v="FB"/>
    <s v="Kapila Kapu"/>
    <s v="Surat"/>
    <s v="Gujarat"/>
    <m/>
    <n v="108000"/>
    <n v="1071579"/>
    <s v=""/>
    <x v="3"/>
    <m/>
    <s v=""/>
    <x v="0"/>
    <x v="4"/>
    <s v="Q2"/>
    <x v="0"/>
  </r>
  <r>
    <s v="EOS1581"/>
    <d v="2026-04-15T00:00:00"/>
    <s v="FB"/>
    <s v="FB"/>
    <s v="hadiyabharatbhai"/>
    <s v="Ahmedabad"/>
    <s v="Gujarat"/>
    <m/>
    <n v="108000"/>
    <n v="1071580"/>
    <s v=""/>
    <x v="3"/>
    <m/>
    <s v=""/>
    <x v="0"/>
    <x v="4"/>
    <s v="Q2"/>
    <x v="0"/>
  </r>
  <r>
    <s v="EOS1582"/>
    <d v="2026-04-15T00:00:00"/>
    <s v="FB"/>
    <s v="FB"/>
    <s v="Patel Vishal"/>
    <s v="Palitana"/>
    <s v="Gujarat"/>
    <m/>
    <n v="130000"/>
    <n v="1071581"/>
    <s v=""/>
    <x v="3"/>
    <m/>
    <s v=""/>
    <x v="0"/>
    <x v="4"/>
    <s v="Q2"/>
    <x v="0"/>
  </r>
  <r>
    <s v="EOS1583"/>
    <d v="2026-04-15T00:00:00"/>
    <s v="FB"/>
    <s v="FB"/>
    <s v="Sameer Bilakhiya"/>
    <s v="Anand"/>
    <s v="Gujarat"/>
    <m/>
    <n v="130000"/>
    <n v="1071582"/>
    <s v=""/>
    <x v="3"/>
    <m/>
    <s v=""/>
    <x v="0"/>
    <x v="4"/>
    <s v="Q2"/>
    <x v="0"/>
  </r>
  <r>
    <s v="EOS1584"/>
    <d v="2026-04-15T00:00:00"/>
    <s v="FB"/>
    <s v="FB"/>
    <s v="Rahul Chauhan"/>
    <s v="Moti chanol"/>
    <s v="Gujarat"/>
    <m/>
    <n v="130000"/>
    <n v="1071583"/>
    <s v=""/>
    <x v="3"/>
    <m/>
    <s v=""/>
    <x v="0"/>
    <x v="4"/>
    <s v="Q2"/>
    <x v="0"/>
  </r>
  <r>
    <s v="EOS1585"/>
    <d v="2026-04-15T00:00:00"/>
    <s v="FB"/>
    <s v="FB"/>
    <s v="?????????????????? ????????????"/>
    <s v="kalol"/>
    <s v="Gujarat"/>
    <m/>
    <n v="130000"/>
    <n v="1071584"/>
    <s v=""/>
    <x v="3"/>
    <m/>
    <s v=""/>
    <x v="0"/>
    <x v="4"/>
    <s v="Q2"/>
    <x v="0"/>
  </r>
  <r>
    <s v="EOS1586"/>
    <d v="2026-04-15T00:00:00"/>
    <s v="FB"/>
    <s v="FB"/>
    <s v="Patel Nikunj A"/>
    <s v="Vadodara"/>
    <s v="Gujarat"/>
    <m/>
    <n v="108000"/>
    <n v="1071585"/>
    <s v=""/>
    <x v="3"/>
    <m/>
    <s v=""/>
    <x v="0"/>
    <x v="4"/>
    <s v="Q2"/>
    <x v="0"/>
  </r>
  <r>
    <s v="EOS1587"/>
    <d v="2026-04-15T00:00:00"/>
    <s v="FB"/>
    <s v="FB"/>
    <s v="Pranesh"/>
    <s v="Sirat"/>
    <s v="Gujarat"/>
    <m/>
    <n v="130000"/>
    <n v="1071586"/>
    <s v=""/>
    <x v="3"/>
    <m/>
    <s v=""/>
    <x v="0"/>
    <x v="4"/>
    <s v="Q2"/>
    <x v="0"/>
  </r>
  <r>
    <s v="EOS1588"/>
    <d v="2026-04-15T00:00:00"/>
    <s v="FB"/>
    <s v="FB"/>
    <s v="Deny Virani"/>
    <s v="Una"/>
    <s v="Gujarat"/>
    <m/>
    <n v="130000"/>
    <n v="1071587"/>
    <s v=""/>
    <x v="3"/>
    <m/>
    <s v=""/>
    <x v="0"/>
    <x v="4"/>
    <s v="Q2"/>
    <x v="0"/>
  </r>
  <r>
    <s v="EOS1589"/>
    <d v="2026-04-16T00:00:00"/>
    <s v="FB"/>
    <s v="FB"/>
    <s v="Divyesh Rabari"/>
    <s v="Wankaner"/>
    <s v="Gujarat"/>
    <m/>
    <n v="108000"/>
    <n v="1071588"/>
    <s v=""/>
    <x v="3"/>
    <m/>
    <s v=""/>
    <x v="0"/>
    <x v="4"/>
    <s v="Q2"/>
    <x v="0"/>
  </r>
  <r>
    <s v="EOS1590"/>
    <d v="2026-04-16T00:00:00"/>
    <s v="FB"/>
    <s v="FB"/>
    <s v="Shubh_724"/>
    <s v="Porbandar"/>
    <s v="Gujarat"/>
    <m/>
    <n v="130000"/>
    <n v="1071589"/>
    <s v=""/>
    <x v="3"/>
    <m/>
    <s v=""/>
    <x v="0"/>
    <x v="4"/>
    <s v="Q2"/>
    <x v="0"/>
  </r>
  <r>
    <s v="EOS1591"/>
    <d v="2026-04-16T00:00:00"/>
    <s v="FB"/>
    <s v="FB"/>
    <s v="Mr_Milan_Bapodara"/>
    <s v="Mangrol"/>
    <s v="Gujarat"/>
    <m/>
    <n v="108000"/>
    <n v="1071590"/>
    <s v=""/>
    <x v="3"/>
    <m/>
    <s v=""/>
    <x v="0"/>
    <x v="4"/>
    <s v="Q2"/>
    <x v="0"/>
  </r>
  <r>
    <s v="EOS1592"/>
    <d v="2026-04-18T00:00:00"/>
    <s v="FB"/>
    <s v="FB"/>
    <s v="Vijay Muchhal"/>
    <s v="Ahmedabad"/>
    <s v="Gujarat"/>
    <m/>
    <n v="108000"/>
    <n v="1071591"/>
    <s v=""/>
    <x v="3"/>
    <m/>
    <s v=""/>
    <x v="0"/>
    <x v="4"/>
    <s v="Q2"/>
    <x v="0"/>
  </r>
  <r>
    <s v="EOS1593"/>
    <d v="2026-04-18T00:00:00"/>
    <s v="FB"/>
    <s v="FB"/>
    <s v="Arvind Patel"/>
    <s v="Ahmedabad"/>
    <s v="Gujarat"/>
    <m/>
    <n v="108000"/>
    <n v="1071592"/>
    <s v=""/>
    <x v="3"/>
    <m/>
    <s v=""/>
    <x v="0"/>
    <x v="4"/>
    <s v="Q2"/>
    <x v="0"/>
  </r>
  <r>
    <s v="EOS1594"/>
    <d v="2026-04-18T00:00:00"/>
    <s v="FB"/>
    <s v="FB"/>
    <s v="arvnd borana"/>
    <s v="Surat"/>
    <s v="Gujarat"/>
    <m/>
    <n v="130000"/>
    <n v="1071593"/>
    <s v=""/>
    <x v="3"/>
    <m/>
    <s v=""/>
    <x v="0"/>
    <x v="4"/>
    <s v="Q2"/>
    <x v="0"/>
  </r>
  <r>
    <s v="EOS1595"/>
    <d v="2026-04-18T00:00:00"/>
    <s v="FB"/>
    <s v="FB"/>
    <s v="J.k. Kamani"/>
    <s v="Bhavngar"/>
    <s v="Gujarat"/>
    <m/>
    <n v="130000"/>
    <n v="1071594"/>
    <s v=""/>
    <x v="3"/>
    <m/>
    <s v=""/>
    <x v="0"/>
    <x v="4"/>
    <s v="Q2"/>
    <x v="0"/>
  </r>
  <r>
    <s v="EOS1596"/>
    <d v="2026-04-18T00:00:00"/>
    <s v="FB"/>
    <s v="FB"/>
    <s v="Ajitsinh Bhandari 1885"/>
    <s v="Vijapur"/>
    <s v="Gujarat"/>
    <m/>
    <n v="130000"/>
    <n v="1071595"/>
    <s v=""/>
    <x v="3"/>
    <m/>
    <s v=""/>
    <x v="0"/>
    <x v="4"/>
    <s v="Q2"/>
    <x v="0"/>
  </r>
  <r>
    <s v="EOS1597"/>
    <d v="2026-04-20T00:00:00"/>
    <s v="FB"/>
    <s v="FB"/>
    <s v="Shailesh Patel"/>
    <s v="Rajkot"/>
    <s v="Gujarat"/>
    <m/>
    <n v="108000"/>
    <n v="1071596"/>
    <s v=""/>
    <x v="3"/>
    <m/>
    <s v=""/>
    <x v="0"/>
    <x v="4"/>
    <s v="Q2"/>
    <x v="0"/>
  </r>
  <r>
    <s v="EOS1598"/>
    <d v="2026-04-20T00:00:00"/>
    <s v="FB"/>
    <s v="FB"/>
    <s v="Hala Faizal Firozbhai"/>
    <s v="Rajko"/>
    <s v="Gujarat"/>
    <m/>
    <n v="130000"/>
    <n v="1071597"/>
    <s v=""/>
    <x v="3"/>
    <m/>
    <s v=""/>
    <x v="0"/>
    <x v="4"/>
    <s v="Q2"/>
    <x v="0"/>
  </r>
  <r>
    <s v="EOS1599"/>
    <d v="2026-04-20T00:00:00"/>
    <s v="FB"/>
    <s v="FB"/>
    <s v="Parth"/>
    <s v="Jam khambhaliya"/>
    <s v="Gujarat"/>
    <m/>
    <n v="108000"/>
    <n v="1071598"/>
    <s v=""/>
    <x v="3"/>
    <m/>
    <s v=""/>
    <x v="0"/>
    <x v="4"/>
    <s v="Q2"/>
    <x v="0"/>
  </r>
  <r>
    <s v="EOS1600"/>
    <d v="2026-04-20T00:00:00"/>
    <s v="FB"/>
    <s v="FB"/>
    <s v="mahadev siva"/>
    <s v="Anand"/>
    <s v="Gujarat"/>
    <m/>
    <n v="108000"/>
    <n v="1071599"/>
    <s v=""/>
    <x v="3"/>
    <m/>
    <s v=""/>
    <x v="0"/>
    <x v="4"/>
    <s v="Q2"/>
    <x v="0"/>
  </r>
  <r>
    <s v="EOS1601"/>
    <d v="2026-04-20T00:00:00"/>
    <s v="FB"/>
    <s v="FB"/>
    <s v="prakash"/>
    <s v="Nadiad"/>
    <s v="Gujarat"/>
    <m/>
    <n v="130000"/>
    <n v="1071600"/>
    <s v=""/>
    <x v="3"/>
    <m/>
    <s v=""/>
    <x v="0"/>
    <x v="4"/>
    <s v="Q2"/>
    <x v="0"/>
  </r>
  <r>
    <s v="EOS1602"/>
    <d v="2026-04-20T00:00:00"/>
    <s v="FB"/>
    <s v="FB"/>
    <s v="Anantsinh Rana"/>
    <s v="Ahmedabad"/>
    <s v="Gujarat"/>
    <m/>
    <n v="108000"/>
    <n v="1071601"/>
    <s v=""/>
    <x v="3"/>
    <m/>
    <s v=""/>
    <x v="0"/>
    <x v="4"/>
    <s v="Q2"/>
    <x v="0"/>
  </r>
  <r>
    <s v="EOS1603"/>
    <d v="2026-04-20T00:00:00"/>
    <s v="FB"/>
    <s v="FB"/>
    <s v="??????????"/>
    <s v="Halol"/>
    <s v="Gujarat"/>
    <m/>
    <n v="108000"/>
    <n v="1071602"/>
    <s v=""/>
    <x v="3"/>
    <m/>
    <s v=""/>
    <x v="0"/>
    <x v="4"/>
    <s v="Q2"/>
    <x v="0"/>
  </r>
  <r>
    <s v="EOS1604"/>
    <d v="2026-04-20T00:00:00"/>
    <s v="FB"/>
    <s v="FB"/>
    <s v="JAIMINSINH BARIA"/>
    <s v="Junagadh"/>
    <s v="Gujarat"/>
    <m/>
    <n v="130000"/>
    <n v="1071603"/>
    <s v=""/>
    <x v="3"/>
    <m/>
    <s v=""/>
    <x v="0"/>
    <x v="4"/>
    <s v="Q2"/>
    <x v="0"/>
  </r>
  <r>
    <s v="EOS1605"/>
    <d v="2026-04-20T00:00:00"/>
    <s v="FB"/>
    <s v="FB"/>
    <s v="Nilesh Mevcha"/>
    <s v="Jasdan"/>
    <s v="Gujarat"/>
    <m/>
    <n v="130000"/>
    <n v="1071604"/>
    <s v=""/>
    <x v="3"/>
    <m/>
    <s v=""/>
    <x v="0"/>
    <x v="4"/>
    <s v="Q2"/>
    <x v="0"/>
  </r>
  <r>
    <s v="EOS1606"/>
    <d v="2026-04-21T00:00:00"/>
    <s v="FB"/>
    <s v="FB"/>
    <s v="MAYUR GOHIL"/>
    <s v="Mahisagar"/>
    <s v="Gujarat"/>
    <m/>
    <n v="108000"/>
    <n v="1071605"/>
    <s v=""/>
    <x v="3"/>
    <m/>
    <s v=""/>
    <x v="0"/>
    <x v="4"/>
    <s v="Q2"/>
    <x v="0"/>
  </r>
  <r>
    <s v="EOS1607"/>
    <d v="2026-04-21T00:00:00"/>
    <s v="FB"/>
    <s v="FB"/>
    <s v="CHAUHAN VISHALSINH PRAVINSINH"/>
    <s v="Dhar"/>
    <s v="Madhya Pradesh"/>
    <m/>
    <n v="108000"/>
    <n v="1071606"/>
    <s v=""/>
    <x v="3"/>
    <m/>
    <s v=""/>
    <x v="0"/>
    <x v="4"/>
    <s v="Q2"/>
    <x v="2"/>
  </r>
  <r>
    <s v="EOS1608"/>
    <d v="2026-04-21T00:00:00"/>
    <s v="FB"/>
    <s v="FB"/>
    <s v="Rajiv rane"/>
    <s v="Bhavnagar"/>
    <s v="Gujarat"/>
    <m/>
    <n v="108000"/>
    <n v="1071607"/>
    <s v=""/>
    <x v="3"/>
    <m/>
    <s v=""/>
    <x v="0"/>
    <x v="4"/>
    <s v="Q2"/>
    <x v="0"/>
  </r>
  <r>
    <s v="EOS1609"/>
    <d v="2026-04-21T00:00:00"/>
    <s v="FB"/>
    <s v="FB"/>
    <s v="Afcone Speakers"/>
    <s v="Sirat"/>
    <s v="Gujarat"/>
    <m/>
    <n v="177000"/>
    <n v="1071608"/>
    <s v=""/>
    <x v="3"/>
    <m/>
    <s v=""/>
    <x v="1"/>
    <x v="4"/>
    <s v="Q2"/>
    <x v="0"/>
  </r>
  <r>
    <s v="EOS1610"/>
    <d v="2026-04-23T00:00:00"/>
    <s v="FB"/>
    <s v="FB"/>
    <s v="Hiren  kaladiya"/>
    <s v="Ahmedabad"/>
    <s v="Gujarat"/>
    <m/>
    <n v="108000"/>
    <n v="1071609"/>
    <s v=""/>
    <x v="3"/>
    <m/>
    <s v=""/>
    <x v="0"/>
    <x v="4"/>
    <s v="Q2"/>
    <x v="0"/>
  </r>
  <r>
    <s v="EOS1611"/>
    <d v="2026-04-23T00:00:00"/>
    <s v="FB"/>
    <s v="FB"/>
    <s v="Mukesh Singhal"/>
    <s v="Ahmedabad"/>
    <s v="Gujarat"/>
    <m/>
    <n v="108000"/>
    <n v="1071610"/>
    <s v=""/>
    <x v="3"/>
    <m/>
    <s v=""/>
    <x v="0"/>
    <x v="4"/>
    <s v="Q2"/>
    <x v="0"/>
  </r>
  <r>
    <s v="EOS1612"/>
    <d v="2026-04-23T00:00:00"/>
    <s v="FB"/>
    <s v="FB"/>
    <s v="Harsh Sharma"/>
    <s v="Silvassa"/>
    <s v="Gujarat"/>
    <m/>
    <n v="130000"/>
    <n v="1071611"/>
    <s v=""/>
    <x v="3"/>
    <m/>
    <s v=""/>
    <x v="0"/>
    <x v="4"/>
    <s v="Q2"/>
    <x v="0"/>
  </r>
  <r>
    <s v="EOS1613"/>
    <d v="2026-04-23T00:00:00"/>
    <s v="FB"/>
    <s v="FB"/>
    <s v="Raje Patil"/>
    <s v="Dahod"/>
    <s v="Gujarat"/>
    <m/>
    <n v="177000"/>
    <n v="1071612"/>
    <s v=""/>
    <x v="3"/>
    <m/>
    <s v=""/>
    <x v="1"/>
    <x v="4"/>
    <s v="Q2"/>
    <x v="0"/>
  </r>
  <r>
    <s v="EOS1614"/>
    <d v="2026-04-24T00:00:00"/>
    <s v="FB"/>
    <s v="FB"/>
    <s v="Kamlesh Varelani"/>
    <s v="Talaja"/>
    <s v="Gujarat"/>
    <m/>
    <n v="108000"/>
    <n v="1071613"/>
    <s v=""/>
    <x v="3"/>
    <m/>
    <s v=""/>
    <x v="0"/>
    <x v="4"/>
    <s v="Q2"/>
    <x v="0"/>
  </r>
  <r>
    <s v="EOS1615"/>
    <d v="2026-04-24T00:00:00"/>
    <s v="FB"/>
    <s v="FB"/>
    <s v="ASHARAF_NAGARIYA"/>
    <s v="Chhatarpur"/>
    <s v="Madhya Pradesh"/>
    <m/>
    <n v="130000"/>
    <n v="1071614"/>
    <s v=""/>
    <x v="3"/>
    <m/>
    <s v=""/>
    <x v="0"/>
    <x v="4"/>
    <s v="Q2"/>
    <x v="2"/>
  </r>
  <r>
    <s v="EOS1616"/>
    <d v="2026-04-24T00:00:00"/>
    <s v="FB"/>
    <s v="FB"/>
    <s v="Shashank Shrivastava"/>
    <s v="Gwalior"/>
    <s v="Madhya Pradesh"/>
    <m/>
    <n v="130000"/>
    <n v="1071615"/>
    <s v=""/>
    <x v="3"/>
    <m/>
    <s v=""/>
    <x v="0"/>
    <x v="4"/>
    <s v="Q2"/>
    <x v="2"/>
  </r>
  <r>
    <s v="EOS1617"/>
    <d v="2026-04-24T00:00:00"/>
    <s v="FB"/>
    <s v="FB"/>
    <s v="jagroop Singh Baghel"/>
    <s v="Wankaner"/>
    <s v="Gujarat"/>
    <m/>
    <n v="130000"/>
    <n v="1071616"/>
    <s v=""/>
    <x v="3"/>
    <m/>
    <s v=""/>
    <x v="0"/>
    <x v="4"/>
    <s v="Q2"/>
    <x v="0"/>
  </r>
  <r>
    <s v="EOS1618"/>
    <d v="2026-04-24T00:00:00"/>
    <s v="FB"/>
    <s v="FB"/>
    <s v="Alam bhai"/>
    <s v="Surendranagar"/>
    <s v="Gujarat"/>
    <m/>
    <n v="130000"/>
    <n v="1071617"/>
    <s v=""/>
    <x v="3"/>
    <m/>
    <s v=""/>
    <x v="0"/>
    <x v="4"/>
    <s v="Q2"/>
    <x v="0"/>
  </r>
  <r>
    <s v="EOS1619"/>
    <d v="2026-04-24T00:00:00"/>
    <s v="FB"/>
    <s v="FB"/>
    <s v="__SUMBHA_1204__"/>
    <s v="Ahmedabad"/>
    <s v="Gujarat"/>
    <m/>
    <n v="130000"/>
    <n v="1071618"/>
    <s v=""/>
    <x v="3"/>
    <m/>
    <s v=""/>
    <x v="0"/>
    <x v="4"/>
    <s v="Q2"/>
    <x v="0"/>
  </r>
  <r>
    <s v="EOS1620"/>
    <d v="2026-04-25T00:00:00"/>
    <s v="FB"/>
    <s v="FB"/>
    <s v="Parth Borad"/>
    <s v="Surat"/>
    <s v="Gujarat"/>
    <m/>
    <n v="108000"/>
    <n v="1071619"/>
    <s v=""/>
    <x v="3"/>
    <m/>
    <s v=""/>
    <x v="0"/>
    <x v="4"/>
    <s v="Q2"/>
    <x v="0"/>
  </r>
  <r>
    <s v="EOS1621"/>
    <d v="2026-04-25T00:00:00"/>
    <s v="FB"/>
    <s v="FB"/>
    <s v="Darshan Rupareliya"/>
    <s v="Ahmedabad"/>
    <s v="Gujarat"/>
    <m/>
    <n v="130000"/>
    <n v="1071620"/>
    <s v=""/>
    <x v="3"/>
    <m/>
    <s v=""/>
    <x v="0"/>
    <x v="4"/>
    <s v="Q2"/>
    <x v="0"/>
  </r>
  <r>
    <s v="EOS1622"/>
    <d v="2026-04-25T00:00:00"/>
    <s v="FB"/>
    <s v="FB"/>
    <s v="Shahid"/>
    <s v="Vadodara"/>
    <s v="Gujarat"/>
    <m/>
    <n v="177000"/>
    <n v="1071621"/>
    <s v=""/>
    <x v="3"/>
    <m/>
    <s v=""/>
    <x v="1"/>
    <x v="4"/>
    <s v="Q2"/>
    <x v="0"/>
  </r>
  <r>
    <s v="EOS1623"/>
    <d v="2026-04-25T00:00:00"/>
    <s v="FB"/>
    <s v="FB"/>
    <s v="Rahul Gohil"/>
    <s v="Rajko"/>
    <s v="Gujarat"/>
    <m/>
    <n v="177000"/>
    <n v="1071622"/>
    <s v=""/>
    <x v="3"/>
    <m/>
    <s v=""/>
    <x v="1"/>
    <x v="4"/>
    <s v="Q2"/>
    <x v="0"/>
  </r>
  <r>
    <s v="EOS1624"/>
    <d v="2026-04-25T00:00:00"/>
    <s v="FB"/>
    <s v="FB"/>
    <s v="K A R A N"/>
    <s v="Abad"/>
    <s v="Gujarat"/>
    <m/>
    <n v="108000"/>
    <n v="1071623"/>
    <s v=""/>
    <x v="3"/>
    <m/>
    <s v=""/>
    <x v="0"/>
    <x v="4"/>
    <s v="Q2"/>
    <x v="0"/>
  </r>
  <r>
    <s v="EOS1625"/>
    <d v="2026-04-25T00:00:00"/>
    <s v="FB"/>
    <s v="FB"/>
    <s v="Bhavin"/>
    <s v="Visnagar"/>
    <s v="Gujarat"/>
    <m/>
    <n v="108000"/>
    <n v="1071624"/>
    <s v=""/>
    <x v="3"/>
    <m/>
    <s v=""/>
    <x v="0"/>
    <x v="4"/>
    <s v="Q2"/>
    <x v="0"/>
  </r>
  <r>
    <s v="EOS1626"/>
    <d v="2026-04-25T00:00:00"/>
    <s v="FB"/>
    <s v="FB"/>
    <s v="Kuldip Rajput"/>
    <s v="Rajkot"/>
    <s v="Gujarat"/>
    <m/>
    <n v="130000"/>
    <n v="1071625"/>
    <s v=""/>
    <x v="3"/>
    <m/>
    <s v=""/>
    <x v="0"/>
    <x v="4"/>
    <s v="Q2"/>
    <x v="0"/>
  </r>
  <r>
    <s v="EOS1627"/>
    <d v="2026-04-25T00:00:00"/>
    <s v="FB"/>
    <s v="FB"/>
    <s v="Anil Maiyad"/>
    <s v="Vadodara"/>
    <s v="Gujarat"/>
    <m/>
    <n v="108000"/>
    <n v="1071626"/>
    <s v=""/>
    <x v="3"/>
    <m/>
    <s v=""/>
    <x v="0"/>
    <x v="4"/>
    <s v="Q2"/>
    <x v="0"/>
  </r>
  <r>
    <s v="EOS1628"/>
    <d v="2026-04-25T00:00:00"/>
    <s v="FB"/>
    <s v="FB"/>
    <s v="Hardik patanvadiya"/>
    <s v="Palanpur"/>
    <s v="Gujarat"/>
    <m/>
    <n v="130000"/>
    <n v="1071627"/>
    <s v=""/>
    <x v="3"/>
    <m/>
    <s v=""/>
    <x v="0"/>
    <x v="4"/>
    <s v="Q2"/>
    <x v="0"/>
  </r>
  <r>
    <s v="EOS1629"/>
    <d v="2026-04-25T00:00:00"/>
    <s v="FB"/>
    <s v="FB"/>
    <s v="Khama Khan Khama"/>
    <s v="NA"/>
    <s v="Gujarat"/>
    <m/>
    <n v="130000"/>
    <n v="1071628"/>
    <s v=""/>
    <x v="3"/>
    <m/>
    <s v=""/>
    <x v="0"/>
    <x v="4"/>
    <s v="Q2"/>
    <x v="0"/>
  </r>
  <r>
    <s v="EOS1630"/>
    <d v="2026-04-25T00:00:00"/>
    <s v="FB"/>
    <s v="FB"/>
    <s v="Solanki bhavesh"/>
    <s v="Junagadh"/>
    <s v="Gujarat"/>
    <m/>
    <n v="130000"/>
    <n v="1071629"/>
    <s v=""/>
    <x v="3"/>
    <m/>
    <s v=""/>
    <x v="0"/>
    <x v="4"/>
    <s v="Q2"/>
    <x v="0"/>
  </r>
  <r>
    <s v="EOS1631"/>
    <d v="2026-04-25T00:00:00"/>
    <s v="FB"/>
    <s v="FB"/>
    <s v="Dk Brand Hub"/>
    <s v="Surat"/>
    <s v="Gujarat"/>
    <m/>
    <n v="130000"/>
    <n v="1071630"/>
    <s v=""/>
    <x v="3"/>
    <m/>
    <s v=""/>
    <x v="0"/>
    <x v="4"/>
    <s v="Q2"/>
    <x v="0"/>
  </r>
  <r>
    <s v="EOS1632"/>
    <d v="2026-04-25T00:00:00"/>
    <s v="FB"/>
    <s v="FB"/>
    <s v="Lalit Shekhada"/>
    <s v="Vadodara"/>
    <s v="Gujarat"/>
    <m/>
    <n v="130000"/>
    <n v="1071631"/>
    <s v=""/>
    <x v="3"/>
    <m/>
    <s v=""/>
    <x v="0"/>
    <x v="4"/>
    <s v="Q2"/>
    <x v="0"/>
  </r>
  <r>
    <s v="EOS1633"/>
    <d v="2026-04-25T00:00:00"/>
    <s v="FB"/>
    <s v="FB"/>
    <s v="Fan_of_G????????????????????????"/>
    <s v="??????"/>
    <s v="Gujarat"/>
    <m/>
    <n v="130000"/>
    <n v="1071632"/>
    <s v=""/>
    <x v="3"/>
    <m/>
    <s v=""/>
    <x v="0"/>
    <x v="4"/>
    <s v="Q2"/>
    <x v="0"/>
  </r>
  <r>
    <s v="EOS1634"/>
    <d v="2026-04-25T00:00:00"/>
    <s v="FB"/>
    <s v="FB"/>
    <s v="Pranav Katara"/>
    <s v="Surat"/>
    <s v="Gujarat"/>
    <m/>
    <n v="130000"/>
    <n v="1071633"/>
    <s v=""/>
    <x v="3"/>
    <m/>
    <s v=""/>
    <x v="0"/>
    <x v="4"/>
    <s v="Q2"/>
    <x v="0"/>
  </r>
  <r>
    <s v="EOS1635"/>
    <d v="2026-04-25T00:00:00"/>
    <s v="FB"/>
    <s v="FB"/>
    <s v="Dhruv"/>
    <s v="Surat"/>
    <s v="Gujarat"/>
    <m/>
    <n v="177000"/>
    <n v="1071634"/>
    <s v=""/>
    <x v="3"/>
    <m/>
    <s v=""/>
    <x v="1"/>
    <x v="4"/>
    <s v="Q2"/>
    <x v="0"/>
  </r>
  <r>
    <s v="EOS1636"/>
    <d v="2026-04-25T00:00:00"/>
    <s v="FB"/>
    <s v="FB"/>
    <s v="Ashwin Kalsariya"/>
    <m/>
    <s v="Gujarat"/>
    <m/>
    <n v="130000"/>
    <n v="1071635"/>
    <s v=""/>
    <x v="3"/>
    <m/>
    <s v=""/>
    <x v="0"/>
    <x v="4"/>
    <s v="Q2"/>
    <x v="0"/>
  </r>
  <r>
    <s v="EOS1637"/>
    <d v="2026-05-04T00:00:00"/>
    <s v="FB5"/>
    <m/>
    <s v="sibin josh"/>
    <s v="Ahmedabad"/>
    <s v="Gujarat"/>
    <m/>
    <n v="130000"/>
    <n v="1071636"/>
    <s v=""/>
    <x v="3"/>
    <m/>
    <s v=""/>
    <x v="0"/>
    <x v="11"/>
    <s v="Q2"/>
    <x v="0"/>
  </r>
  <r>
    <s v="EOS1638"/>
    <d v="2026-05-04T00:00:00"/>
    <s v="FB"/>
    <s v="FB"/>
    <s v="NA"/>
    <s v="Valsad"/>
    <s v="Gujarat"/>
    <m/>
    <n v="130000"/>
    <n v="1071637"/>
    <s v=""/>
    <x v="3"/>
    <m/>
    <s v=""/>
    <x v="0"/>
    <x v="11"/>
    <s v="Q2"/>
    <x v="0"/>
  </r>
  <r>
    <s v="EOS1639"/>
    <d v="2026-05-04T00:00:00"/>
    <s v="FB"/>
    <s v="FB"/>
    <s v="Chintu "/>
    <s v="Rajkot"/>
    <s v="Gujarat"/>
    <m/>
    <n v="130000"/>
    <n v="1071638"/>
    <s v=""/>
    <x v="3"/>
    <m/>
    <s v=""/>
    <x v="0"/>
    <x v="11"/>
    <s v="Q2"/>
    <x v="0"/>
  </r>
  <r>
    <s v="EOS1640"/>
    <d v="2026-05-04T00:00:00"/>
    <s v="FB"/>
    <s v="FB"/>
    <s v="Imran "/>
    <s v="Baroda"/>
    <s v="Gujarat"/>
    <m/>
    <n v="108000"/>
    <n v="1071639"/>
    <s v=""/>
    <x v="3"/>
    <m/>
    <s v=""/>
    <x v="0"/>
    <x v="11"/>
    <s v="Q2"/>
    <x v="0"/>
  </r>
  <r>
    <s v="EOS1641"/>
    <d v="2026-05-04T00:00:00"/>
    <s v="FB"/>
    <s v="FB"/>
    <s v="Shivam Bhil"/>
    <s v="Gandhinagar"/>
    <s v="Gujarat"/>
    <m/>
    <n v="108000"/>
    <n v="1071640"/>
    <s v=""/>
    <x v="3"/>
    <m/>
    <s v=""/>
    <x v="0"/>
    <x v="11"/>
    <s v="Q2"/>
    <x v="0"/>
  </r>
  <r>
    <s v="EOS1642"/>
    <d v="2026-05-04T00:00:00"/>
    <s v="FB"/>
    <s v="FB"/>
    <s v="Parik Hapur"/>
    <s v="Anand"/>
    <s v="Gujarat"/>
    <m/>
    <n v="130000"/>
    <n v="1071641"/>
    <s v=""/>
    <x v="3"/>
    <m/>
    <s v=""/>
    <x v="0"/>
    <x v="11"/>
    <s v="Q2"/>
    <x v="0"/>
  </r>
  <r>
    <s v="EOS1643"/>
    <d v="2026-05-04T00:00:00"/>
    <s v="FB"/>
    <s v="FB"/>
    <s v="Hardik Patel "/>
    <s v="Mahisagar  "/>
    <s v="Gujarat"/>
    <m/>
    <n v="177000"/>
    <n v="1071642"/>
    <s v=""/>
    <x v="3"/>
    <m/>
    <s v=""/>
    <x v="1"/>
    <x v="11"/>
    <s v="Q2"/>
    <x v="0"/>
  </r>
  <r>
    <s v="EOS1644"/>
    <d v="2026-05-04T00:00:00"/>
    <s v="FB"/>
    <s v="FB"/>
    <s v="Nikhil Dabga "/>
    <s v="Mehsana"/>
    <s v="Gujarat"/>
    <m/>
    <n v="130000"/>
    <n v="1071643"/>
    <s v=""/>
    <x v="3"/>
    <m/>
    <s v=""/>
    <x v="0"/>
    <x v="11"/>
    <s v="Q2"/>
    <x v="0"/>
  </r>
  <r>
    <s v="EOS1645"/>
    <d v="2026-05-04T00:00:00"/>
    <s v="FB"/>
    <s v="FB"/>
    <s v="Rajput Jitendra"/>
    <s v="Surat"/>
    <s v="Gujarat"/>
    <m/>
    <n v="108000"/>
    <n v="1071644"/>
    <s v=""/>
    <x v="3"/>
    <m/>
    <s v=""/>
    <x v="0"/>
    <x v="11"/>
    <s v="Q2"/>
    <x v="0"/>
  </r>
  <r>
    <s v="EOS1646"/>
    <d v="2026-05-04T00:00:00"/>
    <s v="FB"/>
    <s v="FB"/>
    <s v="Pradeep Agrawal "/>
    <s v="Savarkundla"/>
    <s v="Gujarat"/>
    <m/>
    <n v="130000"/>
    <n v="1071645"/>
    <s v=""/>
    <x v="3"/>
    <m/>
    <s v=""/>
    <x v="0"/>
    <x v="11"/>
    <s v="Q2"/>
    <x v="0"/>
  </r>
  <r>
    <s v="EOS1647"/>
    <d v="2026-05-04T00:00:00"/>
    <s v="FB"/>
    <s v="FB"/>
    <s v="majithiya jignesh "/>
    <s v="jamnagar"/>
    <s v="Gujarat"/>
    <m/>
    <n v="177000"/>
    <n v="1071646"/>
    <s v=""/>
    <x v="3"/>
    <m/>
    <s v=""/>
    <x v="1"/>
    <x v="11"/>
    <s v="Q2"/>
    <x v="0"/>
  </r>
  <r>
    <s v="EOS1648"/>
    <d v="2026-05-04T00:00:00"/>
    <s v="FB"/>
    <s v="FB"/>
    <s v="Rohit Nakum"/>
    <s v="Bharuch"/>
    <s v="Gujarat"/>
    <m/>
    <n v="108000"/>
    <n v="1071647"/>
    <s v=""/>
    <x v="3"/>
    <m/>
    <s v=""/>
    <x v="0"/>
    <x v="11"/>
    <s v="Q2"/>
    <x v="0"/>
  </r>
  <r>
    <s v="EOS1649"/>
    <d v="2026-05-04T00:00:00"/>
    <s v="FB"/>
    <s v="FB"/>
    <s v="Yash Rana"/>
    <s v="Jodiya"/>
    <s v="Gujarat"/>
    <m/>
    <n v="177000"/>
    <n v="1071648"/>
    <s v=""/>
    <x v="3"/>
    <m/>
    <s v=""/>
    <x v="1"/>
    <x v="11"/>
    <s v="Q2"/>
    <x v="0"/>
  </r>
  <r>
    <s v="EOS1650"/>
    <d v="2026-05-05T00:00:00"/>
    <s v="FB"/>
    <s v="FB"/>
    <s v="Parmar Parmar"/>
    <s v="surat"/>
    <s v="Gujarat"/>
    <m/>
    <n v="108000"/>
    <n v="1071649"/>
    <s v=""/>
    <x v="3"/>
    <m/>
    <s v=""/>
    <x v="0"/>
    <x v="11"/>
    <s v="Q2"/>
    <x v="0"/>
  </r>
  <r>
    <s v="EOS1651"/>
    <d v="2026-05-05T00:00:00"/>
    <s v="FB"/>
    <s v="FB"/>
    <s v="Jaykishan"/>
    <s v="Khambhalia"/>
    <s v="Gujarat"/>
    <m/>
    <n v="130000"/>
    <n v="1071650"/>
    <s v=""/>
    <x v="3"/>
    <m/>
    <s v=""/>
    <x v="0"/>
    <x v="11"/>
    <s v="Q2"/>
    <x v="0"/>
  </r>
  <r>
    <s v="EOS1652"/>
    <d v="2026-05-05T00:00:00"/>
    <s v="FB"/>
    <s v="FB"/>
    <s v="Chauhan Anvar"/>
    <s v="junagadh"/>
    <s v="Gujarat"/>
    <m/>
    <n v="108000"/>
    <n v="1071651"/>
    <s v=""/>
    <x v="3"/>
    <m/>
    <s v=""/>
    <x v="0"/>
    <x v="11"/>
    <s v="Q2"/>
    <x v="0"/>
  </r>
  <r>
    <s v="EOS1653"/>
    <d v="2026-05-05T00:00:00"/>
    <s v="FB"/>
    <s v="FB"/>
    <s v="bhavesh bhanshal"/>
    <s v="Bhavnagar"/>
    <s v="Gujarat"/>
    <m/>
    <n v="108000"/>
    <n v="1071652"/>
    <s v=""/>
    <x v="3"/>
    <m/>
    <s v=""/>
    <x v="0"/>
    <x v="11"/>
    <s v="Q2"/>
    <x v="0"/>
  </r>
  <r>
    <s v="EOS1654"/>
    <d v="2026-05-05T00:00:00"/>
    <s v="FB"/>
    <s v="FB"/>
    <s v="Jay Raval"/>
    <s v="Latur"/>
    <s v="Maharashtra"/>
    <m/>
    <n v="108000"/>
    <n v="1071653"/>
    <s v=""/>
    <x v="3"/>
    <m/>
    <s v=""/>
    <x v="0"/>
    <x v="11"/>
    <s v="Q2"/>
    <x v="0"/>
  </r>
  <r>
    <s v="EOS1655"/>
    <d v="2026-05-05T00:00:00"/>
    <s v="FB"/>
    <s v="FB"/>
    <s v="Balaji chate"/>
    <s v="Latur"/>
    <s v="Maharashtra"/>
    <m/>
    <n v="108000"/>
    <n v="1071654"/>
    <s v=""/>
    <x v="3"/>
    <m/>
    <s v=""/>
    <x v="0"/>
    <x v="11"/>
    <s v="Q2"/>
    <x v="0"/>
  </r>
  <r>
    <s v="EOS1656"/>
    <d v="2026-05-05T00:00:00"/>
    <s v="FB"/>
    <s v="FB"/>
    <s v="jayendra gavit"/>
    <s v="Chandrpur"/>
    <s v="Maharashtra"/>
    <m/>
    <n v="177000"/>
    <n v="1071655"/>
    <s v=""/>
    <x v="3"/>
    <m/>
    <s v=""/>
    <x v="1"/>
    <x v="11"/>
    <s v="Q2"/>
    <x v="0"/>
  </r>
  <r>
    <s v="EOS1657"/>
    <d v="2026-05-05T00:00:00"/>
    <s v="FB"/>
    <s v="FB"/>
    <s v="pintu chavhan"/>
    <s v="Rajkot"/>
    <s v="Gujarat"/>
    <m/>
    <n v="108000"/>
    <n v="1071656"/>
    <s v=""/>
    <x v="3"/>
    <m/>
    <s v=""/>
    <x v="0"/>
    <x v="11"/>
    <s v="Q2"/>
    <x v="0"/>
  </r>
  <r>
    <s v="EOS1658"/>
    <d v="2026-05-06T00:00:00"/>
    <s v="FB"/>
    <s v="FB"/>
    <s v="Sandy Parmar"/>
    <s v="Surat"/>
    <s v="Gujarat"/>
    <m/>
    <n v="130000"/>
    <n v="1071657"/>
    <s v=""/>
    <x v="3"/>
    <m/>
    <s v=""/>
    <x v="0"/>
    <x v="11"/>
    <s v="Q2"/>
    <x v="0"/>
  </r>
  <r>
    <s v="EOS1659"/>
    <d v="2026-05-06T00:00:00"/>
    <s v="FB"/>
    <s v="FB"/>
    <s v="Nilesh Pareshbhai paghadal"/>
    <s v="Vadodara "/>
    <s v="Gujarat"/>
    <m/>
    <n v="177000"/>
    <n v="1071658"/>
    <s v=""/>
    <x v="3"/>
    <m/>
    <s v=""/>
    <x v="1"/>
    <x v="11"/>
    <s v="Q2"/>
    <x v="0"/>
  </r>
  <r>
    <s v="EOS1660"/>
    <d v="2026-05-06T00:00:00"/>
    <s v="FB"/>
    <s v="FB"/>
    <s v="Sahil Mansuri "/>
    <s v="Dhanera"/>
    <s v="Gujarat"/>
    <m/>
    <n v="108000"/>
    <n v="1071659"/>
    <s v=""/>
    <x v="3"/>
    <m/>
    <s v=""/>
    <x v="0"/>
    <x v="11"/>
    <s v="Q2"/>
    <x v="0"/>
  </r>
  <r>
    <s v="EOS1661"/>
    <d v="2026-05-06T00:00:00"/>
    <s v="FB"/>
    <s v="FB"/>
    <s v="Vinod Chaudhary_"/>
    <s v="Ahmedabad"/>
    <s v="Gujarat"/>
    <m/>
    <n v="130000"/>
    <n v="1071660"/>
    <s v=""/>
    <x v="3"/>
    <m/>
    <s v=""/>
    <x v="0"/>
    <x v="11"/>
    <s v="Q2"/>
    <x v="0"/>
  </r>
  <r>
    <s v="EOS1662"/>
    <d v="2026-05-06T00:00:00"/>
    <s v="FB"/>
    <s v="FB"/>
    <s v="Parth Borad"/>
    <s v="Porbandra "/>
    <s v="Gujarat"/>
    <m/>
    <n v="108000"/>
    <n v="1071661"/>
    <s v=""/>
    <x v="3"/>
    <m/>
    <s v=""/>
    <x v="0"/>
    <x v="11"/>
    <s v="Q2"/>
    <x v="0"/>
  </r>
  <r>
    <s v="EOS1663"/>
    <d v="2026-05-06T00:00:00"/>
    <s v="FB"/>
    <s v="FB"/>
    <s v="DIVYESH NATHA"/>
    <s v="Bharuch"/>
    <s v="Gujarat"/>
    <m/>
    <n v="130000"/>
    <n v="1071662"/>
    <s v=""/>
    <x v="3"/>
    <m/>
    <s v=""/>
    <x v="0"/>
    <x v="11"/>
    <s v="Q2"/>
    <x v="0"/>
  </r>
  <r>
    <s v="EOS1664"/>
    <d v="2026-05-06T00:00:00"/>
    <s v="FB"/>
    <s v="FB"/>
    <s v="Devesh solanki "/>
    <s v="Ahmedabad"/>
    <s v="Gujarat"/>
    <m/>
    <n v="108000"/>
    <n v="1071663"/>
    <s v=""/>
    <x v="3"/>
    <m/>
    <s v=""/>
    <x v="0"/>
    <x v="11"/>
    <s v="Q2"/>
    <x v="0"/>
  </r>
  <r>
    <s v="EOS1665"/>
    <d v="2026-05-07T00:00:00"/>
    <s v="FB"/>
    <s v="FB"/>
    <s v="Amit Prajapati "/>
    <s v="Deesa"/>
    <s v="Gujarat"/>
    <m/>
    <n v="108000"/>
    <n v="1071664"/>
    <s v=""/>
    <x v="3"/>
    <m/>
    <s v=""/>
    <x v="0"/>
    <x v="11"/>
    <s v="Q2"/>
    <x v="0"/>
  </r>
  <r>
    <s v="EOS1666"/>
    <d v="2026-05-07T00:00:00"/>
    <s v="FB"/>
    <s v="FB"/>
    <s v="Magdumhusen MunirAhmad Kuresh"/>
    <s v="Limbdi"/>
    <s v="Gujarat"/>
    <m/>
    <n v="108000"/>
    <n v="1071665"/>
    <s v=""/>
    <x v="3"/>
    <m/>
    <s v=""/>
    <x v="0"/>
    <x v="11"/>
    <s v="Q2"/>
    <x v="0"/>
  </r>
  <r>
    <s v="EOS1667"/>
    <d v="2026-05-07T00:00:00"/>
    <s v="FB"/>
    <s v="FB"/>
    <s v="Parth Mehta "/>
    <s v="Veraval"/>
    <s v="Gujarat"/>
    <m/>
    <n v="130000"/>
    <n v="1071666"/>
    <s v=""/>
    <x v="3"/>
    <m/>
    <s v=""/>
    <x v="0"/>
    <x v="11"/>
    <s v="Q2"/>
    <x v="0"/>
  </r>
  <r>
    <s v="EOS1668"/>
    <d v="2026-05-07T00:00:00"/>
    <s v="FB"/>
    <s v="FB"/>
    <s v="Praful Giri Aparnath"/>
    <s v="Ahmedabad"/>
    <s v="Gujarat"/>
    <m/>
    <n v="108000"/>
    <n v="1071667"/>
    <s v=""/>
    <x v="3"/>
    <m/>
    <s v=""/>
    <x v="0"/>
    <x v="11"/>
    <s v="Q2"/>
    <x v="0"/>
  </r>
  <r>
    <s v="EOS1669"/>
    <d v="2026-05-07T00:00:00"/>
    <s v="FB"/>
    <s v="FB"/>
    <s v="Chauhan Nilkanth babubha"/>
    <s v="Adipur"/>
    <s v="Gujarat"/>
    <m/>
    <n v="108000"/>
    <n v="1071668"/>
    <s v=""/>
    <x v="3"/>
    <m/>
    <s v=""/>
    <x v="0"/>
    <x v="11"/>
    <s v="Q2"/>
    <x v="0"/>
  </r>
  <r>
    <s v="EOS1670"/>
    <d v="2026-05-07T00:00:00"/>
    <s v="FB"/>
    <s v="FB"/>
    <s v="Sabir Shekh"/>
    <s v="Ahmedabad"/>
    <s v="Gujarat"/>
    <m/>
    <n v="130000"/>
    <n v="1071669"/>
    <s v=""/>
    <x v="3"/>
    <m/>
    <s v=""/>
    <x v="0"/>
    <x v="11"/>
    <s v="Q2"/>
    <x v="0"/>
  </r>
  <r>
    <s v="EOS1671"/>
    <d v="2026-05-07T00:00:00"/>
    <s v="FB"/>
    <s v="FB"/>
    <s v="Nikhil Yadav "/>
    <s v="Bhadran"/>
    <s v="Gujarat"/>
    <m/>
    <n v="108000"/>
    <n v="1071670"/>
    <s v=""/>
    <x v="3"/>
    <m/>
    <s v=""/>
    <x v="0"/>
    <x v="11"/>
    <s v="Q2"/>
    <x v="0"/>
  </r>
  <r>
    <s v="EOS1672"/>
    <d v="2026-05-08T00:00:00"/>
    <s v="FB"/>
    <s v="FB"/>
    <s v="Dinesh Solanki "/>
    <s v="Dhrol"/>
    <s v="Gujarat"/>
    <m/>
    <n v="130000"/>
    <n v="1071671"/>
    <s v=""/>
    <x v="3"/>
    <m/>
    <s v=""/>
    <x v="0"/>
    <x v="11"/>
    <s v="Q2"/>
    <x v="0"/>
  </r>
  <r>
    <s v="EOS1673"/>
    <d v="2026-05-08T00:00:00"/>
    <s v="FB"/>
    <s v="FB"/>
    <s v="ketan ganatra "/>
    <s v="Lunavada"/>
    <s v="Gujarat"/>
    <m/>
    <n v="130000"/>
    <n v="1071672"/>
    <s v=""/>
    <x v="3"/>
    <m/>
    <s v=""/>
    <x v="0"/>
    <x v="11"/>
    <s v="Q2"/>
    <x v="0"/>
  </r>
  <r>
    <s v="EOS1674"/>
    <d v="2026-05-08T00:00:00"/>
    <s v="FB"/>
    <s v="FB"/>
    <s v="Saurabh Patel "/>
    <s v="ahmednagar"/>
    <s v="Maharashtra"/>
    <m/>
    <n v="177000"/>
    <n v="1071673"/>
    <s v=""/>
    <x v="3"/>
    <m/>
    <s v=""/>
    <x v="1"/>
    <x v="11"/>
    <s v="Q2"/>
    <x v="0"/>
  </r>
  <r>
    <s v="EOS1675"/>
    <d v="2026-05-09T00:00:00"/>
    <s v="FB"/>
    <s v="FB"/>
    <s v="Ashok Kotkar"/>
    <s v="Vadodara"/>
    <s v="Gujarat"/>
    <m/>
    <n v="108000"/>
    <n v="1071674"/>
    <s v=""/>
    <x v="3"/>
    <m/>
    <s v=""/>
    <x v="0"/>
    <x v="11"/>
    <s v="Q2"/>
    <x v="0"/>
  </r>
  <r>
    <s v="EOS1676"/>
    <d v="2026-05-09T00:00:00"/>
    <s v="FB"/>
    <s v="FB"/>
    <s v="Jignesh "/>
    <s v="Himatnagar"/>
    <s v="Gujarat"/>
    <m/>
    <n v="108000"/>
    <n v="1071675"/>
    <s v=""/>
    <x v="3"/>
    <m/>
    <s v=""/>
    <x v="0"/>
    <x v="11"/>
    <s v="Q2"/>
    <x v="0"/>
  </r>
  <r>
    <s v="EOS1677"/>
    <d v="2026-05-11T00:00:00"/>
    <s v="FB"/>
    <s v="FB"/>
    <s v="Vinay Patel "/>
    <s v="Satana"/>
    <s v="Madhya Pradesh"/>
    <m/>
    <n v="130000"/>
    <n v="1071676"/>
    <s v=""/>
    <x v="3"/>
    <m/>
    <s v=""/>
    <x v="0"/>
    <x v="11"/>
    <s v="Q2"/>
    <x v="2"/>
  </r>
  <r>
    <s v="EOS1678"/>
    <d v="2026-05-11T00:00:00"/>
    <s v="FB"/>
    <s v="FB"/>
    <s v="Pravin "/>
    <s v="Indore"/>
    <s v="Madhya Pradesh"/>
    <m/>
    <n v="130000"/>
    <n v="1071677"/>
    <s v=""/>
    <x v="3"/>
    <m/>
    <s v=""/>
    <x v="0"/>
    <x v="11"/>
    <s v="Q2"/>
    <x v="2"/>
  </r>
  <r>
    <s v="EOS1679"/>
    <d v="2026-05-11T00:00:00"/>
    <s v="FB"/>
    <s v="FB"/>
    <s v="Pawan Yadav"/>
    <s v="Allahabad"/>
    <s v="Uttar Pradesh "/>
    <m/>
    <n v="108000"/>
    <n v="1071678"/>
    <s v=""/>
    <x v="3"/>
    <m/>
    <s v=""/>
    <x v="0"/>
    <x v="11"/>
    <s v="Q2"/>
    <x v="1"/>
  </r>
  <r>
    <s v="EOS1680"/>
    <d v="2026-05-11T00:00:00"/>
    <s v="FB"/>
    <s v="FB"/>
    <s v="Sarthak pratap Singh"/>
    <s v="Aligarh"/>
    <s v="Uttar Pradesh "/>
    <m/>
    <n v="108000"/>
    <n v="1071679"/>
    <s v=""/>
    <x v="3"/>
    <m/>
    <s v=""/>
    <x v="0"/>
    <x v="11"/>
    <s v="Q2"/>
    <x v="1"/>
  </r>
  <r>
    <s v="EOS1681"/>
    <d v="2026-05-11T00:00:00"/>
    <s v="FB"/>
    <s v="FB"/>
    <m/>
    <s v="Diyodar"/>
    <s v="Gujarat"/>
    <m/>
    <n v="108000"/>
    <n v="1071680"/>
    <s v=""/>
    <x v="3"/>
    <m/>
    <s v=""/>
    <x v="0"/>
    <x v="11"/>
    <s v="Q2"/>
    <x v="0"/>
  </r>
  <r>
    <s v="EOS1682"/>
    <d v="2026-05-12T00:00:00"/>
    <s v="FB"/>
    <s v="FB"/>
    <s v="Vipulkumar Ramnikbhai Soni"/>
    <s v="Surat "/>
    <s v="Gujarat"/>
    <m/>
    <n v="108000"/>
    <n v="1071681"/>
    <s v=""/>
    <x v="3"/>
    <m/>
    <s v=""/>
    <x v="0"/>
    <x v="11"/>
    <s v="Q2"/>
    <x v="0"/>
  </r>
  <r>
    <s v="EOS1683"/>
    <d v="2026-05-12T00:00:00"/>
    <s v="FB"/>
    <s v="FB"/>
    <s v="Amit kumar "/>
    <s v="jogeshwari "/>
    <s v="Maharashtra"/>
    <m/>
    <n v="108000"/>
    <n v="1071682"/>
    <s v=""/>
    <x v="3"/>
    <m/>
    <s v=""/>
    <x v="0"/>
    <x v="11"/>
    <s v="Q2"/>
    <x v="0"/>
  </r>
  <r>
    <s v="EOS1684"/>
    <d v="2026-05-13T00:00:00"/>
    <s v="FB"/>
    <s v="FB"/>
    <s v="Faiz Ahmad"/>
    <s v="Baisi"/>
    <s v="Bihar"/>
    <m/>
    <n v="130000"/>
    <n v="1071683"/>
    <s v=""/>
    <x v="3"/>
    <m/>
    <s v=""/>
    <x v="0"/>
    <x v="11"/>
    <s v="Q2"/>
    <x v="3"/>
  </r>
  <r>
    <s v="EOS1685"/>
    <d v="2026-05-13T00:00:00"/>
    <s v="FB"/>
    <s v="FB"/>
    <s v="Nishar Amani"/>
    <s v="Jankinagar"/>
    <s v="Bihar"/>
    <m/>
    <n v="177000"/>
    <n v="1071684"/>
    <s v=""/>
    <x v="3"/>
    <m/>
    <s v=""/>
    <x v="1"/>
    <x v="11"/>
    <s v="Q2"/>
    <x v="3"/>
  </r>
  <r>
    <s v="EOS1686"/>
    <d v="2026-05-14T00:00:00"/>
    <s v="FB"/>
    <s v="FB"/>
    <s v="Nitesh Kumar"/>
    <s v="Ahmadabad "/>
    <s v="Gujarat"/>
    <m/>
    <n v="308000"/>
    <n v="1071685"/>
    <s v=""/>
    <x v="3"/>
    <m/>
    <s v=""/>
    <x v="2"/>
    <x v="11"/>
    <s v="Q2"/>
    <x v="0"/>
  </r>
  <r>
    <s v="EOS1687"/>
    <d v="2026-05-14T00:00:00"/>
    <s v="FB"/>
    <s v="FB"/>
    <s v="moindiwan"/>
    <s v="Jeypore"/>
    <s v="Odisha"/>
    <m/>
    <n v="130000"/>
    <n v="1071686"/>
    <s v=""/>
    <x v="3"/>
    <m/>
    <s v=""/>
    <x v="0"/>
    <x v="11"/>
    <s v="Q2"/>
    <x v="3"/>
  </r>
  <r>
    <s v="EOS1688"/>
    <d v="2026-05-14T00:00:00"/>
    <s v="FB"/>
    <s v="FB"/>
    <s v="Aditya narayan nanda"/>
    <s v="Varanasi"/>
    <s v="Uttar Pradesh "/>
    <m/>
    <n v="177000"/>
    <n v="1071687"/>
    <s v=""/>
    <x v="3"/>
    <m/>
    <s v=""/>
    <x v="1"/>
    <x v="11"/>
    <s v="Q2"/>
    <x v="1"/>
  </r>
  <r>
    <s v="EOS1689"/>
    <d v="2026-05-14T00:00:00"/>
    <s v="FB"/>
    <s v="FB"/>
    <s v="Akash "/>
    <s v="Shahjahanpur"/>
    <s v="Uttar Pradesh "/>
    <m/>
    <n v="108000"/>
    <n v="1071688"/>
    <s v=""/>
    <x v="3"/>
    <m/>
    <s v=""/>
    <x v="0"/>
    <x v="11"/>
    <s v="Q2"/>
    <x v="1"/>
  </r>
  <r>
    <s v="EOS1690"/>
    <d v="2026-05-15T00:00:00"/>
    <s v="FB"/>
    <s v="FB"/>
    <s v="vineet "/>
    <s v="Pipili"/>
    <s v="Odisha"/>
    <m/>
    <n v="130000"/>
    <n v="1071689"/>
    <s v=""/>
    <x v="3"/>
    <m/>
    <s v=""/>
    <x v="0"/>
    <x v="11"/>
    <s v="Q2"/>
    <x v="3"/>
  </r>
  <r>
    <s v="EOS1691"/>
    <d v="2026-05-15T00:00:00"/>
    <s v="FB"/>
    <s v="FB"/>
    <s v="Suraj Khan"/>
    <s v="Ahmedabad"/>
    <s v="Gujarat"/>
    <m/>
    <n v="130000"/>
    <n v="1071690"/>
    <s v=""/>
    <x v="3"/>
    <m/>
    <s v=""/>
    <x v="0"/>
    <x v="11"/>
    <s v="Q2"/>
    <x v="0"/>
  </r>
  <r>
    <s v="EOS1692"/>
    <d v="2026-05-15T00:00:00"/>
    <s v="FB"/>
    <s v="FB"/>
    <s v="Yogesh Ambani"/>
    <s v="Mapusa"/>
    <s v="Goa"/>
    <m/>
    <n v="108000"/>
    <n v="1071691"/>
    <s v=""/>
    <x v="3"/>
    <m/>
    <s v=""/>
    <x v="0"/>
    <x v="11"/>
    <s v="Q2"/>
    <x v="0"/>
  </r>
  <r>
    <s v="EOS1693"/>
    <d v="2026-05-15T00:00:00"/>
    <s v="FB"/>
    <s v="FB"/>
    <s v="Vivan kudneka"/>
    <s v="Satlasan"/>
    <s v="Gujarat"/>
    <m/>
    <n v="108000"/>
    <n v="1071692"/>
    <s v=""/>
    <x v="3"/>
    <m/>
    <s v=""/>
    <x v="0"/>
    <x v="11"/>
    <s v="Q2"/>
    <x v="0"/>
  </r>
  <r>
    <s v="EOS1694"/>
    <d v="2026-05-16T00:00:00"/>
    <s v="FB"/>
    <s v="FB"/>
    <s v="Aavej "/>
    <s v="Thard"/>
    <s v="Gujarat"/>
    <m/>
    <n v="108000"/>
    <n v="1071693"/>
    <s v=""/>
    <x v="3"/>
    <m/>
    <s v=""/>
    <x v="0"/>
    <x v="11"/>
    <s v="Q2"/>
    <x v="0"/>
  </r>
  <r>
    <s v="EOS1695"/>
    <d v="2026-05-16T00:00:00"/>
    <s v="FB"/>
    <s v="FB"/>
    <s v="D K Rajput"/>
    <s v="Bulandshahr"/>
    <s v="Uttar Pradesh "/>
    <m/>
    <n v="130000"/>
    <n v="1071694"/>
    <s v=""/>
    <x v="3"/>
    <m/>
    <s v=""/>
    <x v="0"/>
    <x v="11"/>
    <s v="Q2"/>
    <x v="1"/>
  </r>
  <r>
    <s v="EOS1696"/>
    <d v="2026-05-16T00:00:00"/>
    <s v="FB"/>
    <s v="FB"/>
    <s v="Syed Mohd Kashif"/>
    <s v="IslaMadhya Pradeshur"/>
    <s v="West Bengal"/>
    <m/>
    <n v="108000"/>
    <n v="1071695"/>
    <s v=""/>
    <x v="3"/>
    <m/>
    <s v=""/>
    <x v="0"/>
    <x v="11"/>
    <s v="Q2"/>
    <x v="3"/>
  </r>
  <r>
    <s v="EOS1697"/>
    <d v="2026-05-16T00:00:00"/>
    <s v="FB"/>
    <s v="FB"/>
    <s v="Subham Chowdhury Charl"/>
    <s v="bhavngar"/>
    <s v="Gujarat"/>
    <m/>
    <n v="108000"/>
    <n v="1071696"/>
    <s v=""/>
    <x v="3"/>
    <m/>
    <s v=""/>
    <x v="0"/>
    <x v="11"/>
    <s v="Q2"/>
    <x v="0"/>
  </r>
  <r>
    <s v="EOS1698"/>
    <d v="2026-05-22T00:00:00"/>
    <s v="FB"/>
    <s v="FB"/>
    <m/>
    <s v="Ahmedabad"/>
    <s v="Gujarat"/>
    <m/>
    <n v="130000"/>
    <n v="1071697"/>
    <s v=""/>
    <x v="3"/>
    <m/>
    <s v=""/>
    <x v="0"/>
    <x v="11"/>
    <s v="Q2"/>
    <x v="0"/>
  </r>
  <r>
    <s v="EOS1699"/>
    <d v="2026-05-18T00:00:00"/>
    <s v="FB"/>
    <s v="FB"/>
    <s v="Rudra "/>
    <s v="Ahmedabad"/>
    <s v="Gujarat"/>
    <m/>
    <n v="130000"/>
    <n v="1071698"/>
    <s v=""/>
    <x v="3"/>
    <m/>
    <s v=""/>
    <x v="0"/>
    <x v="11"/>
    <s v="Q2"/>
    <x v="0"/>
  </r>
  <r>
    <s v="EOS1700"/>
    <d v="2026-05-18T00:00:00"/>
    <s v="FB"/>
    <s v="FB"/>
    <s v="Shubham Dubey"/>
    <s v="Junagadh"/>
    <s v="Gujarat"/>
    <m/>
    <n v="130000"/>
    <n v="1071699"/>
    <s v=""/>
    <x v="3"/>
    <m/>
    <s v=""/>
    <x v="0"/>
    <x v="11"/>
    <s v="Q2"/>
    <x v="0"/>
  </r>
  <r>
    <s v="EOS1701"/>
    <d v="2026-05-18T00:00:00"/>
    <s v="FB"/>
    <s v="FB"/>
    <s v="Bharat Duva"/>
    <s v="Dharashiv"/>
    <s v="Maharashtra"/>
    <m/>
    <n v="108000"/>
    <n v="1071700"/>
    <s v=""/>
    <x v="3"/>
    <m/>
    <s v=""/>
    <x v="0"/>
    <x v="11"/>
    <s v="Q2"/>
    <x v="0"/>
  </r>
  <r>
    <s v="EOS1702"/>
    <d v="2026-05-18T00:00:00"/>
    <s v="FB"/>
    <s v="FB"/>
    <s v="Arjun Deshmukh"/>
    <s v="Lucknow"/>
    <s v="Gujarat"/>
    <m/>
    <n v="108000"/>
    <n v="1071701"/>
    <s v=""/>
    <x v="3"/>
    <m/>
    <s v=""/>
    <x v="0"/>
    <x v="11"/>
    <s v="Q2"/>
    <x v="0"/>
  </r>
  <r>
    <s v="EOS1703"/>
    <d v="2026-05-18T00:00:00"/>
    <s v="FB"/>
    <s v="FB"/>
    <s v="Amit Singh"/>
    <s v="Hamirpur"/>
    <s v="Uttar Pradesh "/>
    <m/>
    <n v="177000"/>
    <n v="1071702"/>
    <s v=""/>
    <x v="3"/>
    <m/>
    <s v=""/>
    <x v="1"/>
    <x v="11"/>
    <s v="Q2"/>
    <x v="1"/>
  </r>
  <r>
    <s v="EOS1704"/>
    <d v="2026-05-18T00:00:00"/>
    <s v="FB"/>
    <s v="FB"/>
    <s v="ankit tiwari"/>
    <s v="Vadodara"/>
    <s v="Gujarat"/>
    <m/>
    <n v="177000"/>
    <n v="1071703"/>
    <s v=""/>
    <x v="3"/>
    <m/>
    <s v=""/>
    <x v="1"/>
    <x v="11"/>
    <s v="Q2"/>
    <x v="0"/>
  </r>
  <r>
    <s v="EOS1705"/>
    <d v="2026-05-21T00:00:00"/>
    <s v="FB"/>
    <s v="FB"/>
    <s v="keyur patel "/>
    <s v="Valsad"/>
    <s v="Gujarat"/>
    <m/>
    <n v="108000"/>
    <n v="1071704"/>
    <s v=""/>
    <x v="3"/>
    <m/>
    <s v=""/>
    <x v="0"/>
    <x v="11"/>
    <s v="Q2"/>
    <x v="0"/>
  </r>
  <r>
    <s v="EOS1706"/>
    <d v="2026-05-21T00:00:00"/>
    <s v="FB"/>
    <s v="FB"/>
    <s v="Manish "/>
    <m/>
    <s v="Gujarat"/>
    <m/>
    <n v="308000"/>
    <n v="1071705"/>
    <s v=""/>
    <x v="3"/>
    <m/>
    <s v=""/>
    <x v="2"/>
    <x v="11"/>
    <s v="Q2"/>
    <x v="0"/>
  </r>
  <r>
    <s v="EOS1707"/>
    <d v="2026-05-21T00:00:00"/>
    <s v="FB"/>
    <s v="FB"/>
    <s v="Bamba Vikram"/>
    <s v="Vadodara"/>
    <s v="Gujarat"/>
    <m/>
    <n v="130000"/>
    <n v="1071706"/>
    <s v=""/>
    <x v="3"/>
    <m/>
    <s v=""/>
    <x v="0"/>
    <x v="11"/>
    <s v="Q2"/>
    <x v="0"/>
  </r>
  <r>
    <s v="EOS1708"/>
    <d v="2026-05-21T00:00:00"/>
    <s v="FB"/>
    <s v="FB"/>
    <s v="Vishalkumar Shah"/>
    <s v="Ankleshwar"/>
    <s v="Gujarat"/>
    <m/>
    <n v="108000"/>
    <n v="1071707"/>
    <s v=""/>
    <x v="3"/>
    <m/>
    <s v=""/>
    <x v="0"/>
    <x v="11"/>
    <s v="Q2"/>
    <x v="0"/>
  </r>
  <r>
    <s v="EOS1709"/>
    <d v="2026-05-21T00:00:00"/>
    <s v="FB"/>
    <s v="FB"/>
    <s v="Padhiyar Mehul"/>
    <s v="Bareja"/>
    <s v="Gujarat"/>
    <m/>
    <n v="108000"/>
    <n v="1071708"/>
    <s v=""/>
    <x v="3"/>
    <m/>
    <s v=""/>
    <x v="0"/>
    <x v="11"/>
    <s v="Q2"/>
    <x v="0"/>
  </r>
  <r>
    <s v="EOS1710"/>
    <d v="2026-05-21T00:00:00"/>
    <s v="FB"/>
    <s v="FB"/>
    <s v="Dharmendra Agravat"/>
    <s v="Nadiad"/>
    <s v="Gujarat"/>
    <m/>
    <n v="177000"/>
    <n v="1071709"/>
    <s v=""/>
    <x v="3"/>
    <m/>
    <s v=""/>
    <x v="1"/>
    <x v="11"/>
    <s v="Q2"/>
    <x v="0"/>
  </r>
  <r>
    <s v="EOS1711"/>
    <d v="2026-05-21T00:00:00"/>
    <s v="FB"/>
    <s v="FB"/>
    <s v="Shivam Patel "/>
    <s v="Rajkot"/>
    <s v="Gujarat"/>
    <m/>
    <n v="108000"/>
    <n v="1071710"/>
    <s v=""/>
    <x v="3"/>
    <m/>
    <s v=""/>
    <x v="0"/>
    <x v="11"/>
    <s v="Q2"/>
    <x v="0"/>
  </r>
  <r>
    <s v="EOS1712"/>
    <d v="2026-05-21T00:00:00"/>
    <s v="FB"/>
    <s v="FB"/>
    <s v="Vikani Tejas"/>
    <m/>
    <s v="Gujarat"/>
    <m/>
    <n v="130000"/>
    <n v="1071711"/>
    <s v=""/>
    <x v="3"/>
    <m/>
    <s v=""/>
    <x v="0"/>
    <x v="11"/>
    <s v="Q2"/>
    <x v="0"/>
  </r>
  <r>
    <s v="EOS1713"/>
    <d v="2026-05-21T00:00:00"/>
    <s v="FB"/>
    <s v="FB"/>
    <s v="Pradeepsinh Zala "/>
    <s v="Bareja"/>
    <s v="Gujarat"/>
    <m/>
    <n v="108000"/>
    <n v="1071712"/>
    <s v=""/>
    <x v="3"/>
    <m/>
    <s v=""/>
    <x v="0"/>
    <x v="11"/>
    <s v="Q2"/>
    <x v="0"/>
  </r>
  <r>
    <s v="EOS1714"/>
    <d v="2026-05-21T00:00:00"/>
    <s v="FB"/>
    <s v="FB"/>
    <s v="Laxmikant Patel "/>
    <s v="Bhavnagar"/>
    <s v="Gujarat"/>
    <m/>
    <n v="130000"/>
    <n v="1071713"/>
    <s v=""/>
    <x v="3"/>
    <m/>
    <s v=""/>
    <x v="0"/>
    <x v="11"/>
    <s v="Q2"/>
    <x v="0"/>
  </r>
  <r>
    <s v="EOS1715"/>
    <d v="2026-05-21T00:00:00"/>
    <s v="FB"/>
    <s v="FB"/>
    <s v="Rathod Virendra"/>
    <s v="Ahemdabad"/>
    <s v="Gujarat"/>
    <m/>
    <n v="108000"/>
    <n v="1071714"/>
    <s v=""/>
    <x v="3"/>
    <m/>
    <s v=""/>
    <x v="0"/>
    <x v="11"/>
    <s v="Q2"/>
    <x v="0"/>
  </r>
  <r>
    <s v="EOS1716"/>
    <d v="2026-05-21T00:00:00"/>
    <s v="FB"/>
    <s v="FB"/>
    <s v="Raj Gohil"/>
    <s v="Surendranagar"/>
    <s v="Gujarat"/>
    <m/>
    <n v="130000"/>
    <n v="1071715"/>
    <s v=""/>
    <x v="3"/>
    <m/>
    <s v=""/>
    <x v="0"/>
    <x v="11"/>
    <s v="Q2"/>
    <x v="0"/>
  </r>
  <r>
    <s v="EOS1717"/>
    <d v="2026-05-21T00:00:00"/>
    <s v="FB"/>
    <s v="FB"/>
    <s v="Vimal Patel "/>
    <s v="Banas Kantha"/>
    <s v="Gujarat"/>
    <m/>
    <n v="108000"/>
    <n v="1071716"/>
    <s v=""/>
    <x v="3"/>
    <m/>
    <s v=""/>
    <x v="0"/>
    <x v="11"/>
    <s v="Q2"/>
    <x v="0"/>
  </r>
  <r>
    <s v="EOS1718"/>
    <d v="2026-05-21T00:00:00"/>
    <s v="FB"/>
    <s v="FB"/>
    <s v="Sravnji Thakor "/>
    <s v="mau "/>
    <s v="Uttar Pradesh "/>
    <m/>
    <n v="130000"/>
    <n v="1071717"/>
    <s v=""/>
    <x v="3"/>
    <m/>
    <s v=""/>
    <x v="0"/>
    <x v="11"/>
    <s v="Q2"/>
    <x v="1"/>
  </r>
  <r>
    <s v="EOS1719"/>
    <d v="2026-05-21T00:00:00"/>
    <s v="FB"/>
    <s v="FB"/>
    <s v="Sandeep Patel "/>
    <s v="Junagada"/>
    <s v="Gujarat"/>
    <m/>
    <n v="130000"/>
    <n v="1071718"/>
    <s v=""/>
    <x v="3"/>
    <m/>
    <s v=""/>
    <x v="0"/>
    <x v="11"/>
    <s v="Q2"/>
    <x v="0"/>
  </r>
  <r>
    <s v="EOS1720"/>
    <d v="2026-05-21T00:00:00"/>
    <s v="FB"/>
    <s v="FB"/>
    <s v="Ahir Rajashi"/>
    <s v="Surat"/>
    <s v="Gujarat"/>
    <m/>
    <n v="108000"/>
    <n v="1071719"/>
    <s v=""/>
    <x v="3"/>
    <m/>
    <s v=""/>
    <x v="0"/>
    <x v="11"/>
    <s v="Q2"/>
    <x v="0"/>
  </r>
  <r>
    <s v="EOS1721"/>
    <d v="2026-05-21T00:00:00"/>
    <s v="FB"/>
    <s v="FB"/>
    <s v="vicky chaudhari"/>
    <s v="ahmedabad"/>
    <s v="Gujarat"/>
    <m/>
    <n v="177000"/>
    <n v="1071720"/>
    <s v=""/>
    <x v="3"/>
    <m/>
    <s v=""/>
    <x v="1"/>
    <x v="11"/>
    <s v="Q2"/>
    <x v="0"/>
  </r>
  <r>
    <s v="EOS1722"/>
    <d v="2026-05-21T00:00:00"/>
    <s v="FB"/>
    <s v="FB"/>
    <s v="Rakesh Parmar"/>
    <s v="Ahmedabad"/>
    <s v="Gujarat"/>
    <m/>
    <n v="130000"/>
    <n v="1071721"/>
    <s v=""/>
    <x v="3"/>
    <m/>
    <s v=""/>
    <x v="0"/>
    <x v="11"/>
    <s v="Q2"/>
    <x v="0"/>
  </r>
  <r>
    <s v="EOS1723"/>
    <d v="2026-05-21T00:00:00"/>
    <s v="FB"/>
    <s v="FB"/>
    <s v="Vipul Desai"/>
    <s v="Vadodara"/>
    <s v="Gujarat"/>
    <m/>
    <n v="108000"/>
    <n v="1071722"/>
    <s v=""/>
    <x v="3"/>
    <m/>
    <s v=""/>
    <x v="0"/>
    <x v="11"/>
    <s v="Q2"/>
    <x v="0"/>
  </r>
  <r>
    <s v="EOS1724"/>
    <d v="2026-05-21T00:00:00"/>
    <s v="FB"/>
    <s v="FB"/>
    <s v="Hemant Solanki"/>
    <s v="Vadodara"/>
    <s v="Gujarat"/>
    <m/>
    <n v="177000"/>
    <n v="1071723"/>
    <s v=""/>
    <x v="3"/>
    <m/>
    <s v=""/>
    <x v="1"/>
    <x v="11"/>
    <s v="Q2"/>
    <x v="0"/>
  </r>
  <r>
    <s v="EOS1725"/>
    <d v="2026-05-21T00:00:00"/>
    <s v="FB"/>
    <s v="FB"/>
    <s v="ronak parma"/>
    <s v="Petlad"/>
    <s v="Gujarat"/>
    <m/>
    <n v="130000"/>
    <n v="1071724"/>
    <s v=""/>
    <x v="3"/>
    <m/>
    <s v=""/>
    <x v="0"/>
    <x v="11"/>
    <s v="Q2"/>
    <x v="0"/>
  </r>
  <r>
    <s v="EOS1726"/>
    <d v="2026-05-21T00:00:00"/>
    <s v="FB"/>
    <s v="FB"/>
    <s v="Malek Raees"/>
    <s v="Jamnagar"/>
    <s v="Gujarat"/>
    <m/>
    <n v="130000"/>
    <n v="1071725"/>
    <s v=""/>
    <x v="3"/>
    <m/>
    <s v=""/>
    <x v="0"/>
    <x v="11"/>
    <s v="Q2"/>
    <x v="0"/>
  </r>
  <r>
    <s v="EOS1727"/>
    <d v="2026-05-22T00:00:00"/>
    <s v="FB"/>
    <s v="FB"/>
    <s v="Yasin Mema"/>
    <s v="Unjha"/>
    <s v="Gujarat"/>
    <m/>
    <n v="108000"/>
    <n v="1071726"/>
    <s v=""/>
    <x v="3"/>
    <m/>
    <s v=""/>
    <x v="0"/>
    <x v="11"/>
    <s v="Q2"/>
    <x v="0"/>
  </r>
  <r>
    <s v="EOS1728"/>
    <d v="2026-05-22T00:00:00"/>
    <s v="FB"/>
    <s v="FB"/>
    <s v="sachin prajapat"/>
    <s v="Jambusar"/>
    <s v="Gujarat"/>
    <m/>
    <n v="130000"/>
    <n v="1071727"/>
    <s v=""/>
    <x v="3"/>
    <m/>
    <s v=""/>
    <x v="0"/>
    <x v="11"/>
    <s v="Q2"/>
    <x v="0"/>
  </r>
  <r>
    <s v="EOS1729"/>
    <d v="2026-05-22T00:00:00"/>
    <s v="FB"/>
    <s v="FB"/>
    <s v="Ravin Nargawa"/>
    <s v="Gandhinagar"/>
    <s v="Gujarat"/>
    <m/>
    <n v="130000"/>
    <n v="1071728"/>
    <s v=""/>
    <x v="3"/>
    <m/>
    <s v=""/>
    <x v="0"/>
    <x v="11"/>
    <s v="Q2"/>
    <x v="0"/>
  </r>
  <r>
    <s v="EOS1730"/>
    <d v="2026-05-22T00:00:00"/>
    <s v="FB"/>
    <s v="FB"/>
    <s v="Amit Shah"/>
    <s v="vadodara"/>
    <s v="Gujarat"/>
    <m/>
    <n v="108000"/>
    <n v="1071729"/>
    <s v=""/>
    <x v="3"/>
    <m/>
    <s v=""/>
    <x v="0"/>
    <x v="11"/>
    <s v="Q2"/>
    <x v="0"/>
  </r>
  <r>
    <s v="EOS1731"/>
    <d v="2026-05-22T00:00:00"/>
    <s v="FB"/>
    <s v="FB"/>
    <s v="Swetanshu Joshi"/>
    <s v="Surat"/>
    <s v="Gujarat"/>
    <m/>
    <n v="130000"/>
    <n v="1071730"/>
    <s v=""/>
    <x v="3"/>
    <m/>
    <s v=""/>
    <x v="0"/>
    <x v="11"/>
    <s v="Q2"/>
    <x v="0"/>
  </r>
  <r>
    <s v="EOS1732"/>
    <d v="2026-05-22T00:00:00"/>
    <s v="FB"/>
    <s v="FB"/>
    <s v="vijay patel"/>
    <s v="Rajkot"/>
    <s v="Gujarat"/>
    <m/>
    <n v="130000"/>
    <n v="1071731"/>
    <s v=""/>
    <x v="3"/>
    <m/>
    <s v=""/>
    <x v="0"/>
    <x v="11"/>
    <s v="Q2"/>
    <x v="0"/>
  </r>
  <r>
    <s v="EOS1733"/>
    <d v="2026-05-22T00:00:00"/>
    <s v="FB"/>
    <s v="FB"/>
    <s v="Kishan bhai"/>
    <s v="jetpur"/>
    <s v="Gujarat"/>
    <m/>
    <n v="108000"/>
    <n v="1071732"/>
    <s v=""/>
    <x v="3"/>
    <m/>
    <s v=""/>
    <x v="0"/>
    <x v="11"/>
    <s v="Q2"/>
    <x v="0"/>
  </r>
  <r>
    <s v="EOS1734"/>
    <d v="2026-05-22T00:00:00"/>
    <s v="FB"/>
    <s v="FB"/>
    <s v="Gopal Goswami "/>
    <s v="Kalol"/>
    <s v="Gujarat"/>
    <m/>
    <n v="130000"/>
    <n v="1071733"/>
    <s v=""/>
    <x v="3"/>
    <m/>
    <s v=""/>
    <x v="0"/>
    <x v="11"/>
    <s v="Q2"/>
    <x v="0"/>
  </r>
  <r>
    <s v="EOS1735"/>
    <d v="2026-05-22T00:00:00"/>
    <s v="FB"/>
    <s v="FB"/>
    <s v="Oves Raliya"/>
    <s v="Ahmedabad"/>
    <s v="Gujarat"/>
    <m/>
    <n v="108000"/>
    <n v="1071734"/>
    <s v=""/>
    <x v="3"/>
    <m/>
    <s v=""/>
    <x v="0"/>
    <x v="11"/>
    <s v="Q2"/>
    <x v="0"/>
  </r>
  <r>
    <s v="EOS1736"/>
    <d v="2026-05-23T00:00:00"/>
    <s v="FB"/>
    <s v="FB"/>
    <s v="Nikita Bhojani"/>
    <s v="Ahemdabad"/>
    <s v="Gujarat"/>
    <m/>
    <n v="130000"/>
    <n v="1071735"/>
    <s v=""/>
    <x v="3"/>
    <m/>
    <s v=""/>
    <x v="0"/>
    <x v="11"/>
    <s v="Q2"/>
    <x v="0"/>
  </r>
  <r>
    <s v="EOS1737"/>
    <d v="2026-05-23T00:00:00"/>
    <s v="FB"/>
    <s v="FB"/>
    <s v="Manish VALBU"/>
    <s v="Surat"/>
    <s v="Gujarat"/>
    <m/>
    <n v="108000"/>
    <n v="1071736"/>
    <s v=""/>
    <x v="3"/>
    <m/>
    <s v=""/>
    <x v="0"/>
    <x v="11"/>
    <s v="Q2"/>
    <x v="0"/>
  </r>
  <r>
    <s v="EOS1738"/>
    <d v="2026-05-23T00:00:00"/>
    <s v="FB"/>
    <s v="FB"/>
    <s v="TushAr Chaudhari"/>
    <s v="Srinagar"/>
    <s v="Gujarat"/>
    <m/>
    <n v="308000"/>
    <n v="1071737"/>
    <s v=""/>
    <x v="3"/>
    <m/>
    <s v=""/>
    <x v="2"/>
    <x v="11"/>
    <s v="Q2"/>
    <x v="0"/>
  </r>
  <r>
    <s v="EOS1739"/>
    <d v="2026-05-23T00:00:00"/>
    <s v="FB"/>
    <s v="FB"/>
    <s v="Rishabh Tiwari"/>
    <s v="Junagadh"/>
    <s v="Gujarat"/>
    <m/>
    <n v="130000"/>
    <n v="1071738"/>
    <s v=""/>
    <x v="3"/>
    <m/>
    <s v=""/>
    <x v="0"/>
    <x v="11"/>
    <s v="Q2"/>
    <x v="0"/>
  </r>
  <r>
    <s v="EOS1740"/>
    <d v="2026-05-23T00:00:00"/>
    <s v="FB"/>
    <s v="FB"/>
    <s v="hitesh Purohit "/>
    <s v="Vyara"/>
    <s v="Gujarat"/>
    <m/>
    <n v="108000"/>
    <n v="1071739"/>
    <s v=""/>
    <x v="3"/>
    <m/>
    <s v=""/>
    <x v="0"/>
    <x v="11"/>
    <s v="Q2"/>
    <x v="0"/>
  </r>
  <r>
    <s v="EOS1741"/>
    <d v="2026-05-23T00:00:00"/>
    <s v="FB"/>
    <s v="FB"/>
    <s v="Dhaval Pate"/>
    <s v="Dwarka"/>
    <s v="Gujarat"/>
    <m/>
    <n v="108000"/>
    <n v="1071740"/>
    <s v=""/>
    <x v="3"/>
    <m/>
    <s v=""/>
    <x v="0"/>
    <x v="11"/>
    <s v="Q2"/>
    <x v="0"/>
  </r>
  <r>
    <s v="EOS1742"/>
    <d v="2026-05-23T00:00:00"/>
    <s v="FB"/>
    <s v="FB"/>
    <s v="Manek Bharat"/>
    <s v="Anand"/>
    <s v="Gujarat"/>
    <m/>
    <n v="108000"/>
    <n v="1071741"/>
    <s v=""/>
    <x v="3"/>
    <m/>
    <s v=""/>
    <x v="0"/>
    <x v="11"/>
    <s v="Q2"/>
    <x v="0"/>
  </r>
  <r>
    <s v="EOS1743"/>
    <d v="2026-05-23T00:00:00"/>
    <s v="FB"/>
    <s v="FB"/>
    <s v="Yug Patel "/>
    <s v="Sitamarhi"/>
    <s v="Bihar"/>
    <m/>
    <n v="108000"/>
    <n v="1071742"/>
    <s v=""/>
    <x v="3"/>
    <m/>
    <s v=""/>
    <x v="0"/>
    <x v="11"/>
    <s v="Q2"/>
    <x v="3"/>
  </r>
  <r>
    <s v="EOS1744"/>
    <d v="2026-05-25T00:00:00"/>
    <s v="FB"/>
    <s v="FB"/>
    <s v="Rahul Shroff"/>
    <s v="Baloda Bazaar"/>
    <s v="Chattisgarh"/>
    <m/>
    <n v="108000"/>
    <n v="1071743"/>
    <s v=""/>
    <x v="3"/>
    <m/>
    <s v=""/>
    <x v="0"/>
    <x v="11"/>
    <s v="Q2"/>
    <x v="2"/>
  </r>
  <r>
    <s v="EOS1745"/>
    <d v="2026-05-25T00:00:00"/>
    <s v="FB"/>
    <s v="FB"/>
    <s v="Mahesh Rajak"/>
    <s v="Bhavnagar"/>
    <s v="Gujarat"/>
    <m/>
    <n v="108000"/>
    <n v="1071744"/>
    <s v=""/>
    <x v="3"/>
    <m/>
    <s v=""/>
    <x v="0"/>
    <x v="11"/>
    <s v="Q2"/>
    <x v="0"/>
  </r>
  <r>
    <s v="EOS1746"/>
    <d v="2026-05-25T00:00:00"/>
    <s v="FB"/>
    <s v="FB"/>
    <s v="Snehal Patel "/>
    <s v="Surat"/>
    <s v="Gujarat"/>
    <m/>
    <n v="130000"/>
    <n v="1071745"/>
    <s v=""/>
    <x v="3"/>
    <m/>
    <s v=""/>
    <x v="0"/>
    <x v="11"/>
    <s v="Q2"/>
    <x v="0"/>
  </r>
  <r>
    <s v="EOS1747"/>
    <d v="2026-05-25T00:00:00"/>
    <s v="FB"/>
    <s v="FB"/>
    <s v="viral tank"/>
    <s v="Ahmedabad "/>
    <s v="Gujarat"/>
    <m/>
    <n v="108000"/>
    <n v="1071746"/>
    <s v=""/>
    <x v="3"/>
    <m/>
    <s v=""/>
    <x v="0"/>
    <x v="11"/>
    <s v="Q2"/>
    <x v="0"/>
  </r>
  <r>
    <s v="EOS1748"/>
    <d v="2026-05-25T00:00:00"/>
    <s v="FB"/>
    <s v="FB"/>
    <s v="Metar Irfan"/>
    <s v="pataudi"/>
    <s v="Haryana "/>
    <m/>
    <n v="130000"/>
    <n v="1071747"/>
    <s v=""/>
    <x v="3"/>
    <m/>
    <s v=""/>
    <x v="0"/>
    <x v="11"/>
    <s v="Q2"/>
    <x v="1"/>
  </r>
  <r>
    <s v="EOS1749"/>
    <d v="2026-05-25T00:00:00"/>
    <s v="FB"/>
    <s v="FB"/>
    <s v="Rao Sahab"/>
    <s v="Jamshedpur"/>
    <s v="jharkhand"/>
    <m/>
    <n v="177000"/>
    <n v="1071748"/>
    <s v=""/>
    <x v="3"/>
    <m/>
    <s v=""/>
    <x v="1"/>
    <x v="11"/>
    <s v="Q2"/>
    <x v="3"/>
  </r>
  <r>
    <s v="EOS1750"/>
    <d v="2026-05-25T00:00:00"/>
    <s v="FB"/>
    <s v="FB"/>
    <s v="binod kumar"/>
    <s v="Seoni"/>
    <s v="Madhya Pradesh"/>
    <m/>
    <n v="108000"/>
    <n v="1071749"/>
    <s v=""/>
    <x v="3"/>
    <m/>
    <s v=""/>
    <x v="0"/>
    <x v="11"/>
    <s v="Q2"/>
    <x v="2"/>
  </r>
  <r>
    <s v="EOS1751"/>
    <d v="2026-05-25T00:00:00"/>
    <s v="FB"/>
    <s v="FB"/>
    <s v="Alok Thakur"/>
    <s v="Bishnupur"/>
    <s v="Manipur"/>
    <m/>
    <n v="108000"/>
    <n v="1071750"/>
    <s v=""/>
    <x v="3"/>
    <m/>
    <s v=""/>
    <x v="0"/>
    <x v="11"/>
    <s v="Q2"/>
    <x v="3"/>
  </r>
  <r>
    <s v="EOS1752"/>
    <d v="2026-05-25T00:00:00"/>
    <s v="FB"/>
    <s v="FB"/>
    <s v="Ningthoujam Ratan Singh"/>
    <s v="Ajmer"/>
    <s v="Rajasthan"/>
    <m/>
    <n v="108000"/>
    <n v="1071751"/>
    <s v=""/>
    <x v="3"/>
    <m/>
    <s v=""/>
    <x v="0"/>
    <x v="11"/>
    <s v="Q2"/>
    <x v="0"/>
  </r>
  <r>
    <s v="EOS1753"/>
    <d v="2026-05-25T00:00:00"/>
    <s v="FB"/>
    <s v="FB"/>
    <s v="Radhey Bana "/>
    <s v="Bharatpur"/>
    <s v="Rajasthan"/>
    <m/>
    <n v="177000"/>
    <n v="1071752"/>
    <s v=""/>
    <x v="3"/>
    <m/>
    <s v=""/>
    <x v="1"/>
    <x v="11"/>
    <s v="Q2"/>
    <x v="0"/>
  </r>
  <r>
    <s v="EOS1754"/>
    <d v="2026-05-25T00:00:00"/>
    <s v="FB"/>
    <s v="FB"/>
    <s v="Rs Pooniya "/>
    <s v="Sardarshahr"/>
    <s v="Rajasthan"/>
    <m/>
    <n v="130000"/>
    <n v="1071753"/>
    <s v=""/>
    <x v="3"/>
    <m/>
    <s v=""/>
    <x v="0"/>
    <x v="11"/>
    <s v="Q2"/>
    <x v="0"/>
  </r>
  <r>
    <s v="EOS1755"/>
    <d v="2026-05-25T00:00:00"/>
    <s v="FB"/>
    <s v="FB"/>
    <s v="Vinod Gadhawal"/>
    <s v="Pukhrayan "/>
    <s v="Uttar Pradesh "/>
    <m/>
    <n v="130000"/>
    <n v="1071754"/>
    <s v=""/>
    <x v="3"/>
    <m/>
    <s v=""/>
    <x v="0"/>
    <x v="11"/>
    <s v="Q2"/>
    <x v="1"/>
  </r>
  <r>
    <s v="EOS1756"/>
    <d v="2026-05-25T00:00:00"/>
    <s v="FB"/>
    <s v="FB"/>
    <s v="kaiful hasan "/>
    <s v="Noida"/>
    <s v="Uttar Pradesh "/>
    <m/>
    <n v="108000"/>
    <n v="1071755"/>
    <s v=""/>
    <x v="3"/>
    <m/>
    <s v=""/>
    <x v="0"/>
    <x v="11"/>
    <s v="Q2"/>
    <x v="1"/>
  </r>
  <r>
    <s v="EOS1757"/>
    <d v="2026-05-25T00:00:00"/>
    <s v="FB"/>
    <s v="FB"/>
    <s v="Vicky "/>
    <s v="Delhi "/>
    <s v="Delhi"/>
    <m/>
    <n v="177000"/>
    <n v="1071756"/>
    <s v=""/>
    <x v="3"/>
    <m/>
    <s v=""/>
    <x v="1"/>
    <x v="11"/>
    <s v="Q2"/>
    <x v="1"/>
  </r>
  <r>
    <s v="EOS1758"/>
    <d v="2026-05-25T00:00:00"/>
    <s v="FB"/>
    <s v="FB"/>
    <s v="Arpiit upadhyay "/>
    <s v="Bihar"/>
    <s v="Bihar"/>
    <m/>
    <n v="108000"/>
    <n v="1071757"/>
    <s v=""/>
    <x v="3"/>
    <m/>
    <s v=""/>
    <x v="0"/>
    <x v="11"/>
    <s v="Q2"/>
    <x v="3"/>
  </r>
  <r>
    <s v="EOS1759"/>
    <d v="2026-05-25T00:00:00"/>
    <s v="FB"/>
    <s v="FB"/>
    <s v="kaushal kishor"/>
    <m/>
    <s v="Gujarat"/>
    <m/>
    <n v="108000"/>
    <n v="1071758"/>
    <s v=""/>
    <x v="3"/>
    <m/>
    <s v=""/>
    <x v="0"/>
    <x v="11"/>
    <s v="Q2"/>
    <x v="0"/>
  </r>
  <r>
    <s v="EOS1760"/>
    <d v="2026-05-25T00:00:00"/>
    <s v="FB"/>
    <s v="FB"/>
    <s v="Atik  Ajm`eri "/>
    <s v="Koderma"/>
    <s v="jharkhand"/>
    <m/>
    <n v="130000"/>
    <n v="1071759"/>
    <s v=""/>
    <x v="3"/>
    <m/>
    <s v=""/>
    <x v="0"/>
    <x v="11"/>
    <s v="Q2"/>
    <x v="3"/>
  </r>
  <r>
    <s v="EOS1761"/>
    <d v="2026-05-25T00:00:00"/>
    <s v="FB"/>
    <s v="FB"/>
    <s v="Anup Barnwal"/>
    <s v="Jaipur"/>
    <s v="Rajasthan"/>
    <m/>
    <n v="108000"/>
    <n v="1071760"/>
    <s v=""/>
    <x v="3"/>
    <m/>
    <s v=""/>
    <x v="0"/>
    <x v="11"/>
    <s v="Q2"/>
    <x v="0"/>
  </r>
  <r>
    <s v="EOS1762"/>
    <d v="2026-05-25T00:00:00"/>
    <s v="FB"/>
    <s v="FB"/>
    <s v="Rajkumar Saini "/>
    <s v="Dahod"/>
    <s v="Gujarat"/>
    <m/>
    <n v="130000"/>
    <n v="1071761"/>
    <s v=""/>
    <x v="3"/>
    <m/>
    <s v=""/>
    <x v="0"/>
    <x v="11"/>
    <s v="Q2"/>
    <x v="0"/>
  </r>
  <r>
    <s v="EOS1763"/>
    <d v="2026-05-28T00:00:00"/>
    <s v="FB"/>
    <s v="FB"/>
    <s v="Subhash Alan"/>
    <s v="Ahmedabad"/>
    <s v="Gujarat"/>
    <m/>
    <n v="130000"/>
    <n v="1071762"/>
    <s v=""/>
    <x v="3"/>
    <m/>
    <s v=""/>
    <x v="0"/>
    <x v="11"/>
    <s v="Q2"/>
    <x v="0"/>
  </r>
  <r>
    <s v="EOS1764"/>
    <d v="2026-05-29T00:00:00"/>
    <s v="FB"/>
    <s v="FB"/>
    <s v="Gaurav R Rathod"/>
    <s v="Bhuj(kutch)"/>
    <s v="Gujarat"/>
    <m/>
    <n v="108000"/>
    <n v="1071763"/>
    <s v=""/>
    <x v="3"/>
    <m/>
    <s v=""/>
    <x v="0"/>
    <x v="11"/>
    <s v="Q2"/>
    <x v="0"/>
  </r>
  <r>
    <s v="EOS1765"/>
    <d v="2026-05-29T00:00:00"/>
    <s v="FB"/>
    <s v="FB"/>
    <s v="om gor"/>
    <s v="Jetpur"/>
    <s v="Gujarat"/>
    <m/>
    <n v="130000"/>
    <n v="1071764"/>
    <s v=""/>
    <x v="3"/>
    <m/>
    <s v=""/>
    <x v="0"/>
    <x v="11"/>
    <s v="Q2"/>
    <x v="0"/>
  </r>
  <r>
    <s v="EOS1766"/>
    <d v="2026-05-29T00:00:00"/>
    <s v="FB"/>
    <s v="FB"/>
    <s v="FIROJ "/>
    <s v="Gopalganj"/>
    <s v="Bihar "/>
    <m/>
    <n v="130000"/>
    <n v="1071765"/>
    <s v=""/>
    <x v="3"/>
    <m/>
    <s v=""/>
    <x v="0"/>
    <x v="11"/>
    <s v="Q2"/>
    <x v="3"/>
  </r>
  <r>
    <s v="EOS1767"/>
    <d v="2026-05-29T00:00:00"/>
    <s v="FB"/>
    <s v="FB"/>
    <s v="Syedur Rahman"/>
    <s v="khambhaliya"/>
    <s v="Gujarat"/>
    <m/>
    <n v="108000"/>
    <n v="1071766"/>
    <s v=""/>
    <x v="3"/>
    <m/>
    <s v=""/>
    <x v="0"/>
    <x v="11"/>
    <s v="Q2"/>
    <x v="0"/>
  </r>
  <r>
    <s v="EOS1768"/>
    <d v="2026-05-29T00:00:00"/>
    <s v="FB"/>
    <s v="FB"/>
    <s v="Varun Trivedi"/>
    <s v="Talaja"/>
    <s v="Gujarat"/>
    <m/>
    <n v="177000"/>
    <n v="1071767"/>
    <s v=""/>
    <x v="3"/>
    <m/>
    <s v=""/>
    <x v="1"/>
    <x v="11"/>
    <s v="Q2"/>
    <x v="0"/>
  </r>
  <r>
    <s v="EOS1769"/>
    <d v="2026-05-29T00:00:00"/>
    <s v="FB"/>
    <s v="FB"/>
    <s v="Ramgiri Bapu"/>
    <m/>
    <m/>
    <m/>
    <n v="108000"/>
    <n v="1071768"/>
    <s v=""/>
    <x v="3"/>
    <m/>
    <s v=""/>
    <x v="0"/>
    <x v="11"/>
    <s v="Q2"/>
    <x v="4"/>
  </r>
  <r>
    <s v="EOS1770"/>
    <d v="2026-06-03T00:00:00"/>
    <s v="FB"/>
    <s v="FB"/>
    <s v="sanjay"/>
    <m/>
    <s v="Uttar Pradesh"/>
    <m/>
    <n v="130000"/>
    <n v="1071769"/>
    <s v=""/>
    <x v="3"/>
    <m/>
    <s v=""/>
    <x v="0"/>
    <x v="0"/>
    <s v="Q2"/>
    <x v="1"/>
  </r>
  <r>
    <s v="EOS1771"/>
    <d v="2026-06-03T00:00:00"/>
    <s v="FB"/>
    <s v="FB"/>
    <s v="Nishant jain"/>
    <m/>
    <s v="Uttar Pradesh"/>
    <m/>
    <n v="108000"/>
    <n v="1071770"/>
    <s v=""/>
    <x v="3"/>
    <m/>
    <s v=""/>
    <x v="0"/>
    <x v="0"/>
    <s v="Q2"/>
    <x v="1"/>
  </r>
  <r>
    <s v="EOS1772"/>
    <d v="2026-06-03T00:00:00"/>
    <s v="FB"/>
    <s v="FB"/>
    <s v="Bhavesh Patel"/>
    <m/>
    <s v="Gujarat"/>
    <m/>
    <n v="130000"/>
    <n v="1071771"/>
    <s v=""/>
    <x v="3"/>
    <m/>
    <s v=""/>
    <x v="0"/>
    <x v="0"/>
    <s v="Q2"/>
    <x v="0"/>
  </r>
  <r>
    <s v="EOS1773"/>
    <d v="2026-03-03T00:00:00"/>
    <s v="WP"/>
    <m/>
    <s v="Hitesh Prajapati"/>
    <s v="Anand "/>
    <s v="Gujarat"/>
    <m/>
    <n v="508000"/>
    <n v="1071772"/>
    <s v="Deal Done"/>
    <x v="1"/>
    <d v="2026-03-21T00:00:00"/>
    <n v="18"/>
    <x v="2"/>
    <x v="10"/>
    <s v="Q1"/>
    <x v="0"/>
  </r>
  <r>
    <s v="EOS1774"/>
    <d v="2026-03-25T00:00:00"/>
    <s v="FB"/>
    <s v="FB"/>
    <s v="Manish Kumar Pandey"/>
    <s v="Shahdol"/>
    <s v="Madhya Pradesh"/>
    <m/>
    <n v="177000"/>
    <n v="1071773"/>
    <s v="Deal Done"/>
    <x v="1"/>
    <d v="2026-04-01T00:00:00"/>
    <n v="7"/>
    <x v="1"/>
    <x v="10"/>
    <s v="Q1"/>
    <x v="2"/>
  </r>
  <r>
    <s v="EOS1775"/>
    <d v="2026-04-04T00:00:00"/>
    <s v="WP"/>
    <m/>
    <s v="Mayur Thakor"/>
    <s v="Vadodara"/>
    <s v="Gujarat"/>
    <m/>
    <n v="108000"/>
    <n v="1071774"/>
    <s v="Deal Done"/>
    <x v="1"/>
    <d v="2026-04-24T00:00:00"/>
    <n v="20"/>
    <x v="0"/>
    <x v="4"/>
    <s v="Q2"/>
    <x v="0"/>
  </r>
  <r>
    <s v="EOS1776"/>
    <d v="2026-04-22T00:00:00"/>
    <s v="Google 4"/>
    <m/>
    <s v="Yuvraj Sinh "/>
    <s v="Rajkot"/>
    <s v="Gujarat"/>
    <m/>
    <n v="308000"/>
    <n v="1071775"/>
    <s v="Deal Done"/>
    <x v="1"/>
    <d v="2026-04-26T00:00:00"/>
    <n v="4"/>
    <x v="2"/>
    <x v="4"/>
    <s v="Q2"/>
    <x v="0"/>
  </r>
  <r>
    <s v="EOS1777"/>
    <d v="2026-05-25T00:00:00"/>
    <s v="Google 4"/>
    <m/>
    <s v="Pritam Sethy"/>
    <s v="Bhubaneshwar"/>
    <s v="Odisha"/>
    <m/>
    <n v="108000"/>
    <n v="1071776"/>
    <s v="Deal Done"/>
    <x v="1"/>
    <d v="2026-06-03T00:00:00"/>
    <n v="9"/>
    <x v="0"/>
    <x v="11"/>
    <s v="Q2"/>
    <x v="3"/>
  </r>
  <r>
    <s v="EOS1778"/>
    <d v="2026-04-06T00:00:00"/>
    <s v="FB5"/>
    <m/>
    <s v="Vijay Parmar"/>
    <s v="Ahmedabad"/>
    <s v="Gujarat"/>
    <m/>
    <n v="130000"/>
    <n v="1071777"/>
    <s v="Deal Done"/>
    <x v="1"/>
    <d v="2026-06-06T00:00:00"/>
    <n v="61"/>
    <x v="0"/>
    <x v="4"/>
    <s v="Q2"/>
    <x v="0"/>
  </r>
  <r>
    <m/>
    <m/>
    <m/>
    <m/>
    <m/>
    <m/>
    <m/>
    <m/>
    <m/>
    <m/>
    <m/>
    <x v="4"/>
    <m/>
    <s v=""/>
    <x v="3"/>
    <x v="12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7BBD0-6422-49D5-8700-F656C14BCBBE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1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>
      <items count="8">
        <item x="1"/>
        <item x="2"/>
        <item x="3"/>
        <item x="0"/>
        <item x="5"/>
        <item x="4"/>
        <item x="6"/>
        <item t="default"/>
      </items>
    </pivotField>
    <pivotField showAll="0"/>
    <pivotField axis="axisRow" showAll="0">
      <items count="215">
        <item x="145"/>
        <item x="146"/>
        <item x="78"/>
        <item x="14"/>
        <item x="18"/>
        <item x="7"/>
        <item x="11"/>
        <item x="96"/>
        <item x="83"/>
        <item x="132"/>
        <item x="17"/>
        <item x="23"/>
        <item x="8"/>
        <item x="15"/>
        <item x="9"/>
        <item x="10"/>
        <item x="4"/>
        <item x="59"/>
        <item x="41"/>
        <item x="80"/>
        <item x="110"/>
        <item x="93"/>
        <item x="57"/>
        <item x="90"/>
        <item x="49"/>
        <item x="140"/>
        <item x="40"/>
        <item x="38"/>
        <item x="26"/>
        <item x="198"/>
        <item x="151"/>
        <item x="210"/>
        <item x="101"/>
        <item x="102"/>
        <item x="147"/>
        <item x="65"/>
        <item x="204"/>
        <item x="109"/>
        <item x="170"/>
        <item x="181"/>
        <item x="211"/>
        <item x="117"/>
        <item x="34"/>
        <item x="1"/>
        <item x="53"/>
        <item x="213"/>
        <item x="106"/>
        <item x="134"/>
        <item x="158"/>
        <item x="159"/>
        <item x="143"/>
        <item x="64"/>
        <item x="27"/>
        <item x="20"/>
        <item x="60"/>
        <item x="25"/>
        <item x="162"/>
        <item x="206"/>
        <item x="178"/>
        <item x="123"/>
        <item x="156"/>
        <item x="43"/>
        <item x="95"/>
        <item x="84"/>
        <item x="127"/>
        <item x="94"/>
        <item x="182"/>
        <item x="195"/>
        <item x="141"/>
        <item x="161"/>
        <item x="138"/>
        <item x="37"/>
        <item x="89"/>
        <item x="29"/>
        <item x="74"/>
        <item x="104"/>
        <item x="73"/>
        <item x="119"/>
        <item x="125"/>
        <item x="155"/>
        <item x="201"/>
        <item x="183"/>
        <item x="137"/>
        <item x="86"/>
        <item x="157"/>
        <item x="168"/>
        <item x="166"/>
        <item x="167"/>
        <item x="203"/>
        <item x="121"/>
        <item x="200"/>
        <item x="129"/>
        <item x="61"/>
        <item x="22"/>
        <item x="165"/>
        <item x="173"/>
        <item x="45"/>
        <item x="180"/>
        <item x="150"/>
        <item x="179"/>
        <item x="92"/>
        <item x="5"/>
        <item x="79"/>
        <item x="75"/>
        <item x="16"/>
        <item x="142"/>
        <item x="135"/>
        <item x="176"/>
        <item x="149"/>
        <item x="190"/>
        <item x="97"/>
        <item x="6"/>
        <item x="47"/>
        <item x="91"/>
        <item x="68"/>
        <item x="212"/>
        <item x="148"/>
        <item x="24"/>
        <item x="42"/>
        <item x="21"/>
        <item x="192"/>
        <item x="85"/>
        <item x="189"/>
        <item x="124"/>
        <item x="187"/>
        <item x="196"/>
        <item x="111"/>
        <item x="72"/>
        <item x="136"/>
        <item x="144"/>
        <item x="82"/>
        <item x="131"/>
        <item x="33"/>
        <item x="30"/>
        <item x="48"/>
        <item x="58"/>
        <item x="120"/>
        <item x="112"/>
        <item x="154"/>
        <item x="197"/>
        <item x="103"/>
        <item x="193"/>
        <item x="128"/>
        <item x="52"/>
        <item x="56"/>
        <item x="100"/>
        <item x="31"/>
        <item x="66"/>
        <item x="39"/>
        <item x="133"/>
        <item x="163"/>
        <item x="0"/>
        <item x="50"/>
        <item x="51"/>
        <item x="169"/>
        <item x="62"/>
        <item x="105"/>
        <item x="122"/>
        <item x="77"/>
        <item x="36"/>
        <item x="67"/>
        <item x="88"/>
        <item x="115"/>
        <item x="54"/>
        <item x="108"/>
        <item x="113"/>
        <item x="99"/>
        <item x="114"/>
        <item x="63"/>
        <item x="46"/>
        <item x="107"/>
        <item x="81"/>
        <item x="118"/>
        <item x="139"/>
        <item x="199"/>
        <item x="70"/>
        <item x="12"/>
        <item x="175"/>
        <item x="98"/>
        <item x="172"/>
        <item x="184"/>
        <item x="152"/>
        <item x="160"/>
        <item x="130"/>
        <item x="71"/>
        <item x="191"/>
        <item x="205"/>
        <item x="174"/>
        <item x="208"/>
        <item x="194"/>
        <item x="209"/>
        <item x="69"/>
        <item x="185"/>
        <item x="186"/>
        <item x="188"/>
        <item x="44"/>
        <item x="13"/>
        <item x="19"/>
        <item x="207"/>
        <item x="164"/>
        <item x="202"/>
        <item x="87"/>
        <item x="126"/>
        <item x="116"/>
        <item x="171"/>
        <item x="2"/>
        <item x="3"/>
        <item x="55"/>
        <item x="76"/>
        <item x="32"/>
        <item x="28"/>
        <item x="35"/>
        <item x="177"/>
        <item x="153"/>
        <item t="default"/>
      </items>
    </pivotField>
  </pivotFields>
  <rowFields count="1">
    <field x="8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C23E4-2001-4930-979E-BEE241C07E8A}" name="PivotTable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0"/>
        <item x="5"/>
        <item x="4"/>
        <item x="6"/>
        <item t="default"/>
      </items>
    </pivotField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BAEDE-4895-4B26-862C-7B9032887A5D}" name="PivotTable7" cacheId="7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28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25">
        <item x="8"/>
        <item x="7"/>
        <item x="18"/>
        <item x="3"/>
        <item x="6"/>
        <item x="22"/>
        <item x="0"/>
        <item x="14"/>
        <item x="21"/>
        <item x="20"/>
        <item x="10"/>
        <item x="4"/>
        <item x="5"/>
        <item x="23"/>
        <item x="17"/>
        <item x="12"/>
        <item x="15"/>
        <item x="19"/>
        <item x="2"/>
        <item x="1"/>
        <item x="16"/>
        <item x="11"/>
        <item x="9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B0EEA-2702-4956-BECE-7A5F50AFA807}" name="PivotTable2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B18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dataField="1"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axis="axisRow"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11" item="0" hier="-1"/>
  </pageFields>
  <dataFields count="1">
    <dataField name="Average of Days To Closure" fld="13" subtotal="average" baseField="0" baseItem="0"/>
  </dataFields>
  <formats count="1">
    <format dxfId="1">
      <pivotArea outline="0" fieldPosition="0">
        <references count="1">
          <reference field="17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D132B-09C6-4626-A881-322FA6180E2D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dataField="1"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item="0" hier="-1"/>
  </pageFields>
  <dataFields count="1">
    <dataField name="Average of Days To Closure" fld="13" subtotal="average" baseField="0" baseItem="0"/>
  </dataFields>
  <formats count="1">
    <format dxfId="0">
      <pivotArea outline="0" fieldPosition="0">
        <references count="1">
          <reference field="14" count="1" selected="0">
            <x v="2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94C3A-06AD-42B3-A218-E681E7C4EA05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6:B31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axis="axisRow"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11" item="0" hier="-1"/>
  </pageFields>
  <dataFields count="1">
    <dataField name="Total Revenue Generated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C021D-46AB-4787-A6BE-ED978927EA36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0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 ID" fld="0" subtotal="count" baseField="0" baseItem="0"/>
    <dataField name="Sum of Franchise Package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829B3-5F14-43CC-8F61-4A903651CA91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13" firstHeaderRow="1" firstDataRow="1" firstDataCol="1" rowPageCount="1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5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item="0" hier="-1"/>
  </pageFields>
  <dataFields count="1">
    <dataField name="Converted Lead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AA38F-91CA-47A5-88C7-816942D4AC83}" name="PivotTable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7" firstHeaderRow="1" firstDataRow="1" firstDataCol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Leads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7C1FC-8A5E-4CB4-A5F8-7627B1C2926E}" name="PivotTable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3" firstHeaderRow="1" firstDataRow="1" firstDataCol="1" rowPageCount="1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5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item="0" hier="-1"/>
  </pageFields>
  <dataFields count="1">
    <dataField name="Count of Lead ID" fld="0" subtotal="count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971C0-5244-41FE-BBD9-7737CFB6D84B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ranchise Package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E0D12-FC34-472A-B8B9-A7E572B96892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C17" firstHeaderRow="0" firstDataRow="1" firstDataCol="1" rowPageCount="1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0" hier="-1"/>
  </pageFields>
  <dataFields count="2">
    <dataField name="Total Leads" fld="0" subtotal="count" baseField="0" baseItem="0"/>
    <dataField name="Sum of Franchise Package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E1E1C-B039-47BC-8621-4F461663CC25}" name="PivotTable2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item="0" hier="-1"/>
  </pageFields>
  <dataFields count="1">
    <dataField name="Sum of Franchise Package Amount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846E3-8CA1-4710-ABA0-2FB5197B2E49}" name="PivotTable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0" firstDataRow="1" firstDataCol="1" rowPageCount="1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axis="axisRow"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Lead" fld="0" subtotal="count" baseField="0" baseItem="0"/>
    <dataField name="Count of Franchise Package Amoun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4DD4F-0836-438D-A809-F9F1698BE7E1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C18" firstHeaderRow="0" firstDataRow="1" firstDataCol="1" rowPageCount="1" colPageCount="1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1"/>
        <item h="1" x="2"/>
        <item h="1" x="3"/>
        <item h="1" x="0"/>
        <item h="1" x="4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14">
        <item x="2"/>
        <item x="9"/>
        <item x="10"/>
        <item x="4"/>
        <item x="11"/>
        <item x="0"/>
        <item x="1"/>
        <item x="3"/>
        <item x="5"/>
        <item x="6"/>
        <item x="7"/>
        <item x="8"/>
        <item x="12"/>
        <item t="default"/>
      </items>
    </pivotField>
    <pivotField compact="0" outline="0" showAll="0"/>
    <pivotField axis="axisRow" compact="0" outline="0" showAll="0">
      <items count="7">
        <item x="2"/>
        <item x="3"/>
        <item x="1"/>
        <item x="4"/>
        <item x="0"/>
        <item x="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Lead" fld="0" subtotal="count" baseField="0" baseItem="0"/>
    <dataField name="Potential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449B-42E0-4BE3-8B78-057157DDCD7D}">
  <dimension ref="A3:A218"/>
  <sheetViews>
    <sheetView workbookViewId="0">
      <selection activeCell="A3" sqref="A3"/>
    </sheetView>
  </sheetViews>
  <sheetFormatPr defaultRowHeight="15"/>
  <cols>
    <col min="1" max="1" width="42.42578125" bestFit="1" customWidth="1"/>
    <col min="2" max="7" width="16.28515625" bestFit="1" customWidth="1"/>
    <col min="8" max="8" width="11.28515625" bestFit="1" customWidth="1"/>
  </cols>
  <sheetData>
    <row r="3" spans="1:1">
      <c r="A3" s="23" t="s">
        <v>0</v>
      </c>
    </row>
    <row r="4" spans="1:1">
      <c r="A4" s="24">
        <v>1</v>
      </c>
    </row>
    <row r="5" spans="1:1">
      <c r="A5" s="24">
        <v>2</v>
      </c>
    </row>
    <row r="6" spans="1:1">
      <c r="A6" s="24">
        <v>50000</v>
      </c>
    </row>
    <row r="7" spans="1:1">
      <c r="A7" s="24" t="s">
        <v>1</v>
      </c>
    </row>
    <row r="8" spans="1:1">
      <c r="A8" s="24" t="s">
        <v>2</v>
      </c>
    </row>
    <row r="9" spans="1:1">
      <c r="A9" s="24" t="s">
        <v>3</v>
      </c>
    </row>
    <row r="10" spans="1:1">
      <c r="A10" s="24" t="s">
        <v>4</v>
      </c>
    </row>
    <row r="11" spans="1:1">
      <c r="A11" s="24" t="s">
        <v>5</v>
      </c>
    </row>
    <row r="12" spans="1:1">
      <c r="A12" s="24" t="s">
        <v>6</v>
      </c>
    </row>
    <row r="13" spans="1:1">
      <c r="A13" s="24" t="s">
        <v>7</v>
      </c>
    </row>
    <row r="14" spans="1:1">
      <c r="A14" s="24" t="s">
        <v>8</v>
      </c>
    </row>
    <row r="15" spans="1:1">
      <c r="A15" s="24" t="s">
        <v>9</v>
      </c>
    </row>
    <row r="16" spans="1:1">
      <c r="A16" s="24" t="s">
        <v>10</v>
      </c>
    </row>
    <row r="17" spans="1:1">
      <c r="A17" s="24" t="s">
        <v>11</v>
      </c>
    </row>
    <row r="18" spans="1:1">
      <c r="A18" s="24" t="s">
        <v>12</v>
      </c>
    </row>
    <row r="19" spans="1:1">
      <c r="A19" s="24" t="s">
        <v>13</v>
      </c>
    </row>
    <row r="20" spans="1:1">
      <c r="A20" s="24" t="s">
        <v>14</v>
      </c>
    </row>
    <row r="21" spans="1:1">
      <c r="A21" s="24" t="s">
        <v>15</v>
      </c>
    </row>
    <row r="22" spans="1:1">
      <c r="A22" s="24" t="s">
        <v>16</v>
      </c>
    </row>
    <row r="23" spans="1:1">
      <c r="A23" s="24" t="s">
        <v>17</v>
      </c>
    </row>
    <row r="24" spans="1:1">
      <c r="A24" s="24" t="s">
        <v>18</v>
      </c>
    </row>
    <row r="25" spans="1:1">
      <c r="A25" s="24" t="s">
        <v>19</v>
      </c>
    </row>
    <row r="26" spans="1:1">
      <c r="A26" s="24" t="s">
        <v>20</v>
      </c>
    </row>
    <row r="27" spans="1:1">
      <c r="A27" s="24" t="s">
        <v>21</v>
      </c>
    </row>
    <row r="28" spans="1:1">
      <c r="A28" s="24" t="s">
        <v>22</v>
      </c>
    </row>
    <row r="29" spans="1:1">
      <c r="A29" s="24" t="s">
        <v>23</v>
      </c>
    </row>
    <row r="30" spans="1:1">
      <c r="A30" s="24" t="s">
        <v>24</v>
      </c>
    </row>
    <row r="31" spans="1:1">
      <c r="A31" s="24" t="s">
        <v>25</v>
      </c>
    </row>
    <row r="32" spans="1:1">
      <c r="A32" s="24" t="s">
        <v>26</v>
      </c>
    </row>
    <row r="33" spans="1:1">
      <c r="A33" s="24" t="s">
        <v>27</v>
      </c>
    </row>
    <row r="34" spans="1:1">
      <c r="A34" s="24" t="s">
        <v>28</v>
      </c>
    </row>
    <row r="35" spans="1:1">
      <c r="A35" s="24" t="s">
        <v>29</v>
      </c>
    </row>
    <row r="36" spans="1:1">
      <c r="A36" s="24" t="s">
        <v>30</v>
      </c>
    </row>
    <row r="37" spans="1:1">
      <c r="A37" s="24" t="s">
        <v>31</v>
      </c>
    </row>
    <row r="38" spans="1:1">
      <c r="A38" s="24" t="s">
        <v>32</v>
      </c>
    </row>
    <row r="39" spans="1:1">
      <c r="A39" s="24" t="s">
        <v>33</v>
      </c>
    </row>
    <row r="40" spans="1:1">
      <c r="A40" s="24" t="s">
        <v>34</v>
      </c>
    </row>
    <row r="41" spans="1:1">
      <c r="A41" s="24" t="s">
        <v>35</v>
      </c>
    </row>
    <row r="42" spans="1:1">
      <c r="A42" s="24" t="s">
        <v>36</v>
      </c>
    </row>
    <row r="43" spans="1:1">
      <c r="A43" s="24" t="s">
        <v>37</v>
      </c>
    </row>
    <row r="44" spans="1:1">
      <c r="A44" s="24" t="s">
        <v>38</v>
      </c>
    </row>
    <row r="45" spans="1:1">
      <c r="A45" s="24" t="s">
        <v>39</v>
      </c>
    </row>
    <row r="46" spans="1:1">
      <c r="A46" s="24" t="s">
        <v>40</v>
      </c>
    </row>
    <row r="47" spans="1:1">
      <c r="A47" s="24" t="s">
        <v>41</v>
      </c>
    </row>
    <row r="48" spans="1:1">
      <c r="A48" s="24" t="s">
        <v>42</v>
      </c>
    </row>
    <row r="49" spans="1:1">
      <c r="A49" s="24" t="s">
        <v>43</v>
      </c>
    </row>
    <row r="50" spans="1:1">
      <c r="A50" s="24" t="s">
        <v>44</v>
      </c>
    </row>
    <row r="51" spans="1:1">
      <c r="A51" s="24" t="s">
        <v>45</v>
      </c>
    </row>
    <row r="52" spans="1:1">
      <c r="A52" s="24" t="s">
        <v>46</v>
      </c>
    </row>
    <row r="53" spans="1:1">
      <c r="A53" s="24" t="s">
        <v>47</v>
      </c>
    </row>
    <row r="54" spans="1:1">
      <c r="A54" s="24" t="s">
        <v>48</v>
      </c>
    </row>
    <row r="55" spans="1:1">
      <c r="A55" s="24" t="s">
        <v>49</v>
      </c>
    </row>
    <row r="56" spans="1:1">
      <c r="A56" s="24" t="s">
        <v>50</v>
      </c>
    </row>
    <row r="57" spans="1:1">
      <c r="A57" s="24" t="s">
        <v>51</v>
      </c>
    </row>
    <row r="58" spans="1:1">
      <c r="A58" s="24" t="s">
        <v>52</v>
      </c>
    </row>
    <row r="59" spans="1:1">
      <c r="A59" s="24" t="s">
        <v>53</v>
      </c>
    </row>
    <row r="60" spans="1:1">
      <c r="A60" s="24" t="s">
        <v>54</v>
      </c>
    </row>
    <row r="61" spans="1:1">
      <c r="A61" s="24" t="s">
        <v>55</v>
      </c>
    </row>
    <row r="62" spans="1:1">
      <c r="A62" s="24" t="s">
        <v>56</v>
      </c>
    </row>
    <row r="63" spans="1:1">
      <c r="A63" s="24" t="s">
        <v>57</v>
      </c>
    </row>
    <row r="64" spans="1:1">
      <c r="A64" s="24" t="s">
        <v>58</v>
      </c>
    </row>
    <row r="65" spans="1:1">
      <c r="A65" s="24" t="s">
        <v>59</v>
      </c>
    </row>
    <row r="66" spans="1:1">
      <c r="A66" s="24" t="s">
        <v>60</v>
      </c>
    </row>
    <row r="67" spans="1:1">
      <c r="A67" s="24" t="s">
        <v>61</v>
      </c>
    </row>
    <row r="68" spans="1:1">
      <c r="A68" s="24" t="s">
        <v>62</v>
      </c>
    </row>
    <row r="69" spans="1:1">
      <c r="A69" s="24" t="s">
        <v>63</v>
      </c>
    </row>
    <row r="70" spans="1:1">
      <c r="A70" s="24" t="s">
        <v>64</v>
      </c>
    </row>
    <row r="71" spans="1:1">
      <c r="A71" s="24" t="s">
        <v>65</v>
      </c>
    </row>
    <row r="72" spans="1:1">
      <c r="A72" s="24" t="s">
        <v>66</v>
      </c>
    </row>
    <row r="73" spans="1:1">
      <c r="A73" s="24" t="s">
        <v>67</v>
      </c>
    </row>
    <row r="74" spans="1:1">
      <c r="A74" s="24" t="s">
        <v>68</v>
      </c>
    </row>
    <row r="75" spans="1:1">
      <c r="A75" s="24" t="s">
        <v>69</v>
      </c>
    </row>
    <row r="76" spans="1:1">
      <c r="A76" s="24" t="s">
        <v>70</v>
      </c>
    </row>
    <row r="77" spans="1:1">
      <c r="A77" s="24" t="s">
        <v>71</v>
      </c>
    </row>
    <row r="78" spans="1:1">
      <c r="A78" s="24" t="s">
        <v>72</v>
      </c>
    </row>
    <row r="79" spans="1:1">
      <c r="A79" s="24" t="s">
        <v>73</v>
      </c>
    </row>
    <row r="80" spans="1:1">
      <c r="A80" s="24" t="s">
        <v>74</v>
      </c>
    </row>
    <row r="81" spans="1:1">
      <c r="A81" s="24" t="s">
        <v>75</v>
      </c>
    </row>
    <row r="82" spans="1:1">
      <c r="A82" s="24" t="s">
        <v>76</v>
      </c>
    </row>
    <row r="83" spans="1:1">
      <c r="A83" s="24" t="s">
        <v>77</v>
      </c>
    </row>
    <row r="84" spans="1:1">
      <c r="A84" s="24" t="s">
        <v>78</v>
      </c>
    </row>
    <row r="85" spans="1:1">
      <c r="A85" s="24" t="s">
        <v>79</v>
      </c>
    </row>
    <row r="86" spans="1:1">
      <c r="A86" s="24" t="s">
        <v>80</v>
      </c>
    </row>
    <row r="87" spans="1:1">
      <c r="A87" s="24" t="s">
        <v>81</v>
      </c>
    </row>
    <row r="88" spans="1:1">
      <c r="A88" s="24" t="s">
        <v>82</v>
      </c>
    </row>
    <row r="89" spans="1:1">
      <c r="A89" s="24" t="s">
        <v>83</v>
      </c>
    </row>
    <row r="90" spans="1:1">
      <c r="A90" s="24" t="s">
        <v>84</v>
      </c>
    </row>
    <row r="91" spans="1:1">
      <c r="A91" s="24" t="s">
        <v>85</v>
      </c>
    </row>
    <row r="92" spans="1:1">
      <c r="A92" s="24" t="s">
        <v>86</v>
      </c>
    </row>
    <row r="93" spans="1:1">
      <c r="A93" s="24" t="s">
        <v>87</v>
      </c>
    </row>
    <row r="94" spans="1:1">
      <c r="A94" s="24" t="s">
        <v>88</v>
      </c>
    </row>
    <row r="95" spans="1:1">
      <c r="A95" s="24" t="s">
        <v>89</v>
      </c>
    </row>
    <row r="96" spans="1:1">
      <c r="A96" s="24" t="s">
        <v>90</v>
      </c>
    </row>
    <row r="97" spans="1:1">
      <c r="A97" s="24" t="s">
        <v>91</v>
      </c>
    </row>
    <row r="98" spans="1:1">
      <c r="A98" s="24" t="s">
        <v>92</v>
      </c>
    </row>
    <row r="99" spans="1:1">
      <c r="A99" s="24" t="s">
        <v>93</v>
      </c>
    </row>
    <row r="100" spans="1:1">
      <c r="A100" s="24" t="s">
        <v>94</v>
      </c>
    </row>
    <row r="101" spans="1:1">
      <c r="A101" s="24" t="s">
        <v>95</v>
      </c>
    </row>
    <row r="102" spans="1:1">
      <c r="A102" s="24" t="s">
        <v>96</v>
      </c>
    </row>
    <row r="103" spans="1:1">
      <c r="A103" s="24" t="s">
        <v>97</v>
      </c>
    </row>
    <row r="104" spans="1:1">
      <c r="A104" s="24" t="s">
        <v>98</v>
      </c>
    </row>
    <row r="105" spans="1:1">
      <c r="A105" s="24" t="s">
        <v>99</v>
      </c>
    </row>
    <row r="106" spans="1:1">
      <c r="A106" s="24" t="s">
        <v>100</v>
      </c>
    </row>
    <row r="107" spans="1:1">
      <c r="A107" s="24" t="s">
        <v>101</v>
      </c>
    </row>
    <row r="108" spans="1:1">
      <c r="A108" s="24" t="s">
        <v>102</v>
      </c>
    </row>
    <row r="109" spans="1:1">
      <c r="A109" s="24" t="s">
        <v>103</v>
      </c>
    </row>
    <row r="110" spans="1:1">
      <c r="A110" s="24" t="s">
        <v>104</v>
      </c>
    </row>
    <row r="111" spans="1:1">
      <c r="A111" s="24" t="s">
        <v>105</v>
      </c>
    </row>
    <row r="112" spans="1:1">
      <c r="A112" s="24" t="s">
        <v>106</v>
      </c>
    </row>
    <row r="113" spans="1:1">
      <c r="A113" s="24" t="s">
        <v>107</v>
      </c>
    </row>
    <row r="114" spans="1:1">
      <c r="A114" s="24" t="s">
        <v>108</v>
      </c>
    </row>
    <row r="115" spans="1:1">
      <c r="A115" s="24" t="s">
        <v>109</v>
      </c>
    </row>
    <row r="116" spans="1:1">
      <c r="A116" s="24" t="s">
        <v>110</v>
      </c>
    </row>
    <row r="117" spans="1:1">
      <c r="A117" s="24" t="s">
        <v>111</v>
      </c>
    </row>
    <row r="118" spans="1:1">
      <c r="A118" s="24" t="s">
        <v>112</v>
      </c>
    </row>
    <row r="119" spans="1:1">
      <c r="A119" s="24" t="s">
        <v>113</v>
      </c>
    </row>
    <row r="120" spans="1:1">
      <c r="A120" s="24" t="s">
        <v>114</v>
      </c>
    </row>
    <row r="121" spans="1:1">
      <c r="A121" s="24" t="s">
        <v>115</v>
      </c>
    </row>
    <row r="122" spans="1:1">
      <c r="A122" s="24" t="s">
        <v>116</v>
      </c>
    </row>
    <row r="123" spans="1:1">
      <c r="A123" s="24" t="s">
        <v>117</v>
      </c>
    </row>
    <row r="124" spans="1:1">
      <c r="A124" s="24" t="s">
        <v>118</v>
      </c>
    </row>
    <row r="125" spans="1:1">
      <c r="A125" s="24" t="s">
        <v>119</v>
      </c>
    </row>
    <row r="126" spans="1:1">
      <c r="A126" s="24" t="s">
        <v>120</v>
      </c>
    </row>
    <row r="127" spans="1:1">
      <c r="A127" s="24" t="s">
        <v>121</v>
      </c>
    </row>
    <row r="128" spans="1:1">
      <c r="A128" s="24" t="s">
        <v>122</v>
      </c>
    </row>
    <row r="129" spans="1:1">
      <c r="A129" s="24" t="s">
        <v>123</v>
      </c>
    </row>
    <row r="130" spans="1:1">
      <c r="A130" s="24" t="s">
        <v>124</v>
      </c>
    </row>
    <row r="131" spans="1:1">
      <c r="A131" s="24" t="s">
        <v>125</v>
      </c>
    </row>
    <row r="132" spans="1:1">
      <c r="A132" s="24" t="s">
        <v>126</v>
      </c>
    </row>
    <row r="133" spans="1:1">
      <c r="A133" s="24" t="s">
        <v>127</v>
      </c>
    </row>
    <row r="134" spans="1:1">
      <c r="A134" s="24" t="s">
        <v>128</v>
      </c>
    </row>
    <row r="135" spans="1:1">
      <c r="A135" s="24" t="s">
        <v>129</v>
      </c>
    </row>
    <row r="136" spans="1:1">
      <c r="A136" s="24" t="s">
        <v>130</v>
      </c>
    </row>
    <row r="137" spans="1:1">
      <c r="A137" s="24" t="s">
        <v>131</v>
      </c>
    </row>
    <row r="138" spans="1:1">
      <c r="A138" s="24" t="s">
        <v>132</v>
      </c>
    </row>
    <row r="139" spans="1:1">
      <c r="A139" s="24" t="s">
        <v>133</v>
      </c>
    </row>
    <row r="140" spans="1:1">
      <c r="A140" s="24" t="s">
        <v>134</v>
      </c>
    </row>
    <row r="141" spans="1:1">
      <c r="A141" s="24" t="s">
        <v>135</v>
      </c>
    </row>
    <row r="142" spans="1:1">
      <c r="A142" s="24" t="s">
        <v>136</v>
      </c>
    </row>
    <row r="143" spans="1:1">
      <c r="A143" s="24" t="s">
        <v>137</v>
      </c>
    </row>
    <row r="144" spans="1:1">
      <c r="A144" s="24" t="s">
        <v>138</v>
      </c>
    </row>
    <row r="145" spans="1:1">
      <c r="A145" s="24" t="s">
        <v>139</v>
      </c>
    </row>
    <row r="146" spans="1:1">
      <c r="A146" s="24" t="s">
        <v>140</v>
      </c>
    </row>
    <row r="147" spans="1:1">
      <c r="A147" s="24" t="s">
        <v>141</v>
      </c>
    </row>
    <row r="148" spans="1:1">
      <c r="A148" s="24" t="s">
        <v>142</v>
      </c>
    </row>
    <row r="149" spans="1:1">
      <c r="A149" s="24" t="s">
        <v>143</v>
      </c>
    </row>
    <row r="150" spans="1:1">
      <c r="A150" s="24" t="s">
        <v>144</v>
      </c>
    </row>
    <row r="151" spans="1:1">
      <c r="A151" s="24" t="s">
        <v>145</v>
      </c>
    </row>
    <row r="152" spans="1:1">
      <c r="A152" s="24" t="s">
        <v>146</v>
      </c>
    </row>
    <row r="153" spans="1:1">
      <c r="A153" s="24" t="s">
        <v>147</v>
      </c>
    </row>
    <row r="154" spans="1:1">
      <c r="A154" s="24" t="s">
        <v>148</v>
      </c>
    </row>
    <row r="155" spans="1:1">
      <c r="A155" s="24" t="s">
        <v>149</v>
      </c>
    </row>
    <row r="156" spans="1:1">
      <c r="A156" s="24" t="s">
        <v>150</v>
      </c>
    </row>
    <row r="157" spans="1:1">
      <c r="A157" s="24" t="s">
        <v>151</v>
      </c>
    </row>
    <row r="158" spans="1:1">
      <c r="A158" s="24" t="s">
        <v>152</v>
      </c>
    </row>
    <row r="159" spans="1:1">
      <c r="A159" s="24" t="s">
        <v>153</v>
      </c>
    </row>
    <row r="160" spans="1:1">
      <c r="A160" s="24" t="s">
        <v>154</v>
      </c>
    </row>
    <row r="161" spans="1:1">
      <c r="A161" s="24" t="s">
        <v>155</v>
      </c>
    </row>
    <row r="162" spans="1:1">
      <c r="A162" s="24" t="s">
        <v>156</v>
      </c>
    </row>
    <row r="163" spans="1:1">
      <c r="A163" s="24" t="s">
        <v>157</v>
      </c>
    </row>
    <row r="164" spans="1:1">
      <c r="A164" s="24" t="s">
        <v>158</v>
      </c>
    </row>
    <row r="165" spans="1:1">
      <c r="A165" s="24" t="s">
        <v>159</v>
      </c>
    </row>
    <row r="166" spans="1:1">
      <c r="A166" s="24" t="s">
        <v>160</v>
      </c>
    </row>
    <row r="167" spans="1:1">
      <c r="A167" s="24" t="s">
        <v>161</v>
      </c>
    </row>
    <row r="168" spans="1:1">
      <c r="A168" s="24" t="s">
        <v>162</v>
      </c>
    </row>
    <row r="169" spans="1:1">
      <c r="A169" s="24" t="s">
        <v>163</v>
      </c>
    </row>
    <row r="170" spans="1:1">
      <c r="A170" s="24" t="s">
        <v>164</v>
      </c>
    </row>
    <row r="171" spans="1:1">
      <c r="A171" s="24" t="s">
        <v>165</v>
      </c>
    </row>
    <row r="172" spans="1:1">
      <c r="A172" s="24" t="s">
        <v>166</v>
      </c>
    </row>
    <row r="173" spans="1:1">
      <c r="A173" s="24" t="s">
        <v>167</v>
      </c>
    </row>
    <row r="174" spans="1:1">
      <c r="A174" s="24" t="s">
        <v>168</v>
      </c>
    </row>
    <row r="175" spans="1:1">
      <c r="A175" s="24" t="s">
        <v>169</v>
      </c>
    </row>
    <row r="176" spans="1:1">
      <c r="A176" s="24" t="s">
        <v>170</v>
      </c>
    </row>
    <row r="177" spans="1:1">
      <c r="A177" s="24" t="s">
        <v>171</v>
      </c>
    </row>
    <row r="178" spans="1:1">
      <c r="A178" s="24" t="s">
        <v>172</v>
      </c>
    </row>
    <row r="179" spans="1:1">
      <c r="A179" s="24" t="s">
        <v>173</v>
      </c>
    </row>
    <row r="180" spans="1:1">
      <c r="A180" s="24" t="s">
        <v>174</v>
      </c>
    </row>
    <row r="181" spans="1:1">
      <c r="A181" s="24" t="s">
        <v>175</v>
      </c>
    </row>
    <row r="182" spans="1:1">
      <c r="A182" s="24" t="s">
        <v>176</v>
      </c>
    </row>
    <row r="183" spans="1:1">
      <c r="A183" s="24" t="s">
        <v>177</v>
      </c>
    </row>
    <row r="184" spans="1:1">
      <c r="A184" s="24" t="s">
        <v>178</v>
      </c>
    </row>
    <row r="185" spans="1:1">
      <c r="A185" s="24" t="s">
        <v>179</v>
      </c>
    </row>
    <row r="186" spans="1:1">
      <c r="A186" s="24" t="s">
        <v>180</v>
      </c>
    </row>
    <row r="187" spans="1:1">
      <c r="A187" s="24" t="s">
        <v>181</v>
      </c>
    </row>
    <row r="188" spans="1:1">
      <c r="A188" s="24" t="s">
        <v>182</v>
      </c>
    </row>
    <row r="189" spans="1:1">
      <c r="A189" s="24" t="s">
        <v>183</v>
      </c>
    </row>
    <row r="190" spans="1:1">
      <c r="A190" s="24" t="s">
        <v>184</v>
      </c>
    </row>
    <row r="191" spans="1:1">
      <c r="A191" s="24" t="s">
        <v>185</v>
      </c>
    </row>
    <row r="192" spans="1:1">
      <c r="A192" s="24" t="s">
        <v>186</v>
      </c>
    </row>
    <row r="193" spans="1:1">
      <c r="A193" s="24" t="s">
        <v>187</v>
      </c>
    </row>
    <row r="194" spans="1:1">
      <c r="A194" s="24" t="s">
        <v>188</v>
      </c>
    </row>
    <row r="195" spans="1:1">
      <c r="A195" s="24" t="s">
        <v>189</v>
      </c>
    </row>
    <row r="196" spans="1:1">
      <c r="A196" s="24" t="s">
        <v>190</v>
      </c>
    </row>
    <row r="197" spans="1:1">
      <c r="A197" s="24" t="s">
        <v>191</v>
      </c>
    </row>
    <row r="198" spans="1:1">
      <c r="A198" s="24" t="s">
        <v>192</v>
      </c>
    </row>
    <row r="199" spans="1:1">
      <c r="A199" s="24" t="s">
        <v>193</v>
      </c>
    </row>
    <row r="200" spans="1:1">
      <c r="A200" s="24" t="s">
        <v>194</v>
      </c>
    </row>
    <row r="201" spans="1:1">
      <c r="A201" s="24" t="s">
        <v>195</v>
      </c>
    </row>
    <row r="202" spans="1:1">
      <c r="A202" s="24" t="s">
        <v>196</v>
      </c>
    </row>
    <row r="203" spans="1:1">
      <c r="A203" s="24" t="s">
        <v>197</v>
      </c>
    </row>
    <row r="204" spans="1:1">
      <c r="A204" s="24" t="s">
        <v>198</v>
      </c>
    </row>
    <row r="205" spans="1:1">
      <c r="A205" s="24" t="s">
        <v>199</v>
      </c>
    </row>
    <row r="206" spans="1:1">
      <c r="A206" s="24" t="s">
        <v>200</v>
      </c>
    </row>
    <row r="207" spans="1:1">
      <c r="A207" s="24" t="s">
        <v>201</v>
      </c>
    </row>
    <row r="208" spans="1:1">
      <c r="A208" s="24" t="s">
        <v>202</v>
      </c>
    </row>
    <row r="209" spans="1:1">
      <c r="A209" s="24" t="s">
        <v>203</v>
      </c>
    </row>
    <row r="210" spans="1:1">
      <c r="A210" s="24" t="s">
        <v>204</v>
      </c>
    </row>
    <row r="211" spans="1:1">
      <c r="A211" s="24" t="s">
        <v>205</v>
      </c>
    </row>
    <row r="212" spans="1:1">
      <c r="A212" s="24" t="s">
        <v>206</v>
      </c>
    </row>
    <row r="213" spans="1:1">
      <c r="A213" s="24" t="s">
        <v>207</v>
      </c>
    </row>
    <row r="214" spans="1:1">
      <c r="A214" s="24" t="s">
        <v>208</v>
      </c>
    </row>
    <row r="215" spans="1:1">
      <c r="A215" s="24" t="s">
        <v>209</v>
      </c>
    </row>
    <row r="216" spans="1:1">
      <c r="A216" s="25">
        <v>46028</v>
      </c>
    </row>
    <row r="217" spans="1:1">
      <c r="A217" s="24" t="s">
        <v>210</v>
      </c>
    </row>
    <row r="218" spans="1:1">
      <c r="A218" s="24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770E-5C01-41F6-ACB3-61CBCFB39E62}">
  <dimension ref="A3:A11"/>
  <sheetViews>
    <sheetView workbookViewId="0">
      <selection activeCell="A4" sqref="A4:A9"/>
    </sheetView>
  </sheetViews>
  <sheetFormatPr defaultRowHeight="15"/>
  <cols>
    <col min="1" max="1" width="13.140625" bestFit="1" customWidth="1"/>
    <col min="2" max="2" width="7.140625" bestFit="1" customWidth="1"/>
    <col min="3" max="7" width="16.28515625" bestFit="1" customWidth="1"/>
    <col min="8" max="8" width="11.28515625" bestFit="1" customWidth="1"/>
  </cols>
  <sheetData>
    <row r="3" spans="1:1">
      <c r="A3" s="23" t="s">
        <v>0</v>
      </c>
    </row>
    <row r="4" spans="1:1">
      <c r="A4" s="24" t="s">
        <v>40</v>
      </c>
    </row>
    <row r="5" spans="1:1">
      <c r="A5" s="24" t="s">
        <v>212</v>
      </c>
    </row>
    <row r="6" spans="1:1">
      <c r="A6" s="24" t="s">
        <v>69</v>
      </c>
    </row>
    <row r="7" spans="1:1">
      <c r="A7" s="24" t="s">
        <v>149</v>
      </c>
    </row>
    <row r="8" spans="1:1">
      <c r="A8" s="24" t="s">
        <v>150</v>
      </c>
    </row>
    <row r="9" spans="1:1">
      <c r="A9" s="24" t="s">
        <v>172</v>
      </c>
    </row>
    <row r="10" spans="1:1">
      <c r="A10" s="24" t="s">
        <v>210</v>
      </c>
    </row>
    <row r="11" spans="1:1">
      <c r="A11" s="24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C88F-268A-4932-9B87-625410EDD705}">
  <dimension ref="A3:B28"/>
  <sheetViews>
    <sheetView topLeftCell="A9" workbookViewId="0">
      <selection activeCell="C29" sqref="C29"/>
    </sheetView>
  </sheetViews>
  <sheetFormatPr defaultRowHeight="15"/>
  <cols>
    <col min="1" max="1" width="15.7109375" bestFit="1" customWidth="1"/>
  </cols>
  <sheetData>
    <row r="3" spans="1:2">
      <c r="A3" s="23" t="s">
        <v>0</v>
      </c>
    </row>
    <row r="4" spans="1:2">
      <c r="A4" s="24" t="s">
        <v>213</v>
      </c>
      <c r="B4" t="s">
        <v>214</v>
      </c>
    </row>
    <row r="5" spans="1:2">
      <c r="A5" s="24" t="s">
        <v>215</v>
      </c>
      <c r="B5" t="s">
        <v>214</v>
      </c>
    </row>
    <row r="6" spans="1:2">
      <c r="A6" s="24" t="s">
        <v>216</v>
      </c>
    </row>
    <row r="7" spans="1:2">
      <c r="A7" s="24" t="s">
        <v>217</v>
      </c>
      <c r="B7" t="s">
        <v>218</v>
      </c>
    </row>
    <row r="8" spans="1:2">
      <c r="A8" s="24" t="s">
        <v>219</v>
      </c>
      <c r="B8" t="s">
        <v>220</v>
      </c>
    </row>
    <row r="9" spans="1:2">
      <c r="A9" s="24" t="s">
        <v>221</v>
      </c>
      <c r="B9" t="s">
        <v>222</v>
      </c>
    </row>
    <row r="10" spans="1:2">
      <c r="A10" s="24" t="s">
        <v>223</v>
      </c>
      <c r="B10" t="s">
        <v>222</v>
      </c>
    </row>
    <row r="11" spans="1:2">
      <c r="A11" s="24" t="s">
        <v>224</v>
      </c>
    </row>
    <row r="12" spans="1:2">
      <c r="A12" s="24" t="s">
        <v>225</v>
      </c>
      <c r="B12" t="s">
        <v>220</v>
      </c>
    </row>
    <row r="13" spans="1:2">
      <c r="A13" s="24" t="s">
        <v>226</v>
      </c>
    </row>
    <row r="14" spans="1:2">
      <c r="A14" s="24" t="s">
        <v>227</v>
      </c>
      <c r="B14" t="s">
        <v>214</v>
      </c>
    </row>
    <row r="15" spans="1:2">
      <c r="A15" s="24" t="s">
        <v>228</v>
      </c>
      <c r="B15" t="s">
        <v>218</v>
      </c>
    </row>
    <row r="16" spans="1:2">
      <c r="A16" s="24" t="s">
        <v>229</v>
      </c>
      <c r="B16" t="s">
        <v>222</v>
      </c>
    </row>
    <row r="17" spans="1:2">
      <c r="A17" s="24" t="s">
        <v>230</v>
      </c>
      <c r="B17" t="s">
        <v>214</v>
      </c>
    </row>
    <row r="18" spans="1:2">
      <c r="A18" s="24" t="s">
        <v>231</v>
      </c>
      <c r="B18" t="s">
        <v>214</v>
      </c>
    </row>
    <row r="19" spans="1:2">
      <c r="A19" s="24" t="s">
        <v>232</v>
      </c>
      <c r="B19" t="s">
        <v>214</v>
      </c>
    </row>
    <row r="20" spans="1:2">
      <c r="A20" s="24" t="s">
        <v>233</v>
      </c>
      <c r="B20" t="s">
        <v>220</v>
      </c>
    </row>
    <row r="21" spans="1:2">
      <c r="A21" s="24" t="s">
        <v>234</v>
      </c>
    </row>
    <row r="22" spans="1:2">
      <c r="A22" s="24" t="s">
        <v>235</v>
      </c>
      <c r="B22" t="s">
        <v>222</v>
      </c>
    </row>
    <row r="23" spans="1:2">
      <c r="A23" s="24" t="s">
        <v>236</v>
      </c>
      <c r="B23" t="s">
        <v>220</v>
      </c>
    </row>
    <row r="24" spans="1:2">
      <c r="A24" s="24" t="s">
        <v>237</v>
      </c>
    </row>
    <row r="25" spans="1:2">
      <c r="A25" s="24" t="s">
        <v>238</v>
      </c>
      <c r="B25" t="s">
        <v>220</v>
      </c>
    </row>
    <row r="26" spans="1:2">
      <c r="A26" s="24" t="s">
        <v>239</v>
      </c>
      <c r="B26" t="s">
        <v>214</v>
      </c>
    </row>
    <row r="27" spans="1:2">
      <c r="A27" s="24" t="s">
        <v>210</v>
      </c>
    </row>
    <row r="28" spans="1:2">
      <c r="A28" s="24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FDAB-AB54-40EF-B544-F9C2258E7FE3}">
  <dimension ref="A1:B18"/>
  <sheetViews>
    <sheetView workbookViewId="0">
      <selection activeCell="A2" sqref="A2"/>
    </sheetView>
  </sheetViews>
  <sheetFormatPr defaultRowHeight="15"/>
  <cols>
    <col min="1" max="1" width="15.7109375" bestFit="1" customWidth="1"/>
    <col min="2" max="2" width="7.42578125" bestFit="1" customWidth="1"/>
  </cols>
  <sheetData>
    <row r="1" spans="1:2">
      <c r="A1" s="24" t="s">
        <v>213</v>
      </c>
      <c r="B1" t="s">
        <v>214</v>
      </c>
    </row>
    <row r="2" spans="1:2">
      <c r="A2" s="24" t="s">
        <v>215</v>
      </c>
      <c r="B2" t="s">
        <v>214</v>
      </c>
    </row>
    <row r="3" spans="1:2">
      <c r="A3" s="24" t="s">
        <v>217</v>
      </c>
      <c r="B3" t="s">
        <v>218</v>
      </c>
    </row>
    <row r="4" spans="1:2">
      <c r="A4" s="24" t="s">
        <v>240</v>
      </c>
      <c r="B4" t="s">
        <v>220</v>
      </c>
    </row>
    <row r="5" spans="1:2">
      <c r="A5" s="24" t="s">
        <v>221</v>
      </c>
      <c r="B5" t="s">
        <v>222</v>
      </c>
    </row>
    <row r="6" spans="1:2">
      <c r="A6" s="24" t="s">
        <v>223</v>
      </c>
      <c r="B6" t="s">
        <v>222</v>
      </c>
    </row>
    <row r="7" spans="1:2">
      <c r="A7" s="24" t="s">
        <v>225</v>
      </c>
      <c r="B7" t="s">
        <v>220</v>
      </c>
    </row>
    <row r="8" spans="1:2">
      <c r="A8" s="24" t="s">
        <v>227</v>
      </c>
      <c r="B8" t="s">
        <v>214</v>
      </c>
    </row>
    <row r="9" spans="1:2">
      <c r="A9" s="24" t="s">
        <v>228</v>
      </c>
      <c r="B9" t="s">
        <v>218</v>
      </c>
    </row>
    <row r="10" spans="1:2">
      <c r="A10" s="24" t="s">
        <v>229</v>
      </c>
      <c r="B10" t="s">
        <v>222</v>
      </c>
    </row>
    <row r="11" spans="1:2">
      <c r="A11" s="24" t="s">
        <v>230</v>
      </c>
      <c r="B11" t="s">
        <v>214</v>
      </c>
    </row>
    <row r="12" spans="1:2">
      <c r="A12" s="24" t="s">
        <v>231</v>
      </c>
      <c r="B12" t="s">
        <v>214</v>
      </c>
    </row>
    <row r="13" spans="1:2">
      <c r="A13" s="24" t="s">
        <v>232</v>
      </c>
      <c r="B13" t="s">
        <v>214</v>
      </c>
    </row>
    <row r="14" spans="1:2">
      <c r="A14" s="24" t="s">
        <v>233</v>
      </c>
      <c r="B14" t="s">
        <v>220</v>
      </c>
    </row>
    <row r="15" spans="1:2">
      <c r="A15" s="24" t="s">
        <v>235</v>
      </c>
      <c r="B15" t="s">
        <v>222</v>
      </c>
    </row>
    <row r="16" spans="1:2">
      <c r="A16" s="24" t="s">
        <v>236</v>
      </c>
      <c r="B16" t="s">
        <v>220</v>
      </c>
    </row>
    <row r="17" spans="1:2">
      <c r="A17" s="24" t="s">
        <v>238</v>
      </c>
      <c r="B17" t="s">
        <v>220</v>
      </c>
    </row>
    <row r="18" spans="1:2">
      <c r="A18" s="24" t="s">
        <v>239</v>
      </c>
      <c r="B18" t="s">
        <v>214</v>
      </c>
    </row>
  </sheetData>
  <autoFilter ref="A1:B18" xr:uid="{57C21FB8-74CC-4D88-92E7-21158CDFD55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DB36-5EBD-4ED5-98D7-774780A38AA8}">
  <dimension ref="A1:R22"/>
  <sheetViews>
    <sheetView showGridLines="0" tabSelected="1" workbookViewId="0">
      <selection activeCell="Y37" sqref="Y37"/>
    </sheetView>
  </sheetViews>
  <sheetFormatPr defaultColWidth="9.140625" defaultRowHeight="15"/>
  <cols>
    <col min="2" max="3" width="9.42578125" customWidth="1"/>
    <col min="5" max="5" width="8.7109375" customWidth="1"/>
    <col min="15" max="15" width="9.42578125" customWidth="1"/>
  </cols>
  <sheetData>
    <row r="1" spans="1:18" ht="15" customHeight="1">
      <c r="A1" s="54" t="s">
        <v>241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8" ht="23.2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8" ht="15.75">
      <c r="A3" s="55" t="s">
        <v>242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5" spans="1:18">
      <c r="A5" s="74" t="s">
        <v>243</v>
      </c>
      <c r="B5" s="75"/>
      <c r="C5" s="76"/>
      <c r="E5" s="56" t="s">
        <v>244</v>
      </c>
      <c r="F5" s="57"/>
      <c r="G5" s="58"/>
      <c r="I5" s="56" t="s">
        <v>245</v>
      </c>
      <c r="J5" s="57"/>
      <c r="K5" s="58"/>
    </row>
    <row r="6" spans="1:18">
      <c r="A6" s="77">
        <f>KPI_Databse!B1</f>
        <v>1778</v>
      </c>
      <c r="B6" s="69"/>
      <c r="C6" s="78"/>
      <c r="E6" s="82">
        <f>KPI_Databse!B3</f>
        <v>2.5309336332958381E-2</v>
      </c>
      <c r="F6" s="83"/>
      <c r="G6" s="84"/>
      <c r="I6" s="59">
        <f>KPI_Databse!B4</f>
        <v>6198000</v>
      </c>
      <c r="J6" s="60"/>
      <c r="K6" s="61"/>
    </row>
    <row r="7" spans="1:18" ht="19.5" customHeight="1">
      <c r="A7" s="77"/>
      <c r="B7" s="69"/>
      <c r="C7" s="78"/>
      <c r="E7" s="82"/>
      <c r="F7" s="83"/>
      <c r="G7" s="84"/>
      <c r="I7" s="59"/>
      <c r="J7" s="60"/>
      <c r="K7" s="61"/>
    </row>
    <row r="8" spans="1:18">
      <c r="A8" s="79"/>
      <c r="B8" s="80"/>
      <c r="C8" s="81"/>
      <c r="E8" s="85"/>
      <c r="F8" s="86"/>
      <c r="G8" s="87"/>
      <c r="I8" s="62"/>
      <c r="J8" s="63"/>
      <c r="K8" s="64"/>
    </row>
    <row r="9" spans="1:18">
      <c r="A9" s="53"/>
      <c r="B9" s="53"/>
      <c r="C9" s="53"/>
    </row>
    <row r="11" spans="1:18">
      <c r="A11" s="56" t="s">
        <v>246</v>
      </c>
      <c r="B11" s="57"/>
      <c r="C11" s="58"/>
      <c r="E11" s="56" t="s">
        <v>247</v>
      </c>
      <c r="F11" s="57"/>
      <c r="G11" s="58"/>
      <c r="I11" s="65" t="s">
        <v>248</v>
      </c>
      <c r="J11" s="66"/>
      <c r="K11" s="67"/>
    </row>
    <row r="12" spans="1:18">
      <c r="A12" s="59">
        <f>KPI_Databse!B5</f>
        <v>69576000</v>
      </c>
      <c r="B12" s="60"/>
      <c r="C12" s="61"/>
      <c r="E12" s="59">
        <f>KPI_Databse!B6</f>
        <v>119264000</v>
      </c>
      <c r="F12" s="60"/>
      <c r="G12" s="61"/>
      <c r="I12" s="68">
        <f>KPI_Databse!B7</f>
        <v>13</v>
      </c>
      <c r="J12" s="69"/>
      <c r="K12" s="70"/>
    </row>
    <row r="13" spans="1:18">
      <c r="A13" s="59"/>
      <c r="B13" s="60"/>
      <c r="C13" s="61"/>
      <c r="E13" s="59"/>
      <c r="F13" s="60"/>
      <c r="G13" s="61"/>
      <c r="I13" s="68"/>
      <c r="J13" s="69"/>
      <c r="K13" s="70"/>
    </row>
    <row r="14" spans="1:18" ht="29.25" customHeight="1">
      <c r="A14" s="62"/>
      <c r="B14" s="63"/>
      <c r="C14" s="64"/>
      <c r="E14" s="62"/>
      <c r="F14" s="63"/>
      <c r="G14" s="64"/>
      <c r="I14" s="71"/>
      <c r="J14" s="72"/>
      <c r="K14" s="73"/>
    </row>
    <row r="15" spans="1:18"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18">
      <c r="I16" s="53"/>
      <c r="J16" s="53"/>
      <c r="K16" s="53"/>
      <c r="L16" s="53"/>
      <c r="M16" s="53"/>
      <c r="N16" s="53"/>
      <c r="O16" s="53"/>
      <c r="P16" s="53"/>
      <c r="Q16" s="53"/>
      <c r="R16" s="53"/>
    </row>
    <row r="17" spans="9:18">
      <c r="I17" s="53"/>
      <c r="J17" s="53"/>
      <c r="K17" s="53"/>
      <c r="L17" s="53"/>
      <c r="M17" s="53"/>
      <c r="N17" s="53"/>
      <c r="O17" s="53"/>
      <c r="P17" s="53"/>
      <c r="Q17" s="53"/>
      <c r="R17" s="53"/>
    </row>
    <row r="18" spans="9:18">
      <c r="I18" s="53"/>
      <c r="J18" s="53"/>
      <c r="K18" s="53"/>
      <c r="L18" s="53"/>
      <c r="M18" s="53"/>
      <c r="N18" s="53"/>
      <c r="O18" s="53"/>
      <c r="P18" s="53"/>
      <c r="Q18" s="53"/>
      <c r="R18" s="53"/>
    </row>
    <row r="19" spans="9:18">
      <c r="I19" s="53"/>
      <c r="J19" s="53"/>
      <c r="K19" s="53"/>
      <c r="L19" s="53"/>
      <c r="M19" s="53"/>
      <c r="N19" s="53"/>
      <c r="O19" s="53"/>
      <c r="P19" s="53"/>
      <c r="Q19" s="53"/>
      <c r="R19" s="53"/>
    </row>
    <row r="20" spans="9:18">
      <c r="I20" s="53"/>
      <c r="J20" s="53"/>
      <c r="K20" s="53"/>
      <c r="L20" s="53"/>
      <c r="M20" s="53"/>
      <c r="N20" s="53"/>
      <c r="O20" s="53"/>
      <c r="P20" s="53"/>
      <c r="Q20" s="53"/>
      <c r="R20" s="53"/>
    </row>
    <row r="21" spans="9:18">
      <c r="I21" s="53"/>
      <c r="J21" s="53"/>
      <c r="K21" s="53"/>
      <c r="L21" s="53"/>
      <c r="M21" s="53"/>
      <c r="N21" s="53"/>
      <c r="O21" s="53"/>
      <c r="P21" s="53"/>
      <c r="Q21" s="53"/>
      <c r="R21" s="53"/>
    </row>
    <row r="22" spans="9:18">
      <c r="I22" s="53"/>
      <c r="J22" s="53"/>
      <c r="K22" s="53"/>
      <c r="L22" s="53"/>
      <c r="M22" s="53"/>
      <c r="N22" s="53"/>
      <c r="O22" s="53"/>
      <c r="P22" s="53"/>
      <c r="Q22" s="53"/>
      <c r="R22" s="53"/>
    </row>
  </sheetData>
  <mergeCells count="14">
    <mergeCell ref="A1:P2"/>
    <mergeCell ref="A3:P3"/>
    <mergeCell ref="A11:C11"/>
    <mergeCell ref="A12:C14"/>
    <mergeCell ref="E11:G11"/>
    <mergeCell ref="E12:G14"/>
    <mergeCell ref="I11:K11"/>
    <mergeCell ref="I12:K14"/>
    <mergeCell ref="A5:C5"/>
    <mergeCell ref="A6:C8"/>
    <mergeCell ref="E6:G8"/>
    <mergeCell ref="E5:G5"/>
    <mergeCell ref="I5:K5"/>
    <mergeCell ref="I6:K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010F-F14B-406A-BDB5-FCA6B42A35A8}">
  <dimension ref="A1:R1786"/>
  <sheetViews>
    <sheetView workbookViewId="0">
      <selection activeCell="F14" sqref="F14"/>
    </sheetView>
  </sheetViews>
  <sheetFormatPr defaultRowHeight="15"/>
  <cols>
    <col min="1" max="1" width="9.7109375" bestFit="1" customWidth="1"/>
    <col min="2" max="2" width="10.42578125" style="44" bestFit="1" customWidth="1"/>
    <col min="3" max="3" width="14" bestFit="1" customWidth="1"/>
    <col min="4" max="4" width="18.140625" customWidth="1"/>
    <col min="5" max="5" width="40.140625" bestFit="1" customWidth="1"/>
    <col min="6" max="6" width="28.7109375" bestFit="1" customWidth="1"/>
    <col min="7" max="7" width="15.7109375" bestFit="1" customWidth="1"/>
    <col min="8" max="8" width="11.85546875" bestFit="1" customWidth="1"/>
    <col min="9" max="9" width="28.140625" bestFit="1" customWidth="1"/>
    <col min="10" max="10" width="22.28515625" style="46" bestFit="1" customWidth="1"/>
    <col min="11" max="11" width="17.140625" bestFit="1" customWidth="1"/>
    <col min="12" max="12" width="18.85546875" bestFit="1" customWidth="1"/>
    <col min="13" max="13" width="16.140625" style="32" bestFit="1" customWidth="1"/>
    <col min="14" max="14" width="19.28515625" style="30" bestFit="1" customWidth="1"/>
    <col min="15" max="15" width="20.7109375" bestFit="1" customWidth="1"/>
    <col min="16" max="16" width="13.7109375" bestFit="1" customWidth="1"/>
    <col min="17" max="17" width="14.7109375" bestFit="1" customWidth="1"/>
  </cols>
  <sheetData>
    <row r="1" spans="1:18">
      <c r="A1" t="s">
        <v>249</v>
      </c>
      <c r="B1" s="35" t="s">
        <v>250</v>
      </c>
      <c r="C1" s="1" t="s">
        <v>251</v>
      </c>
      <c r="D1" s="50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45" t="s">
        <v>258</v>
      </c>
      <c r="K1" s="1" t="s">
        <v>259</v>
      </c>
      <c r="L1" s="28" t="s">
        <v>260</v>
      </c>
      <c r="M1" s="31" t="s">
        <v>261</v>
      </c>
      <c r="N1" s="29" t="s">
        <v>262</v>
      </c>
      <c r="O1" s="1" t="s">
        <v>263</v>
      </c>
      <c r="P1" t="s">
        <v>264</v>
      </c>
      <c r="Q1" t="s">
        <v>265</v>
      </c>
      <c r="R1" t="s">
        <v>266</v>
      </c>
    </row>
    <row r="2" spans="1:18">
      <c r="A2" t="str">
        <f>"EOS"&amp;TEXT(ROW()-1,"0000")</f>
        <v>EOS0001</v>
      </c>
      <c r="B2" s="35">
        <v>45817</v>
      </c>
      <c r="C2" s="1" t="s">
        <v>267</v>
      </c>
      <c r="D2" s="1" t="str">
        <f>TRIM(CLEAN(SUBSTITUTE(C2,CHAR(160),"")))</f>
        <v>FB</v>
      </c>
      <c r="E2" s="1" t="s">
        <v>268</v>
      </c>
      <c r="F2" s="1" t="s">
        <v>269</v>
      </c>
      <c r="G2" s="1" t="s">
        <v>223</v>
      </c>
      <c r="H2" s="1" t="s">
        <v>149</v>
      </c>
      <c r="I2" s="1">
        <v>130000</v>
      </c>
      <c r="J2" s="45">
        <v>107000</v>
      </c>
      <c r="K2" s="1" t="str">
        <f>TRIM(Cleaned_CRM_Data!H2)</f>
        <v>Rejected</v>
      </c>
      <c r="L2" t="str">
        <f>IFERROR(VLOOKUP(K2, Status_Mapping!A:B, 2,), "Not Found")</f>
        <v>Rejected</v>
      </c>
      <c r="N2" s="29" t="str">
        <f>IF(M2="","",M2-B2)</f>
        <v/>
      </c>
      <c r="O2" s="1" t="str">
        <f>IF(OR(I2=108000,I2=130000),"Starter",IF(I2=177000,"Growth","Premium"))</f>
        <v>Starter</v>
      </c>
      <c r="P2" t="str">
        <f>TEXT(B2, "mmmm")</f>
        <v>June</v>
      </c>
      <c r="Q2" t="str">
        <f>"Q"&amp;ROUNDUP(MONTH(B2)/3,0)</f>
        <v>Q2</v>
      </c>
      <c r="R2" t="str">
        <f>IFERROR(VLOOKUP(TRIM(CLEAN(G2)),Sheet14!$A$2:$B$19,2,FALSE),"Not Mapped")</f>
        <v>West</v>
      </c>
    </row>
    <row r="3" spans="1:18">
      <c r="A3" t="str">
        <f t="shared" ref="A3:A66" si="0">"EOS"&amp;TEXT(ROW()-1,"0000")</f>
        <v>EOS0002</v>
      </c>
      <c r="B3" s="35">
        <v>45817</v>
      </c>
      <c r="C3" s="1" t="s">
        <v>267</v>
      </c>
      <c r="D3" s="1" t="str">
        <f t="shared" ref="D3:D66" si="1">TRIM(CLEAN(SUBSTITUTE(C3,CHAR(160),"")))</f>
        <v>FB</v>
      </c>
      <c r="E3" s="1" t="s">
        <v>270</v>
      </c>
      <c r="F3" s="1" t="s">
        <v>271</v>
      </c>
      <c r="G3" s="1" t="s">
        <v>223</v>
      </c>
      <c r="H3" s="1" t="s">
        <v>149</v>
      </c>
      <c r="I3" s="1">
        <v>108000</v>
      </c>
      <c r="J3" s="45">
        <v>107001</v>
      </c>
      <c r="K3" s="1" t="str">
        <f>TRIM(Cleaned_CRM_Data!H3)</f>
        <v>Rejected</v>
      </c>
      <c r="L3" t="str">
        <f>IFERROR(VLOOKUP(K3, Status_Mapping!A:B, 2,), "Not Found")</f>
        <v>Rejected</v>
      </c>
      <c r="N3" s="29" t="str">
        <f>IF(M3="","",M3-B3)</f>
        <v/>
      </c>
      <c r="O3" s="1" t="str">
        <f t="shared" ref="O3:O66" si="2">IF(OR(I3=108000,I3=130000),"Starter",IF(I3=177000,"Growth","Premium"))</f>
        <v>Starter</v>
      </c>
      <c r="P3" t="str">
        <f>TEXT(B3, "mmmm")</f>
        <v>June</v>
      </c>
      <c r="Q3" t="str">
        <f t="shared" ref="Q3:Q66" si="3">"Q"&amp;ROUNDUP(MONTH(B3)/3,0)</f>
        <v>Q2</v>
      </c>
      <c r="R3" t="str">
        <f>IFERROR(VLOOKUP(TRIM(CLEAN(G3)),Sheet14!$A$2:$B$19,2,FALSE),"Not Mapped")</f>
        <v>West</v>
      </c>
    </row>
    <row r="4" spans="1:18">
      <c r="A4" t="str">
        <f t="shared" si="0"/>
        <v>EOS0003</v>
      </c>
      <c r="B4" s="35">
        <v>45817</v>
      </c>
      <c r="C4" s="1" t="s">
        <v>267</v>
      </c>
      <c r="D4" s="1" t="str">
        <f t="shared" si="1"/>
        <v>FB</v>
      </c>
      <c r="E4" s="1" t="s">
        <v>272</v>
      </c>
      <c r="F4" s="1" t="s">
        <v>273</v>
      </c>
      <c r="G4" s="1" t="s">
        <v>223</v>
      </c>
      <c r="H4" s="1" t="s">
        <v>149</v>
      </c>
      <c r="I4" s="1">
        <v>108000</v>
      </c>
      <c r="J4" s="45">
        <v>107002</v>
      </c>
      <c r="K4" s="1" t="str">
        <f>TRIM(Cleaned_CRM_Data!H4)</f>
        <v>Rejected</v>
      </c>
      <c r="L4" t="str">
        <f>IFERROR(VLOOKUP(K4, Status_Mapping!A:B, 2,), "Not Found")</f>
        <v>Rejected</v>
      </c>
      <c r="N4" s="29" t="str">
        <f>IF(M4="","",M4-B4)</f>
        <v/>
      </c>
      <c r="O4" s="1" t="str">
        <f t="shared" si="2"/>
        <v>Starter</v>
      </c>
      <c r="P4" t="str">
        <f>TEXT(B4, "mmmm")</f>
        <v>June</v>
      </c>
      <c r="Q4" t="str">
        <f t="shared" si="3"/>
        <v>Q2</v>
      </c>
      <c r="R4" t="str">
        <f>IFERROR(VLOOKUP(TRIM(CLEAN(G4)),Sheet14!$A$2:$B$19,2,FALSE),"Not Mapped")</f>
        <v>West</v>
      </c>
    </row>
    <row r="5" spans="1:18">
      <c r="A5" t="str">
        <f t="shared" si="0"/>
        <v>EOS0004</v>
      </c>
      <c r="B5" s="35">
        <v>45817</v>
      </c>
      <c r="C5" s="1" t="s">
        <v>267</v>
      </c>
      <c r="D5" s="1" t="str">
        <f t="shared" si="1"/>
        <v>FB</v>
      </c>
      <c r="E5" s="1" t="s">
        <v>274</v>
      </c>
      <c r="F5" s="1" t="s">
        <v>275</v>
      </c>
      <c r="G5" s="1" t="s">
        <v>223</v>
      </c>
      <c r="H5" s="1" t="s">
        <v>149</v>
      </c>
      <c r="I5" s="1">
        <v>177000</v>
      </c>
      <c r="J5" s="45">
        <v>107003</v>
      </c>
      <c r="K5" s="1" t="str">
        <f>TRIM(Cleaned_CRM_Data!H5)</f>
        <v>Rejected</v>
      </c>
      <c r="L5" t="str">
        <f>IFERROR(VLOOKUP(K5, Status_Mapping!A:B, 2,), "Not Found")</f>
        <v>Rejected</v>
      </c>
      <c r="N5" s="29" t="str">
        <f>IF(M5="","",M5-B5)</f>
        <v/>
      </c>
      <c r="O5" s="1" t="str">
        <f t="shared" si="2"/>
        <v>Growth</v>
      </c>
      <c r="P5" t="str">
        <f>TEXT(B5, "mmmm")</f>
        <v>June</v>
      </c>
      <c r="Q5" t="str">
        <f t="shared" si="3"/>
        <v>Q2</v>
      </c>
      <c r="R5" t="str">
        <f>IFERROR(VLOOKUP(TRIM(CLEAN(G5)),Sheet14!$A$2:$B$19,2,FALSE),"Not Mapped")</f>
        <v>West</v>
      </c>
    </row>
    <row r="6" spans="1:18">
      <c r="A6" t="str">
        <f t="shared" si="0"/>
        <v>EOS0005</v>
      </c>
      <c r="B6" s="35">
        <v>45817</v>
      </c>
      <c r="C6" s="1" t="s">
        <v>267</v>
      </c>
      <c r="D6" s="1" t="str">
        <f t="shared" si="1"/>
        <v>FB</v>
      </c>
      <c r="E6" s="1" t="s">
        <v>276</v>
      </c>
      <c r="F6" s="1" t="s">
        <v>277</v>
      </c>
      <c r="G6" s="1" t="s">
        <v>236</v>
      </c>
      <c r="H6" s="1" t="s">
        <v>149</v>
      </c>
      <c r="I6" s="1">
        <v>177000</v>
      </c>
      <c r="J6" s="45">
        <v>107004</v>
      </c>
      <c r="K6" s="1" t="str">
        <f>TRIM(Cleaned_CRM_Data!H6)</f>
        <v>Rejected</v>
      </c>
      <c r="L6" t="str">
        <f>IFERROR(VLOOKUP(K6, Status_Mapping!A:B, 2,), "Not Found")</f>
        <v>Rejected</v>
      </c>
      <c r="N6" s="29" t="str">
        <f>IF(M6="","",M6-B6)</f>
        <v/>
      </c>
      <c r="O6" s="1" t="str">
        <f t="shared" si="2"/>
        <v>Growth</v>
      </c>
      <c r="P6" t="str">
        <f>TEXT(B6, "mmmm")</f>
        <v>June</v>
      </c>
      <c r="Q6" t="str">
        <f t="shared" si="3"/>
        <v>Q2</v>
      </c>
      <c r="R6" t="str">
        <f>IFERROR(VLOOKUP(TRIM(CLEAN(G6)),Sheet14!$A$2:$B$19,2,FALSE),"Not Mapped")</f>
        <v>North</v>
      </c>
    </row>
    <row r="7" spans="1:18">
      <c r="A7" t="str">
        <f t="shared" si="0"/>
        <v>EOS0006</v>
      </c>
      <c r="B7" s="35">
        <v>45817</v>
      </c>
      <c r="C7" s="1" t="s">
        <v>267</v>
      </c>
      <c r="D7" s="1" t="str">
        <f t="shared" si="1"/>
        <v>FB</v>
      </c>
      <c r="E7" s="1" t="s">
        <v>278</v>
      </c>
      <c r="F7" s="1" t="s">
        <v>279</v>
      </c>
      <c r="G7" s="1" t="s">
        <v>236</v>
      </c>
      <c r="H7" s="1" t="s">
        <v>149</v>
      </c>
      <c r="I7" s="1">
        <v>308000</v>
      </c>
      <c r="J7" s="45">
        <v>107005</v>
      </c>
      <c r="K7" s="1" t="str">
        <f>TRIM(Cleaned_CRM_Data!H7)</f>
        <v>Rejected</v>
      </c>
      <c r="L7" t="str">
        <f>IFERROR(VLOOKUP(K7, Status_Mapping!A:B, 2,), "Not Found")</f>
        <v>Rejected</v>
      </c>
      <c r="N7" s="29" t="str">
        <f>IF(M7="","",M7-B7)</f>
        <v/>
      </c>
      <c r="O7" s="1" t="str">
        <f t="shared" si="2"/>
        <v>Premium</v>
      </c>
      <c r="P7" t="str">
        <f>TEXT(B7, "mmmm")</f>
        <v>June</v>
      </c>
      <c r="Q7" t="str">
        <f t="shared" si="3"/>
        <v>Q2</v>
      </c>
      <c r="R7" t="str">
        <f>IFERROR(VLOOKUP(TRIM(CLEAN(G7)),Sheet14!$A$2:$B$19,2,FALSE),"Not Mapped")</f>
        <v>North</v>
      </c>
    </row>
    <row r="8" spans="1:18">
      <c r="A8" t="str">
        <f t="shared" si="0"/>
        <v>EOS0007</v>
      </c>
      <c r="B8" s="35">
        <v>45817</v>
      </c>
      <c r="C8" s="1" t="s">
        <v>267</v>
      </c>
      <c r="D8" s="1" t="str">
        <f t="shared" si="1"/>
        <v>FB</v>
      </c>
      <c r="E8" s="1" t="s">
        <v>280</v>
      </c>
      <c r="F8" s="1" t="s">
        <v>281</v>
      </c>
      <c r="G8" s="1" t="s">
        <v>223</v>
      </c>
      <c r="H8" s="1" t="s">
        <v>149</v>
      </c>
      <c r="I8" s="1">
        <v>108000</v>
      </c>
      <c r="J8" s="45">
        <v>107006</v>
      </c>
      <c r="K8" s="1" t="str">
        <f>TRIM(Cleaned_CRM_Data!H8)</f>
        <v>Rejected</v>
      </c>
      <c r="L8" t="str">
        <f>IFERROR(VLOOKUP(K8, Status_Mapping!A:B, 2,), "Not Found")</f>
        <v>Rejected</v>
      </c>
      <c r="N8" s="29" t="str">
        <f>IF(M8="","",M8-B8)</f>
        <v/>
      </c>
      <c r="O8" s="1" t="str">
        <f t="shared" si="2"/>
        <v>Starter</v>
      </c>
      <c r="P8" t="str">
        <f>TEXT(B8, "mmmm")</f>
        <v>June</v>
      </c>
      <c r="Q8" t="str">
        <f t="shared" si="3"/>
        <v>Q2</v>
      </c>
      <c r="R8" t="str">
        <f>IFERROR(VLOOKUP(TRIM(CLEAN(G8)),Sheet14!$A$2:$B$19,2,FALSE),"Not Mapped")</f>
        <v>West</v>
      </c>
    </row>
    <row r="9" spans="1:18">
      <c r="A9" t="str">
        <f t="shared" si="0"/>
        <v>EOS0008</v>
      </c>
      <c r="B9" s="35">
        <v>45817</v>
      </c>
      <c r="C9" s="1" t="s">
        <v>267</v>
      </c>
      <c r="D9" s="1" t="str">
        <f t="shared" si="1"/>
        <v>FB</v>
      </c>
      <c r="E9" s="1" t="s">
        <v>282</v>
      </c>
      <c r="F9" s="1" t="s">
        <v>283</v>
      </c>
      <c r="G9" s="1" t="s">
        <v>223</v>
      </c>
      <c r="H9" s="1" t="s">
        <v>149</v>
      </c>
      <c r="I9" s="1">
        <v>130000</v>
      </c>
      <c r="J9" s="45">
        <v>107007</v>
      </c>
      <c r="K9" s="1" t="str">
        <f>TRIM(Cleaned_CRM_Data!H9)</f>
        <v>Rejected</v>
      </c>
      <c r="L9" t="str">
        <f>IFERROR(VLOOKUP(K9, Status_Mapping!A:B, 2,), "Not Found")</f>
        <v>Rejected</v>
      </c>
      <c r="N9" s="29" t="str">
        <f>IF(M9="","",M9-B9)</f>
        <v/>
      </c>
      <c r="O9" s="1" t="str">
        <f t="shared" si="2"/>
        <v>Starter</v>
      </c>
      <c r="P9" t="str">
        <f>TEXT(B9, "mmmm")</f>
        <v>June</v>
      </c>
      <c r="Q9" t="str">
        <f t="shared" si="3"/>
        <v>Q2</v>
      </c>
      <c r="R9" t="str">
        <f>IFERROR(VLOOKUP(TRIM(CLEAN(G9)),Sheet14!$A$2:$B$19,2,FALSE),"Not Mapped")</f>
        <v>West</v>
      </c>
    </row>
    <row r="10" spans="1:18">
      <c r="A10" t="str">
        <f t="shared" si="0"/>
        <v>EOS0009</v>
      </c>
      <c r="B10" s="35">
        <v>45817</v>
      </c>
      <c r="C10" s="1" t="s">
        <v>267</v>
      </c>
      <c r="D10" s="1" t="str">
        <f t="shared" si="1"/>
        <v>FB</v>
      </c>
      <c r="E10" s="1" t="s">
        <v>284</v>
      </c>
      <c r="F10" s="1" t="s">
        <v>275</v>
      </c>
      <c r="G10" s="1" t="s">
        <v>223</v>
      </c>
      <c r="H10" s="1" t="s">
        <v>149</v>
      </c>
      <c r="I10" s="1">
        <v>108000</v>
      </c>
      <c r="J10" s="45">
        <v>107008</v>
      </c>
      <c r="K10" s="1" t="str">
        <f>TRIM(Cleaned_CRM_Data!H10)</f>
        <v>Rejected</v>
      </c>
      <c r="L10" t="str">
        <f>IFERROR(VLOOKUP(K10, Status_Mapping!A:B, 2,), "Not Found")</f>
        <v>Rejected</v>
      </c>
      <c r="N10" s="29" t="str">
        <f>IF(M10="","",M10-B10)</f>
        <v/>
      </c>
      <c r="O10" s="1" t="str">
        <f t="shared" si="2"/>
        <v>Starter</v>
      </c>
      <c r="P10" t="str">
        <f>TEXT(B10, "mmmm")</f>
        <v>June</v>
      </c>
      <c r="Q10" t="str">
        <f t="shared" si="3"/>
        <v>Q2</v>
      </c>
      <c r="R10" t="str">
        <f>IFERROR(VLOOKUP(TRIM(CLEAN(G10)),Sheet14!$A$2:$B$19,2,FALSE),"Not Mapped")</f>
        <v>West</v>
      </c>
    </row>
    <row r="11" spans="1:18">
      <c r="A11" t="str">
        <f t="shared" si="0"/>
        <v>EOS0010</v>
      </c>
      <c r="B11" s="35">
        <v>45817</v>
      </c>
      <c r="C11" s="1" t="s">
        <v>267</v>
      </c>
      <c r="D11" s="1" t="str">
        <f t="shared" si="1"/>
        <v>FB</v>
      </c>
      <c r="E11" s="1" t="s">
        <v>285</v>
      </c>
      <c r="F11" s="1" t="s">
        <v>286</v>
      </c>
      <c r="G11" s="1" t="s">
        <v>223</v>
      </c>
      <c r="H11" s="1" t="s">
        <v>149</v>
      </c>
      <c r="I11" s="1">
        <v>130000</v>
      </c>
      <c r="J11" s="45">
        <v>107009</v>
      </c>
      <c r="K11" s="1" t="str">
        <f>TRIM(Cleaned_CRM_Data!H11)</f>
        <v>Rejected</v>
      </c>
      <c r="L11" t="str">
        <f>IFERROR(VLOOKUP(K11, Status_Mapping!A:B, 2,), "Not Found")</f>
        <v>Rejected</v>
      </c>
      <c r="N11" s="29" t="str">
        <f>IF(M11="","",M11-B11)</f>
        <v/>
      </c>
      <c r="O11" s="1" t="str">
        <f t="shared" si="2"/>
        <v>Starter</v>
      </c>
      <c r="P11" t="str">
        <f>TEXT(B11, "mmmm")</f>
        <v>June</v>
      </c>
      <c r="Q11" t="str">
        <f t="shared" si="3"/>
        <v>Q2</v>
      </c>
      <c r="R11" t="str">
        <f>IFERROR(VLOOKUP(TRIM(CLEAN(G11)),Sheet14!$A$2:$B$19,2,FALSE),"Not Mapped")</f>
        <v>West</v>
      </c>
    </row>
    <row r="12" spans="1:18">
      <c r="A12" t="str">
        <f t="shared" si="0"/>
        <v>EOS0011</v>
      </c>
      <c r="B12" s="35">
        <v>45817</v>
      </c>
      <c r="C12" s="1" t="s">
        <v>267</v>
      </c>
      <c r="D12" s="1" t="str">
        <f t="shared" si="1"/>
        <v>FB</v>
      </c>
      <c r="E12" s="1" t="s">
        <v>287</v>
      </c>
      <c r="F12" s="1" t="s">
        <v>288</v>
      </c>
      <c r="G12" s="1" t="s">
        <v>223</v>
      </c>
      <c r="H12" s="1" t="s">
        <v>149</v>
      </c>
      <c r="I12" s="1">
        <v>108000</v>
      </c>
      <c r="J12" s="45">
        <v>107010</v>
      </c>
      <c r="K12" s="1" t="str">
        <f>TRIM(Cleaned_CRM_Data!H12)</f>
        <v>Rejected</v>
      </c>
      <c r="L12" t="str">
        <f>IFERROR(VLOOKUP(K12, Status_Mapping!A:B, 2,), "Not Found")</f>
        <v>Rejected</v>
      </c>
      <c r="N12" s="29" t="str">
        <f>IF(M12="","",M12-B12)</f>
        <v/>
      </c>
      <c r="O12" s="1" t="str">
        <f t="shared" si="2"/>
        <v>Starter</v>
      </c>
      <c r="P12" t="str">
        <f>TEXT(B12, "mmmm")</f>
        <v>June</v>
      </c>
      <c r="Q12" t="str">
        <f t="shared" si="3"/>
        <v>Q2</v>
      </c>
      <c r="R12" t="str">
        <f>IFERROR(VLOOKUP(TRIM(CLEAN(G12)),Sheet14!$A$2:$B$19,2,FALSE),"Not Mapped")</f>
        <v>West</v>
      </c>
    </row>
    <row r="13" spans="1:18">
      <c r="A13" t="str">
        <f t="shared" si="0"/>
        <v>EOS0012</v>
      </c>
      <c r="B13" s="35">
        <v>45817</v>
      </c>
      <c r="C13" s="1" t="s">
        <v>267</v>
      </c>
      <c r="D13" s="1" t="str">
        <f t="shared" si="1"/>
        <v>FB</v>
      </c>
      <c r="E13" s="1" t="s">
        <v>289</v>
      </c>
      <c r="F13" s="1" t="s">
        <v>290</v>
      </c>
      <c r="G13" s="1" t="s">
        <v>235</v>
      </c>
      <c r="H13" s="1" t="s">
        <v>149</v>
      </c>
      <c r="I13" s="1">
        <v>130000</v>
      </c>
      <c r="J13" s="45">
        <v>107011</v>
      </c>
      <c r="K13" s="1" t="str">
        <f>TRIM(Cleaned_CRM_Data!H13)</f>
        <v>Rejected</v>
      </c>
      <c r="L13" t="str">
        <f>IFERROR(VLOOKUP(K13, Status_Mapping!A:B, 2,), "Not Found")</f>
        <v>Rejected</v>
      </c>
      <c r="N13" s="29" t="str">
        <f>IF(M13="","",M13-B13)</f>
        <v/>
      </c>
      <c r="O13" s="1" t="str">
        <f t="shared" si="2"/>
        <v>Starter</v>
      </c>
      <c r="P13" t="str">
        <f>TEXT(B13, "mmmm")</f>
        <v>June</v>
      </c>
      <c r="Q13" t="str">
        <f t="shared" si="3"/>
        <v>Q2</v>
      </c>
      <c r="R13" t="str">
        <f>IFERROR(VLOOKUP(TRIM(CLEAN(G13)),Sheet14!$A$2:$B$19,2,FALSE),"Not Mapped")</f>
        <v>West</v>
      </c>
    </row>
    <row r="14" spans="1:18">
      <c r="A14" t="str">
        <f t="shared" si="0"/>
        <v>EOS0013</v>
      </c>
      <c r="B14" s="35">
        <v>45817</v>
      </c>
      <c r="C14" s="1" t="s">
        <v>267</v>
      </c>
      <c r="D14" s="1" t="str">
        <f t="shared" si="1"/>
        <v>FB</v>
      </c>
      <c r="E14" s="1" t="s">
        <v>291</v>
      </c>
      <c r="F14" s="1" t="s">
        <v>292</v>
      </c>
      <c r="G14" s="1" t="s">
        <v>223</v>
      </c>
      <c r="H14" s="1" t="s">
        <v>149</v>
      </c>
      <c r="I14" s="1">
        <v>108000</v>
      </c>
      <c r="J14" s="45">
        <v>107012</v>
      </c>
      <c r="K14" s="1" t="str">
        <f>TRIM(Cleaned_CRM_Data!H14)</f>
        <v>Rejected</v>
      </c>
      <c r="L14" t="str">
        <f>IFERROR(VLOOKUP(K14, Status_Mapping!A:B, 2,), "Not Found")</f>
        <v>Rejected</v>
      </c>
      <c r="N14" s="29" t="str">
        <f>IF(M14="","",M14-B14)</f>
        <v/>
      </c>
      <c r="O14" s="1" t="str">
        <f t="shared" si="2"/>
        <v>Starter</v>
      </c>
      <c r="P14" t="str">
        <f>TEXT(B14, "mmmm")</f>
        <v>June</v>
      </c>
      <c r="Q14" t="str">
        <f t="shared" si="3"/>
        <v>Q2</v>
      </c>
      <c r="R14" t="str">
        <f>IFERROR(VLOOKUP(TRIM(CLEAN(G14)),Sheet14!$A$2:$B$19,2,FALSE),"Not Mapped")</f>
        <v>West</v>
      </c>
    </row>
    <row r="15" spans="1:18">
      <c r="A15" t="str">
        <f t="shared" si="0"/>
        <v>EOS0014</v>
      </c>
      <c r="B15" s="35">
        <v>45817</v>
      </c>
      <c r="C15" s="1" t="s">
        <v>267</v>
      </c>
      <c r="D15" s="1" t="str">
        <f t="shared" si="1"/>
        <v>FB</v>
      </c>
      <c r="E15" s="1" t="s">
        <v>293</v>
      </c>
      <c r="F15" s="1" t="s">
        <v>294</v>
      </c>
      <c r="G15" s="1" t="s">
        <v>223</v>
      </c>
      <c r="H15" s="1" t="s">
        <v>149</v>
      </c>
      <c r="I15" s="1">
        <v>108000</v>
      </c>
      <c r="J15" s="45">
        <v>107013</v>
      </c>
      <c r="K15" s="1" t="str">
        <f>TRIM(Cleaned_CRM_Data!H15)</f>
        <v>Rejected</v>
      </c>
      <c r="L15" t="str">
        <f>IFERROR(VLOOKUP(K15, Status_Mapping!A:B, 2,), "Not Found")</f>
        <v>Rejected</v>
      </c>
      <c r="N15" s="29" t="str">
        <f>IF(M15="","",M15-B15)</f>
        <v/>
      </c>
      <c r="O15" s="1" t="str">
        <f t="shared" si="2"/>
        <v>Starter</v>
      </c>
      <c r="P15" t="str">
        <f>TEXT(B15, "mmmm")</f>
        <v>June</v>
      </c>
      <c r="Q15" t="str">
        <f t="shared" si="3"/>
        <v>Q2</v>
      </c>
      <c r="R15" t="str">
        <f>IFERROR(VLOOKUP(TRIM(CLEAN(G15)),Sheet14!$A$2:$B$19,2,FALSE),"Not Mapped")</f>
        <v>West</v>
      </c>
    </row>
    <row r="16" spans="1:18">
      <c r="A16" t="str">
        <f t="shared" si="0"/>
        <v>EOS0015</v>
      </c>
      <c r="B16" s="35">
        <v>45817</v>
      </c>
      <c r="C16" s="1" t="s">
        <v>267</v>
      </c>
      <c r="D16" s="1" t="str">
        <f t="shared" si="1"/>
        <v>FB</v>
      </c>
      <c r="E16" s="1" t="s">
        <v>295</v>
      </c>
      <c r="F16" s="1" t="s">
        <v>296</v>
      </c>
      <c r="G16" s="1" t="s">
        <v>223</v>
      </c>
      <c r="H16" s="1" t="s">
        <v>149</v>
      </c>
      <c r="I16" s="1">
        <v>177000</v>
      </c>
      <c r="J16" s="45">
        <v>107014</v>
      </c>
      <c r="K16" s="1" t="str">
        <f>TRIM(Cleaned_CRM_Data!H16)</f>
        <v>Rejected</v>
      </c>
      <c r="L16" t="str">
        <f>IFERROR(VLOOKUP(K16, Status_Mapping!A:B, 2,), "Not Found")</f>
        <v>Rejected</v>
      </c>
      <c r="N16" s="29" t="str">
        <f>IF(M16="","",M16-B16)</f>
        <v/>
      </c>
      <c r="O16" s="1" t="str">
        <f t="shared" si="2"/>
        <v>Growth</v>
      </c>
      <c r="P16" t="str">
        <f>TEXT(B16, "mmmm")</f>
        <v>June</v>
      </c>
      <c r="Q16" t="str">
        <f t="shared" si="3"/>
        <v>Q2</v>
      </c>
      <c r="R16" t="str">
        <f>IFERROR(VLOOKUP(TRIM(CLEAN(G16)),Sheet14!$A$2:$B$19,2,FALSE),"Not Mapped")</f>
        <v>West</v>
      </c>
    </row>
    <row r="17" spans="1:18">
      <c r="A17" t="str">
        <f t="shared" si="0"/>
        <v>EOS0016</v>
      </c>
      <c r="B17" s="35">
        <v>45817</v>
      </c>
      <c r="C17" s="1" t="s">
        <v>267</v>
      </c>
      <c r="D17" s="1" t="str">
        <f t="shared" si="1"/>
        <v>FB</v>
      </c>
      <c r="E17" s="1" t="s">
        <v>297</v>
      </c>
      <c r="F17" s="1" t="s">
        <v>298</v>
      </c>
      <c r="G17" s="1" t="s">
        <v>223</v>
      </c>
      <c r="H17" s="1" t="s">
        <v>149</v>
      </c>
      <c r="I17" s="1">
        <v>108000</v>
      </c>
      <c r="J17" s="45">
        <v>107015</v>
      </c>
      <c r="K17" s="1" t="str">
        <f>TRIM(Cleaned_CRM_Data!H17)</f>
        <v>Rejected</v>
      </c>
      <c r="L17" t="str">
        <f>IFERROR(VLOOKUP(K17, Status_Mapping!A:B, 2,), "Not Found")</f>
        <v>Rejected</v>
      </c>
      <c r="N17" s="29" t="str">
        <f>IF(M17="","",M17-B17)</f>
        <v/>
      </c>
      <c r="O17" s="1" t="str">
        <f t="shared" si="2"/>
        <v>Starter</v>
      </c>
      <c r="P17" t="str">
        <f>TEXT(B17, "mmmm")</f>
        <v>June</v>
      </c>
      <c r="Q17" t="str">
        <f t="shared" si="3"/>
        <v>Q2</v>
      </c>
      <c r="R17" t="str">
        <f>IFERROR(VLOOKUP(TRIM(CLEAN(G17)),Sheet14!$A$2:$B$19,2,FALSE),"Not Mapped")</f>
        <v>West</v>
      </c>
    </row>
    <row r="18" spans="1:18">
      <c r="A18" t="str">
        <f t="shared" si="0"/>
        <v>EOS0017</v>
      </c>
      <c r="B18" s="35">
        <v>45817</v>
      </c>
      <c r="C18" s="1" t="s">
        <v>267</v>
      </c>
      <c r="D18" s="1" t="str">
        <f t="shared" si="1"/>
        <v>FB</v>
      </c>
      <c r="E18" s="1" t="s">
        <v>299</v>
      </c>
      <c r="F18" s="1" t="s">
        <v>300</v>
      </c>
      <c r="G18" s="1" t="s">
        <v>223</v>
      </c>
      <c r="H18" s="1" t="s">
        <v>149</v>
      </c>
      <c r="I18" s="1">
        <v>108000</v>
      </c>
      <c r="J18" s="45">
        <v>107016</v>
      </c>
      <c r="K18" s="1" t="str">
        <f>TRIM(Cleaned_CRM_Data!H18)</f>
        <v>Rejected</v>
      </c>
      <c r="L18" t="str">
        <f>IFERROR(VLOOKUP(K18, Status_Mapping!A:B, 2,), "Not Found")</f>
        <v>Rejected</v>
      </c>
      <c r="N18" s="29" t="str">
        <f>IF(M18="","",M18-B18)</f>
        <v/>
      </c>
      <c r="O18" s="1" t="str">
        <f t="shared" si="2"/>
        <v>Starter</v>
      </c>
      <c r="P18" t="str">
        <f>TEXT(B18, "mmmm")</f>
        <v>June</v>
      </c>
      <c r="Q18" t="str">
        <f t="shared" si="3"/>
        <v>Q2</v>
      </c>
      <c r="R18" t="str">
        <f>IFERROR(VLOOKUP(TRIM(CLEAN(G18)),Sheet14!$A$2:$B$19,2,FALSE),"Not Mapped")</f>
        <v>West</v>
      </c>
    </row>
    <row r="19" spans="1:18">
      <c r="A19" t="str">
        <f t="shared" si="0"/>
        <v>EOS0018</v>
      </c>
      <c r="B19" s="35">
        <v>45817</v>
      </c>
      <c r="C19" s="1" t="s">
        <v>267</v>
      </c>
      <c r="D19" s="1" t="str">
        <f t="shared" si="1"/>
        <v>FB</v>
      </c>
      <c r="E19" s="1" t="s">
        <v>301</v>
      </c>
      <c r="F19" s="1" t="s">
        <v>302</v>
      </c>
      <c r="G19" s="1" t="s">
        <v>223</v>
      </c>
      <c r="H19" s="1" t="s">
        <v>40</v>
      </c>
      <c r="I19" s="1">
        <v>108000</v>
      </c>
      <c r="J19" s="45">
        <v>107017</v>
      </c>
      <c r="K19" s="1" t="str">
        <f>TRIM(Cleaned_CRM_Data!H19)</f>
        <v>Deal</v>
      </c>
      <c r="L19" t="str">
        <f>IFERROR(VLOOKUP(K19, Status_Mapping!A:B, 2,), "Not Found")</f>
        <v>Converted</v>
      </c>
      <c r="M19" s="33">
        <v>45824</v>
      </c>
      <c r="N19" s="29">
        <f>IF(M19="","",M19-B19)</f>
        <v>7</v>
      </c>
      <c r="O19" s="1" t="str">
        <f t="shared" si="2"/>
        <v>Starter</v>
      </c>
      <c r="P19" t="str">
        <f>TEXT(B19, "mmmm")</f>
        <v>June</v>
      </c>
      <c r="Q19" t="str">
        <f t="shared" si="3"/>
        <v>Q2</v>
      </c>
      <c r="R19" t="str">
        <f>IFERROR(VLOOKUP(TRIM(CLEAN(G19)),Sheet14!$A$2:$B$19,2,FALSE),"Not Mapped")</f>
        <v>West</v>
      </c>
    </row>
    <row r="20" spans="1:18">
      <c r="A20" t="str">
        <f t="shared" si="0"/>
        <v>EOS0019</v>
      </c>
      <c r="B20" s="35">
        <v>45817</v>
      </c>
      <c r="C20" s="1" t="s">
        <v>267</v>
      </c>
      <c r="D20" s="1" t="str">
        <f t="shared" si="1"/>
        <v>FB</v>
      </c>
      <c r="E20" s="1" t="s">
        <v>303</v>
      </c>
      <c r="F20" s="1" t="s">
        <v>304</v>
      </c>
      <c r="G20" s="1" t="s">
        <v>223</v>
      </c>
      <c r="H20" s="1" t="s">
        <v>149</v>
      </c>
      <c r="I20" s="1">
        <v>177000</v>
      </c>
      <c r="J20" s="45">
        <v>107018</v>
      </c>
      <c r="K20" s="1" t="str">
        <f>TRIM(Cleaned_CRM_Data!H20)</f>
        <v>Rejected</v>
      </c>
      <c r="L20" t="str">
        <f>IFERROR(VLOOKUP(K20, Status_Mapping!A:B, 2,), "Not Found")</f>
        <v>Rejected</v>
      </c>
      <c r="N20" s="29" t="str">
        <f>IF(M20="","",M20-B20)</f>
        <v/>
      </c>
      <c r="O20" s="1" t="str">
        <f t="shared" si="2"/>
        <v>Growth</v>
      </c>
      <c r="P20" t="str">
        <f>TEXT(B20, "mmmm")</f>
        <v>June</v>
      </c>
      <c r="Q20" t="str">
        <f t="shared" si="3"/>
        <v>Q2</v>
      </c>
      <c r="R20" t="str">
        <f>IFERROR(VLOOKUP(TRIM(CLEAN(G20)),Sheet14!$A$2:$B$19,2,FALSE),"Not Mapped")</f>
        <v>West</v>
      </c>
    </row>
    <row r="21" spans="1:18">
      <c r="A21" t="str">
        <f t="shared" si="0"/>
        <v>EOS0020</v>
      </c>
      <c r="B21" s="35">
        <v>45817</v>
      </c>
      <c r="C21" s="1" t="s">
        <v>267</v>
      </c>
      <c r="D21" s="1" t="str">
        <f t="shared" si="1"/>
        <v>FB</v>
      </c>
      <c r="E21" s="1" t="s">
        <v>305</v>
      </c>
      <c r="F21" s="1" t="s">
        <v>296</v>
      </c>
      <c r="G21" s="1" t="s">
        <v>223</v>
      </c>
      <c r="H21" s="1" t="s">
        <v>149</v>
      </c>
      <c r="I21" s="1">
        <v>108000</v>
      </c>
      <c r="J21" s="45">
        <v>107019</v>
      </c>
      <c r="K21" s="1" t="str">
        <f>TRIM(Cleaned_CRM_Data!H21)</f>
        <v>Rejected</v>
      </c>
      <c r="L21" t="str">
        <f>IFERROR(VLOOKUP(K21, Status_Mapping!A:B, 2,), "Not Found")</f>
        <v>Rejected</v>
      </c>
      <c r="N21" s="29" t="str">
        <f>IF(M21="","",M21-B21)</f>
        <v/>
      </c>
      <c r="O21" s="1" t="str">
        <f t="shared" si="2"/>
        <v>Starter</v>
      </c>
      <c r="P21" t="str">
        <f>TEXT(B21, "mmmm")</f>
        <v>June</v>
      </c>
      <c r="Q21" t="str">
        <f t="shared" si="3"/>
        <v>Q2</v>
      </c>
      <c r="R21" t="str">
        <f>IFERROR(VLOOKUP(TRIM(CLEAN(G21)),Sheet14!$A$2:$B$19,2,FALSE),"Not Mapped")</f>
        <v>West</v>
      </c>
    </row>
    <row r="22" spans="1:18">
      <c r="A22" t="str">
        <f t="shared" si="0"/>
        <v>EOS0021</v>
      </c>
      <c r="B22" s="35">
        <v>45817</v>
      </c>
      <c r="C22" s="1" t="s">
        <v>267</v>
      </c>
      <c r="D22" s="1" t="str">
        <f t="shared" si="1"/>
        <v>FB</v>
      </c>
      <c r="E22" s="1" t="s">
        <v>306</v>
      </c>
      <c r="F22" s="1" t="s">
        <v>307</v>
      </c>
      <c r="G22" s="1" t="s">
        <v>223</v>
      </c>
      <c r="H22" s="1" t="s">
        <v>149</v>
      </c>
      <c r="I22" s="1">
        <v>108000</v>
      </c>
      <c r="J22" s="45">
        <v>107020</v>
      </c>
      <c r="K22" s="1" t="s">
        <v>308</v>
      </c>
      <c r="L22" t="str">
        <f>IFERROR(VLOOKUP(K22, Status_Mapping!A:B, 2,), "Not Found")</f>
        <v>Converted</v>
      </c>
      <c r="N22" s="29" t="str">
        <f>IF(M22="","",M22-B22)</f>
        <v/>
      </c>
      <c r="O22" s="1" t="str">
        <f t="shared" si="2"/>
        <v>Starter</v>
      </c>
      <c r="P22" t="str">
        <f>TEXT(B22, "mmmm")</f>
        <v>June</v>
      </c>
      <c r="Q22" t="str">
        <f t="shared" si="3"/>
        <v>Q2</v>
      </c>
      <c r="R22" t="str">
        <f>IFERROR(VLOOKUP(TRIM(CLEAN(G22)),Sheet14!$A$2:$B$19,2,FALSE),"Not Mapped")</f>
        <v>West</v>
      </c>
    </row>
    <row r="23" spans="1:18">
      <c r="A23" t="str">
        <f t="shared" si="0"/>
        <v>EOS0022</v>
      </c>
      <c r="B23" s="35">
        <v>45817</v>
      </c>
      <c r="C23" s="1" t="s">
        <v>267</v>
      </c>
      <c r="D23" s="1" t="str">
        <f t="shared" si="1"/>
        <v>FB</v>
      </c>
      <c r="E23" s="1" t="s">
        <v>309</v>
      </c>
      <c r="F23" s="1" t="s">
        <v>310</v>
      </c>
      <c r="G23" s="1" t="s">
        <v>223</v>
      </c>
      <c r="H23" s="1" t="s">
        <v>149</v>
      </c>
      <c r="I23" s="1">
        <v>108000</v>
      </c>
      <c r="J23" s="45">
        <v>107021</v>
      </c>
      <c r="K23" s="1" t="str">
        <f>TRIM(Cleaned_CRM_Data!H23)</f>
        <v>Rejected</v>
      </c>
      <c r="L23" t="str">
        <f>IFERROR(VLOOKUP(K23, Status_Mapping!A:B, 2,), "Not Found")</f>
        <v>Rejected</v>
      </c>
      <c r="N23" s="29" t="str">
        <f>IF(M23="","",M23-B23)</f>
        <v/>
      </c>
      <c r="O23" s="1" t="str">
        <f t="shared" si="2"/>
        <v>Starter</v>
      </c>
      <c r="P23" t="str">
        <f>TEXT(B23, "mmmm")</f>
        <v>June</v>
      </c>
      <c r="Q23" t="str">
        <f t="shared" si="3"/>
        <v>Q2</v>
      </c>
      <c r="R23" t="str">
        <f>IFERROR(VLOOKUP(TRIM(CLEAN(G23)),Sheet14!$A$2:$B$19,2,FALSE),"Not Mapped")</f>
        <v>West</v>
      </c>
    </row>
    <row r="24" spans="1:18">
      <c r="A24" t="str">
        <f t="shared" si="0"/>
        <v>EOS0023</v>
      </c>
      <c r="B24" s="35">
        <v>45817</v>
      </c>
      <c r="C24" s="1" t="s">
        <v>267</v>
      </c>
      <c r="D24" s="1" t="str">
        <f t="shared" si="1"/>
        <v>FB</v>
      </c>
      <c r="E24" s="1" t="s">
        <v>311</v>
      </c>
      <c r="F24" s="1" t="s">
        <v>271</v>
      </c>
      <c r="G24" s="1" t="s">
        <v>223</v>
      </c>
      <c r="H24" s="1" t="s">
        <v>149</v>
      </c>
      <c r="I24" s="1">
        <v>130000</v>
      </c>
      <c r="J24" s="45">
        <v>107022</v>
      </c>
      <c r="K24" s="1" t="str">
        <f>TRIM(Cleaned_CRM_Data!H24)</f>
        <v>Rejected</v>
      </c>
      <c r="L24" t="str">
        <f>IFERROR(VLOOKUP(K24, Status_Mapping!A:B, 2,), "Not Found")</f>
        <v>Rejected</v>
      </c>
      <c r="N24" s="29" t="str">
        <f>IF(M24="","",M24-B24)</f>
        <v/>
      </c>
      <c r="O24" s="1" t="str">
        <f t="shared" si="2"/>
        <v>Starter</v>
      </c>
      <c r="P24" t="str">
        <f>TEXT(B24, "mmmm")</f>
        <v>June</v>
      </c>
      <c r="Q24" t="str">
        <f t="shared" si="3"/>
        <v>Q2</v>
      </c>
      <c r="R24" t="str">
        <f>IFERROR(VLOOKUP(TRIM(CLEAN(G24)),Sheet14!$A$2:$B$19,2,FALSE),"Not Mapped")</f>
        <v>West</v>
      </c>
    </row>
    <row r="25" spans="1:18">
      <c r="A25" t="str">
        <f t="shared" si="0"/>
        <v>EOS0024</v>
      </c>
      <c r="B25" s="35">
        <v>45817</v>
      </c>
      <c r="C25" s="1" t="s">
        <v>267</v>
      </c>
      <c r="D25" s="1" t="str">
        <f t="shared" si="1"/>
        <v>FB</v>
      </c>
      <c r="E25" s="1" t="s">
        <v>312</v>
      </c>
      <c r="F25" s="1" t="s">
        <v>313</v>
      </c>
      <c r="G25" s="1" t="s">
        <v>223</v>
      </c>
      <c r="H25" s="1" t="s">
        <v>149</v>
      </c>
      <c r="I25" s="1">
        <v>108000</v>
      </c>
      <c r="J25" s="45">
        <v>107023</v>
      </c>
      <c r="K25" s="1" t="str">
        <f>TRIM(Cleaned_CRM_Data!H25)</f>
        <v>Rejected</v>
      </c>
      <c r="L25" t="str">
        <f>IFERROR(VLOOKUP(K25, Status_Mapping!A:B, 2,), "Not Found")</f>
        <v>Rejected</v>
      </c>
      <c r="N25" s="29" t="str">
        <f>IF(M25="","",M25-B25)</f>
        <v/>
      </c>
      <c r="O25" s="1" t="str">
        <f t="shared" si="2"/>
        <v>Starter</v>
      </c>
      <c r="P25" t="str">
        <f>TEXT(B25, "mmmm")</f>
        <v>June</v>
      </c>
      <c r="Q25" t="str">
        <f t="shared" si="3"/>
        <v>Q2</v>
      </c>
      <c r="R25" t="str">
        <f>IFERROR(VLOOKUP(TRIM(CLEAN(G25)),Sheet14!$A$2:$B$19,2,FALSE),"Not Mapped")</f>
        <v>West</v>
      </c>
    </row>
    <row r="26" spans="1:18">
      <c r="A26" t="str">
        <f t="shared" si="0"/>
        <v>EOS0025</v>
      </c>
      <c r="B26" s="35">
        <v>45817</v>
      </c>
      <c r="C26" s="1" t="s">
        <v>267</v>
      </c>
      <c r="D26" s="1" t="str">
        <f t="shared" si="1"/>
        <v>FB</v>
      </c>
      <c r="E26" s="1" t="s">
        <v>314</v>
      </c>
      <c r="F26" s="1" t="s">
        <v>300</v>
      </c>
      <c r="G26" s="1" t="s">
        <v>223</v>
      </c>
      <c r="H26" s="1" t="s">
        <v>149</v>
      </c>
      <c r="I26" s="1">
        <v>108000</v>
      </c>
      <c r="J26" s="45">
        <v>107024</v>
      </c>
      <c r="K26" s="1" t="str">
        <f>TRIM(Cleaned_CRM_Data!H26)</f>
        <v>Rejected</v>
      </c>
      <c r="L26" t="str">
        <f>IFERROR(VLOOKUP(K26, Status_Mapping!A:B, 2,), "Not Found")</f>
        <v>Rejected</v>
      </c>
      <c r="N26" s="29" t="str">
        <f>IF(M26="","",M26-B26)</f>
        <v/>
      </c>
      <c r="O26" s="1" t="str">
        <f t="shared" si="2"/>
        <v>Starter</v>
      </c>
      <c r="P26" t="str">
        <f>TEXT(B26, "mmmm")</f>
        <v>June</v>
      </c>
      <c r="Q26" t="str">
        <f t="shared" si="3"/>
        <v>Q2</v>
      </c>
      <c r="R26" t="str">
        <f>IFERROR(VLOOKUP(TRIM(CLEAN(G26)),Sheet14!$A$2:$B$19,2,FALSE),"Not Mapped")</f>
        <v>West</v>
      </c>
    </row>
    <row r="27" spans="1:18">
      <c r="A27" t="str">
        <f t="shared" si="0"/>
        <v>EOS0026</v>
      </c>
      <c r="B27" s="35">
        <v>45817</v>
      </c>
      <c r="C27" s="1" t="s">
        <v>267</v>
      </c>
      <c r="D27" s="1" t="str">
        <f t="shared" si="1"/>
        <v>FB</v>
      </c>
      <c r="E27" s="1" t="s">
        <v>315</v>
      </c>
      <c r="F27" s="1" t="s">
        <v>316</v>
      </c>
      <c r="G27" s="1" t="s">
        <v>223</v>
      </c>
      <c r="H27" s="1" t="s">
        <v>149</v>
      </c>
      <c r="I27" s="1">
        <v>108000</v>
      </c>
      <c r="J27" s="45">
        <v>107025</v>
      </c>
      <c r="K27" s="1" t="str">
        <f>TRIM(Cleaned_CRM_Data!H27)</f>
        <v>Rejected</v>
      </c>
      <c r="L27" t="str">
        <f>IFERROR(VLOOKUP(K27, Status_Mapping!A:B, 2,), "Not Found")</f>
        <v>Rejected</v>
      </c>
      <c r="N27" s="29" t="str">
        <f>IF(M27="","",M27-B27)</f>
        <v/>
      </c>
      <c r="O27" s="1" t="str">
        <f t="shared" si="2"/>
        <v>Starter</v>
      </c>
      <c r="P27" t="str">
        <f>TEXT(B27, "mmmm")</f>
        <v>June</v>
      </c>
      <c r="Q27" t="str">
        <f t="shared" si="3"/>
        <v>Q2</v>
      </c>
      <c r="R27" t="str">
        <f>IFERROR(VLOOKUP(TRIM(CLEAN(G27)),Sheet14!$A$2:$B$19,2,FALSE),"Not Mapped")</f>
        <v>West</v>
      </c>
    </row>
    <row r="28" spans="1:18">
      <c r="A28" t="str">
        <f t="shared" si="0"/>
        <v>EOS0027</v>
      </c>
      <c r="B28" s="35">
        <v>45817</v>
      </c>
      <c r="C28" s="1" t="s">
        <v>267</v>
      </c>
      <c r="D28" s="1" t="str">
        <f t="shared" si="1"/>
        <v>FB</v>
      </c>
      <c r="E28" s="1" t="s">
        <v>317</v>
      </c>
      <c r="F28" s="1" t="s">
        <v>300</v>
      </c>
      <c r="G28" s="1" t="s">
        <v>223</v>
      </c>
      <c r="H28" s="1" t="s">
        <v>149</v>
      </c>
      <c r="I28" s="1">
        <v>108000</v>
      </c>
      <c r="J28" s="45">
        <v>107026</v>
      </c>
      <c r="K28" s="1" t="str">
        <f>TRIM(Cleaned_CRM_Data!H28)</f>
        <v>Rejected</v>
      </c>
      <c r="L28" t="str">
        <f>IFERROR(VLOOKUP(K28, Status_Mapping!A:B, 2,), "Not Found")</f>
        <v>Rejected</v>
      </c>
      <c r="N28" s="29" t="str">
        <f>IF(M28="","",M28-B28)</f>
        <v/>
      </c>
      <c r="O28" s="1" t="str">
        <f t="shared" si="2"/>
        <v>Starter</v>
      </c>
      <c r="P28" t="str">
        <f>TEXT(B28, "mmmm")</f>
        <v>June</v>
      </c>
      <c r="Q28" t="str">
        <f t="shared" si="3"/>
        <v>Q2</v>
      </c>
      <c r="R28" t="str">
        <f>IFERROR(VLOOKUP(TRIM(CLEAN(G28)),Sheet14!$A$2:$B$19,2,FALSE),"Not Mapped")</f>
        <v>West</v>
      </c>
    </row>
    <row r="29" spans="1:18">
      <c r="A29" t="str">
        <f t="shared" si="0"/>
        <v>EOS0028</v>
      </c>
      <c r="B29" s="35">
        <v>45817</v>
      </c>
      <c r="C29" s="1" t="s">
        <v>267</v>
      </c>
      <c r="D29" s="1" t="str">
        <f t="shared" si="1"/>
        <v>FB</v>
      </c>
      <c r="E29" s="1" t="s">
        <v>318</v>
      </c>
      <c r="F29" s="1" t="s">
        <v>319</v>
      </c>
      <c r="G29" s="1" t="s">
        <v>223</v>
      </c>
      <c r="H29" s="1" t="s">
        <v>149</v>
      </c>
      <c r="I29" s="1">
        <v>130000</v>
      </c>
      <c r="J29" s="45">
        <v>107027</v>
      </c>
      <c r="K29" s="1" t="str">
        <f>TRIM(Cleaned_CRM_Data!H29)</f>
        <v>Rejected</v>
      </c>
      <c r="L29" t="str">
        <f>IFERROR(VLOOKUP(K29, Status_Mapping!A:B, 2,), "Not Found")</f>
        <v>Rejected</v>
      </c>
      <c r="N29" s="29" t="str">
        <f>IF(M29="","",M29-B29)</f>
        <v/>
      </c>
      <c r="O29" s="1" t="str">
        <f t="shared" si="2"/>
        <v>Starter</v>
      </c>
      <c r="P29" t="str">
        <f>TEXT(B29, "mmmm")</f>
        <v>June</v>
      </c>
      <c r="Q29" t="str">
        <f t="shared" si="3"/>
        <v>Q2</v>
      </c>
      <c r="R29" t="str">
        <f>IFERROR(VLOOKUP(TRIM(CLEAN(G29)),Sheet14!$A$2:$B$19,2,FALSE),"Not Mapped")</f>
        <v>West</v>
      </c>
    </row>
    <row r="30" spans="1:18">
      <c r="A30" t="str">
        <f t="shared" si="0"/>
        <v>EOS0029</v>
      </c>
      <c r="B30" s="35">
        <v>45817</v>
      </c>
      <c r="C30" s="1" t="s">
        <v>267</v>
      </c>
      <c r="D30" s="1" t="str">
        <f t="shared" si="1"/>
        <v>FB</v>
      </c>
      <c r="E30" s="1" t="s">
        <v>320</v>
      </c>
      <c r="F30" s="1" t="s">
        <v>321</v>
      </c>
      <c r="G30" s="1" t="s">
        <v>223</v>
      </c>
      <c r="H30" s="1" t="s">
        <v>149</v>
      </c>
      <c r="I30" s="1">
        <v>130000</v>
      </c>
      <c r="J30" s="45">
        <v>107028</v>
      </c>
      <c r="K30" s="1" t="str">
        <f>TRIM(Cleaned_CRM_Data!H30)</f>
        <v>Rejected</v>
      </c>
      <c r="L30" t="str">
        <f>IFERROR(VLOOKUP(K30, Status_Mapping!A:B, 2,), "Not Found")</f>
        <v>Rejected</v>
      </c>
      <c r="N30" s="29" t="str">
        <f>IF(M30="","",M30-B30)</f>
        <v/>
      </c>
      <c r="O30" s="1" t="str">
        <f t="shared" si="2"/>
        <v>Starter</v>
      </c>
      <c r="P30" t="str">
        <f>TEXT(B30, "mmmm")</f>
        <v>June</v>
      </c>
      <c r="Q30" t="str">
        <f t="shared" si="3"/>
        <v>Q2</v>
      </c>
      <c r="R30" t="str">
        <f>IFERROR(VLOOKUP(TRIM(CLEAN(G30)),Sheet14!$A$2:$B$19,2,FALSE),"Not Mapped")</f>
        <v>West</v>
      </c>
    </row>
    <row r="31" spans="1:18">
      <c r="A31" t="str">
        <f t="shared" si="0"/>
        <v>EOS0030</v>
      </c>
      <c r="B31" s="35">
        <v>45817</v>
      </c>
      <c r="C31" s="1" t="s">
        <v>267</v>
      </c>
      <c r="D31" s="1" t="str">
        <f t="shared" si="1"/>
        <v>FB</v>
      </c>
      <c r="E31" s="1" t="s">
        <v>322</v>
      </c>
      <c r="F31" s="1" t="s">
        <v>296</v>
      </c>
      <c r="G31" s="1" t="s">
        <v>223</v>
      </c>
      <c r="H31" s="1" t="s">
        <v>149</v>
      </c>
      <c r="I31" s="1">
        <v>108000</v>
      </c>
      <c r="J31" s="45">
        <v>107029</v>
      </c>
      <c r="K31" s="1" t="str">
        <f>TRIM(Cleaned_CRM_Data!H31)</f>
        <v>Rejected</v>
      </c>
      <c r="L31" t="str">
        <f>IFERROR(VLOOKUP(K31, Status_Mapping!A:B, 2,), "Not Found")</f>
        <v>Rejected</v>
      </c>
      <c r="N31" s="29" t="str">
        <f>IF(M31="","",M31-B31)</f>
        <v/>
      </c>
      <c r="O31" s="1" t="str">
        <f t="shared" si="2"/>
        <v>Starter</v>
      </c>
      <c r="P31" t="str">
        <f>TEXT(B31, "mmmm")</f>
        <v>June</v>
      </c>
      <c r="Q31" t="str">
        <f t="shared" si="3"/>
        <v>Q2</v>
      </c>
      <c r="R31" t="str">
        <f>IFERROR(VLOOKUP(TRIM(CLEAN(G31)),Sheet14!$A$2:$B$19,2,FALSE),"Not Mapped")</f>
        <v>West</v>
      </c>
    </row>
    <row r="32" spans="1:18">
      <c r="A32" t="str">
        <f t="shared" si="0"/>
        <v>EOS0031</v>
      </c>
      <c r="B32" s="35">
        <v>45817</v>
      </c>
      <c r="C32" s="1" t="s">
        <v>267</v>
      </c>
      <c r="D32" s="1" t="str">
        <f t="shared" si="1"/>
        <v>FB</v>
      </c>
      <c r="E32" s="1" t="s">
        <v>323</v>
      </c>
      <c r="F32" s="1" t="s">
        <v>324</v>
      </c>
      <c r="G32" s="1" t="s">
        <v>223</v>
      </c>
      <c r="H32" s="1" t="s">
        <v>149</v>
      </c>
      <c r="I32" s="1">
        <v>108000</v>
      </c>
      <c r="J32" s="45">
        <v>107030</v>
      </c>
      <c r="K32" s="1" t="str">
        <f>TRIM(Cleaned_CRM_Data!H32)</f>
        <v>Rejected</v>
      </c>
      <c r="L32" t="str">
        <f>IFERROR(VLOOKUP(K32, Status_Mapping!A:B, 2,), "Not Found")</f>
        <v>Rejected</v>
      </c>
      <c r="N32" s="29" t="str">
        <f>IF(M32="","",M32-B32)</f>
        <v/>
      </c>
      <c r="O32" s="1" t="str">
        <f t="shared" si="2"/>
        <v>Starter</v>
      </c>
      <c r="P32" t="str">
        <f>TEXT(B32, "mmmm")</f>
        <v>June</v>
      </c>
      <c r="Q32" t="str">
        <f t="shared" si="3"/>
        <v>Q2</v>
      </c>
      <c r="R32" t="str">
        <f>IFERROR(VLOOKUP(TRIM(CLEAN(G32)),Sheet14!$A$2:$B$19,2,FALSE),"Not Mapped")</f>
        <v>West</v>
      </c>
    </row>
    <row r="33" spans="1:18">
      <c r="A33" t="str">
        <f t="shared" si="0"/>
        <v>EOS0032</v>
      </c>
      <c r="B33" s="35">
        <v>45817</v>
      </c>
      <c r="C33" s="1" t="s">
        <v>267</v>
      </c>
      <c r="D33" s="1" t="str">
        <f t="shared" si="1"/>
        <v>FB</v>
      </c>
      <c r="E33" s="1" t="s">
        <v>325</v>
      </c>
      <c r="F33" s="1" t="s">
        <v>326</v>
      </c>
      <c r="G33" s="1" t="s">
        <v>223</v>
      </c>
      <c r="H33" s="1" t="s">
        <v>149</v>
      </c>
      <c r="I33" s="1">
        <v>108000</v>
      </c>
      <c r="J33" s="45">
        <v>107031</v>
      </c>
      <c r="K33" s="1" t="str">
        <f>TRIM(Cleaned_CRM_Data!H33)</f>
        <v>Rejected</v>
      </c>
      <c r="L33" t="str">
        <f>IFERROR(VLOOKUP(K33, Status_Mapping!A:B, 2,), "Not Found")</f>
        <v>Rejected</v>
      </c>
      <c r="N33" s="29" t="str">
        <f>IF(M33="","",M33-B33)</f>
        <v/>
      </c>
      <c r="O33" s="1" t="str">
        <f t="shared" si="2"/>
        <v>Starter</v>
      </c>
      <c r="P33" t="str">
        <f>TEXT(B33, "mmmm")</f>
        <v>June</v>
      </c>
      <c r="Q33" t="str">
        <f t="shared" si="3"/>
        <v>Q2</v>
      </c>
      <c r="R33" t="str">
        <f>IFERROR(VLOOKUP(TRIM(CLEAN(G33)),Sheet14!$A$2:$B$19,2,FALSE),"Not Mapped")</f>
        <v>West</v>
      </c>
    </row>
    <row r="34" spans="1:18">
      <c r="A34" t="str">
        <f t="shared" si="0"/>
        <v>EOS0033</v>
      </c>
      <c r="B34" s="35">
        <v>45817</v>
      </c>
      <c r="C34" s="1" t="s">
        <v>267</v>
      </c>
      <c r="D34" s="1" t="str">
        <f t="shared" si="1"/>
        <v>FB</v>
      </c>
      <c r="E34" s="1" t="s">
        <v>327</v>
      </c>
      <c r="F34" s="1" t="s">
        <v>328</v>
      </c>
      <c r="G34" s="1" t="s">
        <v>223</v>
      </c>
      <c r="H34" s="1" t="s">
        <v>149</v>
      </c>
      <c r="I34" s="1">
        <v>177000</v>
      </c>
      <c r="J34" s="45">
        <v>107032</v>
      </c>
      <c r="K34" s="1" t="str">
        <f>TRIM(Cleaned_CRM_Data!H34)</f>
        <v>Rejected</v>
      </c>
      <c r="L34" t="str">
        <f>IFERROR(VLOOKUP(K34, Status_Mapping!A:B, 2,), "Not Found")</f>
        <v>Rejected</v>
      </c>
      <c r="N34" s="29" t="str">
        <f>IF(M34="","",M34-B34)</f>
        <v/>
      </c>
      <c r="O34" s="1" t="str">
        <f t="shared" si="2"/>
        <v>Growth</v>
      </c>
      <c r="P34" t="str">
        <f>TEXT(B34, "mmmm")</f>
        <v>June</v>
      </c>
      <c r="Q34" t="str">
        <f t="shared" si="3"/>
        <v>Q2</v>
      </c>
      <c r="R34" t="str">
        <f>IFERROR(VLOOKUP(TRIM(CLEAN(G34)),Sheet14!$A$2:$B$19,2,FALSE),"Not Mapped")</f>
        <v>West</v>
      </c>
    </row>
    <row r="35" spans="1:18">
      <c r="A35" t="str">
        <f t="shared" si="0"/>
        <v>EOS0034</v>
      </c>
      <c r="B35" s="35">
        <v>45817</v>
      </c>
      <c r="C35" s="1" t="s">
        <v>267</v>
      </c>
      <c r="D35" s="1" t="str">
        <f t="shared" si="1"/>
        <v>FB</v>
      </c>
      <c r="E35" s="1" t="s">
        <v>329</v>
      </c>
      <c r="F35" s="1" t="s">
        <v>271</v>
      </c>
      <c r="G35" s="1" t="s">
        <v>223</v>
      </c>
      <c r="H35" s="1" t="s">
        <v>149</v>
      </c>
      <c r="I35" s="1">
        <v>130000</v>
      </c>
      <c r="J35" s="45">
        <v>107033</v>
      </c>
      <c r="K35" s="1" t="str">
        <f>TRIM(Cleaned_CRM_Data!H35)</f>
        <v>Rejected</v>
      </c>
      <c r="L35" t="str">
        <f>IFERROR(VLOOKUP(K35, Status_Mapping!A:B, 2,), "Not Found")</f>
        <v>Rejected</v>
      </c>
      <c r="N35" s="29" t="str">
        <f>IF(M35="","",M35-B35)</f>
        <v/>
      </c>
      <c r="O35" s="1" t="str">
        <f t="shared" si="2"/>
        <v>Starter</v>
      </c>
      <c r="P35" t="str">
        <f>TEXT(B35, "mmmm")</f>
        <v>June</v>
      </c>
      <c r="Q35" t="str">
        <f t="shared" si="3"/>
        <v>Q2</v>
      </c>
      <c r="R35" t="str">
        <f>IFERROR(VLOOKUP(TRIM(CLEAN(G35)),Sheet14!$A$2:$B$19,2,FALSE),"Not Mapped")</f>
        <v>West</v>
      </c>
    </row>
    <row r="36" spans="1:18">
      <c r="A36" t="str">
        <f t="shared" si="0"/>
        <v>EOS0035</v>
      </c>
      <c r="B36" s="35">
        <v>45817</v>
      </c>
      <c r="C36" s="1" t="s">
        <v>267</v>
      </c>
      <c r="D36" s="1" t="str">
        <f t="shared" si="1"/>
        <v>FB</v>
      </c>
      <c r="E36" s="1" t="s">
        <v>330</v>
      </c>
      <c r="F36" s="1" t="s">
        <v>331</v>
      </c>
      <c r="G36" s="1" t="s">
        <v>217</v>
      </c>
      <c r="H36" s="1" t="s">
        <v>149</v>
      </c>
      <c r="I36" s="1">
        <v>108000</v>
      </c>
      <c r="J36" s="45">
        <v>107034</v>
      </c>
      <c r="K36" s="1" t="str">
        <f>TRIM(Cleaned_CRM_Data!H36)</f>
        <v>Rejected</v>
      </c>
      <c r="L36" t="str">
        <f>IFERROR(VLOOKUP(K36, Status_Mapping!A:B, 2,), "Not Found")</f>
        <v>Rejected</v>
      </c>
      <c r="N36" s="29" t="str">
        <f>IF(M36="","",M36-B36)</f>
        <v/>
      </c>
      <c r="O36" s="1" t="str">
        <f t="shared" si="2"/>
        <v>Starter</v>
      </c>
      <c r="P36" t="str">
        <f>TEXT(B36, "mmmm")</f>
        <v>June</v>
      </c>
      <c r="Q36" t="str">
        <f t="shared" si="3"/>
        <v>Q2</v>
      </c>
      <c r="R36" t="str">
        <f>IFERROR(VLOOKUP(TRIM(CLEAN(G36)),Sheet14!$A$2:$B$19,2,FALSE),"Not Mapped")</f>
        <v>Central</v>
      </c>
    </row>
    <row r="37" spans="1:18">
      <c r="A37" t="str">
        <f t="shared" si="0"/>
        <v>EOS0036</v>
      </c>
      <c r="B37" s="35">
        <v>45817</v>
      </c>
      <c r="C37" s="1" t="s">
        <v>267</v>
      </c>
      <c r="D37" s="1" t="str">
        <f t="shared" si="1"/>
        <v>FB</v>
      </c>
      <c r="E37" s="1" t="s">
        <v>332</v>
      </c>
      <c r="F37" s="1" t="s">
        <v>333</v>
      </c>
      <c r="G37" s="1" t="s">
        <v>223</v>
      </c>
      <c r="H37" s="1" t="s">
        <v>149</v>
      </c>
      <c r="I37" s="1">
        <v>108000</v>
      </c>
      <c r="J37" s="45">
        <v>107035</v>
      </c>
      <c r="K37" s="1" t="str">
        <f>TRIM(Cleaned_CRM_Data!H37)</f>
        <v>Rejected</v>
      </c>
      <c r="L37" t="str">
        <f>IFERROR(VLOOKUP(K37, Status_Mapping!A:B, 2,), "Not Found")</f>
        <v>Rejected</v>
      </c>
      <c r="N37" s="29" t="str">
        <f>IF(M37="","",M37-B37)</f>
        <v/>
      </c>
      <c r="O37" s="1" t="str">
        <f t="shared" si="2"/>
        <v>Starter</v>
      </c>
      <c r="P37" t="str">
        <f>TEXT(B37, "mmmm")</f>
        <v>June</v>
      </c>
      <c r="Q37" t="str">
        <f t="shared" si="3"/>
        <v>Q2</v>
      </c>
      <c r="R37" t="str">
        <f>IFERROR(VLOOKUP(TRIM(CLEAN(G37)),Sheet14!$A$2:$B$19,2,FALSE),"Not Mapped")</f>
        <v>West</v>
      </c>
    </row>
    <row r="38" spans="1:18">
      <c r="A38" t="str">
        <f t="shared" si="0"/>
        <v>EOS0037</v>
      </c>
      <c r="B38" s="35">
        <v>45817</v>
      </c>
      <c r="C38" s="1" t="s">
        <v>267</v>
      </c>
      <c r="D38" s="1" t="str">
        <f t="shared" si="1"/>
        <v>FB</v>
      </c>
      <c r="E38" s="1" t="s">
        <v>334</v>
      </c>
      <c r="F38" s="1" t="s">
        <v>333</v>
      </c>
      <c r="G38" s="1" t="s">
        <v>223</v>
      </c>
      <c r="H38" s="1" t="s">
        <v>149</v>
      </c>
      <c r="I38" s="1">
        <v>108000</v>
      </c>
      <c r="J38" s="45">
        <v>107036</v>
      </c>
      <c r="K38" s="1" t="str">
        <f>TRIM(Cleaned_CRM_Data!H38)</f>
        <v>Rejected</v>
      </c>
      <c r="L38" t="str">
        <f>IFERROR(VLOOKUP(K38, Status_Mapping!A:B, 2,), "Not Found")</f>
        <v>Rejected</v>
      </c>
      <c r="N38" s="29" t="str">
        <f>IF(M38="","",M38-B38)</f>
        <v/>
      </c>
      <c r="O38" s="1" t="str">
        <f t="shared" si="2"/>
        <v>Starter</v>
      </c>
      <c r="P38" t="str">
        <f>TEXT(B38, "mmmm")</f>
        <v>June</v>
      </c>
      <c r="Q38" t="str">
        <f t="shared" si="3"/>
        <v>Q2</v>
      </c>
      <c r="R38" t="str">
        <f>IFERROR(VLOOKUP(TRIM(CLEAN(G38)),Sheet14!$A$2:$B$19,2,FALSE),"Not Mapped")</f>
        <v>West</v>
      </c>
    </row>
    <row r="39" spans="1:18">
      <c r="A39" t="str">
        <f t="shared" si="0"/>
        <v>EOS0038</v>
      </c>
      <c r="B39" s="35">
        <v>45817</v>
      </c>
      <c r="C39" s="1" t="s">
        <v>267</v>
      </c>
      <c r="D39" s="1" t="str">
        <f t="shared" si="1"/>
        <v>FB</v>
      </c>
      <c r="E39" s="1" t="s">
        <v>335</v>
      </c>
      <c r="F39" s="1" t="s">
        <v>336</v>
      </c>
      <c r="G39" s="1" t="s">
        <v>223</v>
      </c>
      <c r="H39" s="1" t="s">
        <v>149</v>
      </c>
      <c r="I39" s="1">
        <v>130000</v>
      </c>
      <c r="J39" s="45">
        <v>107037</v>
      </c>
      <c r="K39" s="1" t="str">
        <f>TRIM(Cleaned_CRM_Data!H39)</f>
        <v>Rejected</v>
      </c>
      <c r="L39" t="str">
        <f>IFERROR(VLOOKUP(K39, Status_Mapping!A:B, 2,), "Not Found")</f>
        <v>Rejected</v>
      </c>
      <c r="N39" s="29" t="str">
        <f>IF(M39="","",M39-B39)</f>
        <v/>
      </c>
      <c r="O39" s="1" t="str">
        <f t="shared" si="2"/>
        <v>Starter</v>
      </c>
      <c r="P39" t="str">
        <f>TEXT(B39, "mmmm")</f>
        <v>June</v>
      </c>
      <c r="Q39" t="str">
        <f t="shared" si="3"/>
        <v>Q2</v>
      </c>
      <c r="R39" t="str">
        <f>IFERROR(VLOOKUP(TRIM(CLEAN(G39)),Sheet14!$A$2:$B$19,2,FALSE),"Not Mapped")</f>
        <v>West</v>
      </c>
    </row>
    <row r="40" spans="1:18">
      <c r="A40" t="str">
        <f t="shared" si="0"/>
        <v>EOS0039</v>
      </c>
      <c r="B40" s="35">
        <v>45817</v>
      </c>
      <c r="C40" s="1" t="s">
        <v>267</v>
      </c>
      <c r="D40" s="1" t="str">
        <f t="shared" si="1"/>
        <v>FB</v>
      </c>
      <c r="E40" s="1" t="s">
        <v>337</v>
      </c>
      <c r="F40" s="1" t="s">
        <v>275</v>
      </c>
      <c r="G40" s="1" t="s">
        <v>223</v>
      </c>
      <c r="H40" s="1" t="s">
        <v>40</v>
      </c>
      <c r="I40" s="1">
        <v>108000</v>
      </c>
      <c r="J40" s="45">
        <v>107038</v>
      </c>
      <c r="K40" s="1" t="str">
        <f>TRIM(Cleaned_CRM_Data!H40)</f>
        <v>Deal</v>
      </c>
      <c r="L40" t="str">
        <f>IFERROR(VLOOKUP(K40, Status_Mapping!A:B, 2,), "Not Found")</f>
        <v>Converted</v>
      </c>
      <c r="N40" s="29" t="str">
        <f>IF(M40="","",M40-B40)</f>
        <v/>
      </c>
      <c r="O40" s="1" t="str">
        <f t="shared" si="2"/>
        <v>Starter</v>
      </c>
      <c r="P40" t="str">
        <f>TEXT(B40, "mmmm")</f>
        <v>June</v>
      </c>
      <c r="Q40" t="str">
        <f t="shared" si="3"/>
        <v>Q2</v>
      </c>
      <c r="R40" t="str">
        <f>IFERROR(VLOOKUP(TRIM(CLEAN(G40)),Sheet14!$A$2:$B$19,2,FALSE),"Not Mapped")</f>
        <v>West</v>
      </c>
    </row>
    <row r="41" spans="1:18">
      <c r="A41" t="str">
        <f t="shared" si="0"/>
        <v>EOS0040</v>
      </c>
      <c r="B41" s="35">
        <v>45817</v>
      </c>
      <c r="C41" s="1" t="s">
        <v>267</v>
      </c>
      <c r="D41" s="1" t="str">
        <f t="shared" si="1"/>
        <v>FB</v>
      </c>
      <c r="E41" s="1" t="s">
        <v>338</v>
      </c>
      <c r="F41" s="1" t="s">
        <v>275</v>
      </c>
      <c r="G41" s="1" t="s">
        <v>223</v>
      </c>
      <c r="H41" s="1" t="s">
        <v>149</v>
      </c>
      <c r="I41" s="1">
        <v>108000</v>
      </c>
      <c r="J41" s="45">
        <v>107039</v>
      </c>
      <c r="K41" s="1" t="str">
        <f>TRIM(Cleaned_CRM_Data!H41)</f>
        <v>Rejected</v>
      </c>
      <c r="L41" t="str">
        <f>IFERROR(VLOOKUP(K41, Status_Mapping!A:B, 2,), "Not Found")</f>
        <v>Rejected</v>
      </c>
      <c r="N41" s="29" t="str">
        <f>IF(M41="","",M41-B41)</f>
        <v/>
      </c>
      <c r="O41" s="1" t="str">
        <f t="shared" si="2"/>
        <v>Starter</v>
      </c>
      <c r="P41" t="str">
        <f>TEXT(B41, "mmmm")</f>
        <v>June</v>
      </c>
      <c r="Q41" t="str">
        <f t="shared" si="3"/>
        <v>Q2</v>
      </c>
      <c r="R41" t="str">
        <f>IFERROR(VLOOKUP(TRIM(CLEAN(G41)),Sheet14!$A$2:$B$19,2,FALSE),"Not Mapped")</f>
        <v>West</v>
      </c>
    </row>
    <row r="42" spans="1:18">
      <c r="A42" t="str">
        <f t="shared" si="0"/>
        <v>EOS0041</v>
      </c>
      <c r="B42" s="35">
        <v>45819</v>
      </c>
      <c r="C42" s="1" t="s">
        <v>267</v>
      </c>
      <c r="D42" s="1" t="str">
        <f t="shared" si="1"/>
        <v>FB</v>
      </c>
      <c r="E42" s="1" t="s">
        <v>339</v>
      </c>
      <c r="F42" s="1" t="s">
        <v>340</v>
      </c>
      <c r="G42" s="1" t="s">
        <v>223</v>
      </c>
      <c r="H42" s="1" t="s">
        <v>149</v>
      </c>
      <c r="I42" s="1">
        <v>130000</v>
      </c>
      <c r="J42" s="45">
        <v>107040</v>
      </c>
      <c r="K42" s="1" t="str">
        <f>TRIM(Cleaned_CRM_Data!H42)</f>
        <v>Rejected</v>
      </c>
      <c r="L42" t="str">
        <f>IFERROR(VLOOKUP(K42, Status_Mapping!A:B, 2,), "Not Found")</f>
        <v>Rejected</v>
      </c>
      <c r="N42" s="29" t="str">
        <f>IF(M42="","",M42-B42)</f>
        <v/>
      </c>
      <c r="O42" s="1" t="str">
        <f t="shared" si="2"/>
        <v>Starter</v>
      </c>
      <c r="P42" t="str">
        <f>TEXT(B42, "mmmm")</f>
        <v>June</v>
      </c>
      <c r="Q42" t="str">
        <f t="shared" si="3"/>
        <v>Q2</v>
      </c>
      <c r="R42" t="str">
        <f>IFERROR(VLOOKUP(TRIM(CLEAN(G42)),Sheet14!$A$2:$B$19,2,FALSE),"Not Mapped")</f>
        <v>West</v>
      </c>
    </row>
    <row r="43" spans="1:18">
      <c r="A43" t="str">
        <f t="shared" si="0"/>
        <v>EOS0042</v>
      </c>
      <c r="B43" s="35">
        <v>45819</v>
      </c>
      <c r="C43" s="1" t="s">
        <v>267</v>
      </c>
      <c r="D43" s="1" t="str">
        <f t="shared" si="1"/>
        <v>FB</v>
      </c>
      <c r="E43" s="1" t="s">
        <v>341</v>
      </c>
      <c r="F43" s="1" t="s">
        <v>277</v>
      </c>
      <c r="G43" s="1" t="s">
        <v>236</v>
      </c>
      <c r="H43" s="1" t="s">
        <v>149</v>
      </c>
      <c r="I43" s="1">
        <v>130000</v>
      </c>
      <c r="J43" s="45">
        <v>107041</v>
      </c>
      <c r="K43" s="1" t="str">
        <f>TRIM(Cleaned_CRM_Data!H43)</f>
        <v>Rejected</v>
      </c>
      <c r="L43" t="str">
        <f>IFERROR(VLOOKUP(K43, Status_Mapping!A:B, 2,), "Not Found")</f>
        <v>Rejected</v>
      </c>
      <c r="N43" s="29" t="str">
        <f>IF(M43="","",M43-B43)</f>
        <v/>
      </c>
      <c r="O43" s="1" t="str">
        <f t="shared" si="2"/>
        <v>Starter</v>
      </c>
      <c r="P43" t="str">
        <f>TEXT(B43, "mmmm")</f>
        <v>June</v>
      </c>
      <c r="Q43" t="str">
        <f t="shared" si="3"/>
        <v>Q2</v>
      </c>
      <c r="R43" t="str">
        <f>IFERROR(VLOOKUP(TRIM(CLEAN(G43)),Sheet14!$A$2:$B$19,2,FALSE),"Not Mapped")</f>
        <v>North</v>
      </c>
    </row>
    <row r="44" spans="1:18">
      <c r="A44" t="str">
        <f t="shared" si="0"/>
        <v>EOS0043</v>
      </c>
      <c r="B44" s="35">
        <v>45819</v>
      </c>
      <c r="C44" s="1" t="s">
        <v>267</v>
      </c>
      <c r="D44" s="1" t="str">
        <f t="shared" si="1"/>
        <v>FB</v>
      </c>
      <c r="E44" s="1" t="s">
        <v>342</v>
      </c>
      <c r="F44" s="1" t="s">
        <v>275</v>
      </c>
      <c r="G44" s="1" t="s">
        <v>223</v>
      </c>
      <c r="H44" s="1" t="s">
        <v>149</v>
      </c>
      <c r="I44" s="1">
        <v>108000</v>
      </c>
      <c r="J44" s="45">
        <v>107042</v>
      </c>
      <c r="K44" s="1" t="str">
        <f>TRIM(Cleaned_CRM_Data!H44)</f>
        <v>Rejected</v>
      </c>
      <c r="L44" t="str">
        <f>IFERROR(VLOOKUP(K44, Status_Mapping!A:B, 2,), "Not Found")</f>
        <v>Rejected</v>
      </c>
      <c r="N44" s="29" t="str">
        <f>IF(M44="","",M44-B44)</f>
        <v/>
      </c>
      <c r="O44" s="1" t="str">
        <f t="shared" si="2"/>
        <v>Starter</v>
      </c>
      <c r="P44" t="str">
        <f>TEXT(B44, "mmmm")</f>
        <v>June</v>
      </c>
      <c r="Q44" t="str">
        <f t="shared" si="3"/>
        <v>Q2</v>
      </c>
      <c r="R44" t="str">
        <f>IFERROR(VLOOKUP(TRIM(CLEAN(G44)),Sheet14!$A$2:$B$19,2,FALSE),"Not Mapped")</f>
        <v>West</v>
      </c>
    </row>
    <row r="45" spans="1:18">
      <c r="A45" t="str">
        <f t="shared" si="0"/>
        <v>EOS0044</v>
      </c>
      <c r="B45" s="35">
        <v>45819</v>
      </c>
      <c r="C45" s="1" t="s">
        <v>267</v>
      </c>
      <c r="D45" s="1" t="str">
        <f t="shared" si="1"/>
        <v>FB</v>
      </c>
      <c r="E45" s="1" t="s">
        <v>343</v>
      </c>
      <c r="F45" s="1" t="s">
        <v>344</v>
      </c>
      <c r="G45" s="1" t="s">
        <v>228</v>
      </c>
      <c r="H45" s="1" t="s">
        <v>149</v>
      </c>
      <c r="I45" s="1">
        <v>130000</v>
      </c>
      <c r="J45" s="45">
        <v>107043</v>
      </c>
      <c r="K45" s="1" t="str">
        <f>TRIM(Cleaned_CRM_Data!H45)</f>
        <v>Rejected</v>
      </c>
      <c r="L45" t="str">
        <f>IFERROR(VLOOKUP(K45, Status_Mapping!A:B, 2,), "Not Found")</f>
        <v>Rejected</v>
      </c>
      <c r="N45" s="29" t="str">
        <f>IF(M45="","",M45-B45)</f>
        <v/>
      </c>
      <c r="O45" s="1" t="str">
        <f t="shared" si="2"/>
        <v>Starter</v>
      </c>
      <c r="P45" t="str">
        <f>TEXT(B45, "mmmm")</f>
        <v>June</v>
      </c>
      <c r="Q45" t="str">
        <f t="shared" si="3"/>
        <v>Q2</v>
      </c>
      <c r="R45" t="str">
        <f>IFERROR(VLOOKUP(TRIM(CLEAN(G45)),Sheet14!$A$2:$B$19,2,FALSE),"Not Mapped")</f>
        <v>Central</v>
      </c>
    </row>
    <row r="46" spans="1:18">
      <c r="A46" t="str">
        <f t="shared" si="0"/>
        <v>EOS0045</v>
      </c>
      <c r="B46" s="35">
        <v>45819</v>
      </c>
      <c r="C46" s="1" t="s">
        <v>267</v>
      </c>
      <c r="D46" s="1" t="str">
        <f t="shared" si="1"/>
        <v>FB</v>
      </c>
      <c r="E46" s="1" t="s">
        <v>345</v>
      </c>
      <c r="F46" s="1" t="s">
        <v>275</v>
      </c>
      <c r="G46" s="1" t="s">
        <v>223</v>
      </c>
      <c r="H46" s="1" t="s">
        <v>149</v>
      </c>
      <c r="I46" s="1">
        <v>130000</v>
      </c>
      <c r="J46" s="45">
        <v>107044</v>
      </c>
      <c r="K46" s="1" t="str">
        <f>TRIM(Cleaned_CRM_Data!H46)</f>
        <v>Rejected</v>
      </c>
      <c r="L46" t="str">
        <f>IFERROR(VLOOKUP(K46, Status_Mapping!A:B, 2,), "Not Found")</f>
        <v>Rejected</v>
      </c>
      <c r="N46" s="29" t="str">
        <f>IF(M46="","",M46-B46)</f>
        <v/>
      </c>
      <c r="O46" s="1" t="str">
        <f t="shared" si="2"/>
        <v>Starter</v>
      </c>
      <c r="P46" t="str">
        <f>TEXT(B46, "mmmm")</f>
        <v>June</v>
      </c>
      <c r="Q46" t="str">
        <f t="shared" si="3"/>
        <v>Q2</v>
      </c>
      <c r="R46" t="str">
        <f>IFERROR(VLOOKUP(TRIM(CLEAN(G46)),Sheet14!$A$2:$B$19,2,FALSE),"Not Mapped")</f>
        <v>West</v>
      </c>
    </row>
    <row r="47" spans="1:18">
      <c r="A47" t="str">
        <f t="shared" si="0"/>
        <v>EOS0046</v>
      </c>
      <c r="B47" s="35">
        <v>45819</v>
      </c>
      <c r="C47" s="1" t="s">
        <v>267</v>
      </c>
      <c r="D47" s="1" t="str">
        <f t="shared" si="1"/>
        <v>FB</v>
      </c>
      <c r="E47" s="1">
        <v>0</v>
      </c>
      <c r="F47" s="1" t="s">
        <v>346</v>
      </c>
      <c r="G47" s="1" t="s">
        <v>223</v>
      </c>
      <c r="H47" s="1" t="s">
        <v>149</v>
      </c>
      <c r="I47" s="1">
        <v>108000</v>
      </c>
      <c r="J47" s="45">
        <v>107045</v>
      </c>
      <c r="K47" s="1" t="str">
        <f>TRIM(Cleaned_CRM_Data!H47)</f>
        <v>Rejected</v>
      </c>
      <c r="L47" t="str">
        <f>IFERROR(VLOOKUP(K47, Status_Mapping!A:B, 2,), "Not Found")</f>
        <v>Rejected</v>
      </c>
      <c r="N47" s="29" t="str">
        <f>IF(M47="","",M47-B47)</f>
        <v/>
      </c>
      <c r="O47" s="1" t="str">
        <f t="shared" si="2"/>
        <v>Starter</v>
      </c>
      <c r="P47" t="str">
        <f>TEXT(B47, "mmmm")</f>
        <v>June</v>
      </c>
      <c r="Q47" t="str">
        <f t="shared" si="3"/>
        <v>Q2</v>
      </c>
      <c r="R47" t="str">
        <f>IFERROR(VLOOKUP(TRIM(CLEAN(G47)),Sheet14!$A$2:$B$19,2,FALSE),"Not Mapped")</f>
        <v>West</v>
      </c>
    </row>
    <row r="48" spans="1:18">
      <c r="A48" t="str">
        <f t="shared" si="0"/>
        <v>EOS0047</v>
      </c>
      <c r="B48" s="35">
        <v>45819</v>
      </c>
      <c r="C48" s="1" t="s">
        <v>267</v>
      </c>
      <c r="D48" s="1" t="str">
        <f t="shared" si="1"/>
        <v>FB</v>
      </c>
      <c r="E48" s="1" t="s">
        <v>347</v>
      </c>
      <c r="F48" s="1" t="s">
        <v>296</v>
      </c>
      <c r="G48" s="1" t="s">
        <v>223</v>
      </c>
      <c r="H48" s="1" t="s">
        <v>149</v>
      </c>
      <c r="I48" s="1">
        <v>108000</v>
      </c>
      <c r="J48" s="45">
        <v>107046</v>
      </c>
      <c r="K48" s="1" t="str">
        <f>TRIM(Cleaned_CRM_Data!H48)</f>
        <v>Rejected</v>
      </c>
      <c r="L48" t="str">
        <f>IFERROR(VLOOKUP(K48, Status_Mapping!A:B, 2,), "Not Found")</f>
        <v>Rejected</v>
      </c>
      <c r="N48" s="29" t="str">
        <f>IF(M48="","",M48-B48)</f>
        <v/>
      </c>
      <c r="O48" s="1" t="str">
        <f t="shared" si="2"/>
        <v>Starter</v>
      </c>
      <c r="P48" t="str">
        <f>TEXT(B48, "mmmm")</f>
        <v>June</v>
      </c>
      <c r="Q48" t="str">
        <f t="shared" si="3"/>
        <v>Q2</v>
      </c>
      <c r="R48" t="str">
        <f>IFERROR(VLOOKUP(TRIM(CLEAN(G48)),Sheet14!$A$2:$B$19,2,FALSE),"Not Mapped")</f>
        <v>West</v>
      </c>
    </row>
    <row r="49" spans="1:18">
      <c r="A49" t="str">
        <f t="shared" si="0"/>
        <v>EOS0048</v>
      </c>
      <c r="B49" s="35">
        <v>45819</v>
      </c>
      <c r="C49" s="1" t="s">
        <v>267</v>
      </c>
      <c r="D49" s="1" t="str">
        <f t="shared" si="1"/>
        <v>FB</v>
      </c>
      <c r="E49" s="1" t="s">
        <v>348</v>
      </c>
      <c r="F49" s="1" t="s">
        <v>304</v>
      </c>
      <c r="G49" s="1" t="s">
        <v>223</v>
      </c>
      <c r="H49" s="1" t="s">
        <v>149</v>
      </c>
      <c r="I49" s="1">
        <v>130000</v>
      </c>
      <c r="J49" s="45">
        <v>107047</v>
      </c>
      <c r="K49" s="1" t="str">
        <f>TRIM(Cleaned_CRM_Data!H49)</f>
        <v>Rejected</v>
      </c>
      <c r="L49" t="str">
        <f>IFERROR(VLOOKUP(K49, Status_Mapping!A:B, 2,), "Not Found")</f>
        <v>Rejected</v>
      </c>
      <c r="N49" s="29" t="str">
        <f>IF(M49="","",M49-B49)</f>
        <v/>
      </c>
      <c r="O49" s="1" t="str">
        <f t="shared" si="2"/>
        <v>Starter</v>
      </c>
      <c r="P49" t="str">
        <f>TEXT(B49, "mmmm")</f>
        <v>June</v>
      </c>
      <c r="Q49" t="str">
        <f t="shared" si="3"/>
        <v>Q2</v>
      </c>
      <c r="R49" t="str">
        <f>IFERROR(VLOOKUP(TRIM(CLEAN(G49)),Sheet14!$A$2:$B$19,2,FALSE),"Not Mapped")</f>
        <v>West</v>
      </c>
    </row>
    <row r="50" spans="1:18">
      <c r="A50" t="str">
        <f t="shared" si="0"/>
        <v>EOS0049</v>
      </c>
      <c r="B50" s="35">
        <v>45819</v>
      </c>
      <c r="C50" s="1" t="s">
        <v>267</v>
      </c>
      <c r="D50" s="1" t="str">
        <f t="shared" si="1"/>
        <v>FB</v>
      </c>
      <c r="E50" s="1" t="s">
        <v>349</v>
      </c>
      <c r="F50" s="1" t="s">
        <v>350</v>
      </c>
      <c r="G50" s="1" t="s">
        <v>223</v>
      </c>
      <c r="H50" s="1" t="s">
        <v>149</v>
      </c>
      <c r="I50" s="1">
        <v>108000</v>
      </c>
      <c r="J50" s="45">
        <v>107048</v>
      </c>
      <c r="K50" s="1" t="str">
        <f>TRIM(Cleaned_CRM_Data!H50)</f>
        <v>Rejected</v>
      </c>
      <c r="L50" t="str">
        <f>IFERROR(VLOOKUP(K50, Status_Mapping!A:B, 2,), "Not Found")</f>
        <v>Rejected</v>
      </c>
      <c r="N50" s="29" t="str">
        <f>IF(M50="","",M50-B50)</f>
        <v/>
      </c>
      <c r="O50" s="1" t="str">
        <f t="shared" si="2"/>
        <v>Starter</v>
      </c>
      <c r="P50" t="str">
        <f>TEXT(B50, "mmmm")</f>
        <v>June</v>
      </c>
      <c r="Q50" t="str">
        <f t="shared" si="3"/>
        <v>Q2</v>
      </c>
      <c r="R50" t="str">
        <f>IFERROR(VLOOKUP(TRIM(CLEAN(G50)),Sheet14!$A$2:$B$19,2,FALSE),"Not Mapped")</f>
        <v>West</v>
      </c>
    </row>
    <row r="51" spans="1:18">
      <c r="A51" t="str">
        <f t="shared" si="0"/>
        <v>EOS0050</v>
      </c>
      <c r="B51" s="35">
        <v>45819</v>
      </c>
      <c r="C51" s="1" t="s">
        <v>267</v>
      </c>
      <c r="D51" s="1" t="str">
        <f t="shared" si="1"/>
        <v>FB</v>
      </c>
      <c r="E51" s="1" t="s">
        <v>351</v>
      </c>
      <c r="F51" s="1" t="s">
        <v>324</v>
      </c>
      <c r="G51" s="1" t="s">
        <v>223</v>
      </c>
      <c r="H51" s="1" t="s">
        <v>149</v>
      </c>
      <c r="I51" s="1">
        <v>308000</v>
      </c>
      <c r="J51" s="45">
        <v>107049</v>
      </c>
      <c r="K51" s="1" t="str">
        <f>TRIM(Cleaned_CRM_Data!H51)</f>
        <v>Rejected</v>
      </c>
      <c r="L51" t="str">
        <f>IFERROR(VLOOKUP(K51, Status_Mapping!A:B, 2,), "Not Found")</f>
        <v>Rejected</v>
      </c>
      <c r="N51" s="29" t="str">
        <f>IF(M51="","",M51-B51)</f>
        <v/>
      </c>
      <c r="O51" s="1" t="str">
        <f t="shared" si="2"/>
        <v>Premium</v>
      </c>
      <c r="P51" t="str">
        <f>TEXT(B51, "mmmm")</f>
        <v>June</v>
      </c>
      <c r="Q51" t="str">
        <f t="shared" si="3"/>
        <v>Q2</v>
      </c>
      <c r="R51" t="str">
        <f>IFERROR(VLOOKUP(TRIM(CLEAN(G51)),Sheet14!$A$2:$B$19,2,FALSE),"Not Mapped")</f>
        <v>West</v>
      </c>
    </row>
    <row r="52" spans="1:18">
      <c r="A52" t="str">
        <f t="shared" si="0"/>
        <v>EOS0051</v>
      </c>
      <c r="B52" s="35">
        <v>45819</v>
      </c>
      <c r="C52" s="1" t="s">
        <v>267</v>
      </c>
      <c r="D52" s="1" t="str">
        <f t="shared" si="1"/>
        <v>FB</v>
      </c>
      <c r="E52" s="1" t="s">
        <v>352</v>
      </c>
      <c r="F52" s="1" t="s">
        <v>333</v>
      </c>
      <c r="G52" s="1" t="s">
        <v>223</v>
      </c>
      <c r="H52" s="1" t="s">
        <v>149</v>
      </c>
      <c r="I52" s="1">
        <v>130000</v>
      </c>
      <c r="J52" s="45">
        <v>107050</v>
      </c>
      <c r="K52" s="1" t="str">
        <f>TRIM(Cleaned_CRM_Data!H52)</f>
        <v>Rejected</v>
      </c>
      <c r="L52" t="str">
        <f>IFERROR(VLOOKUP(K52, Status_Mapping!A:B, 2,), "Not Found")</f>
        <v>Rejected</v>
      </c>
      <c r="N52" s="29" t="str">
        <f>IF(M52="","",M52-B52)</f>
        <v/>
      </c>
      <c r="O52" s="1" t="str">
        <f t="shared" si="2"/>
        <v>Starter</v>
      </c>
      <c r="P52" t="str">
        <f>TEXT(B52, "mmmm")</f>
        <v>June</v>
      </c>
      <c r="Q52" t="str">
        <f t="shared" si="3"/>
        <v>Q2</v>
      </c>
      <c r="R52" t="str">
        <f>IFERROR(VLOOKUP(TRIM(CLEAN(G52)),Sheet14!$A$2:$B$19,2,FALSE),"Not Mapped")</f>
        <v>West</v>
      </c>
    </row>
    <row r="53" spans="1:18">
      <c r="A53" t="str">
        <f t="shared" si="0"/>
        <v>EOS0052</v>
      </c>
      <c r="B53" s="35">
        <v>45819</v>
      </c>
      <c r="C53" s="1" t="s">
        <v>267</v>
      </c>
      <c r="D53" s="1" t="str">
        <f t="shared" si="1"/>
        <v>FB</v>
      </c>
      <c r="E53" s="1" t="s">
        <v>353</v>
      </c>
      <c r="F53" s="1" t="s">
        <v>354</v>
      </c>
      <c r="G53" s="1" t="s">
        <v>223</v>
      </c>
      <c r="H53" s="1" t="s">
        <v>149</v>
      </c>
      <c r="I53" s="1">
        <v>177000</v>
      </c>
      <c r="J53" s="45">
        <v>107051</v>
      </c>
      <c r="K53" s="1" t="str">
        <f>TRIM(Cleaned_CRM_Data!H53)</f>
        <v>Rejected</v>
      </c>
      <c r="L53" t="str">
        <f>IFERROR(VLOOKUP(K53, Status_Mapping!A:B, 2,), "Not Found")</f>
        <v>Rejected</v>
      </c>
      <c r="N53" s="29" t="str">
        <f>IF(M53="","",M53-B53)</f>
        <v/>
      </c>
      <c r="O53" s="1" t="str">
        <f t="shared" si="2"/>
        <v>Growth</v>
      </c>
      <c r="P53" t="str">
        <f>TEXT(B53, "mmmm")</f>
        <v>June</v>
      </c>
      <c r="Q53" t="str">
        <f t="shared" si="3"/>
        <v>Q2</v>
      </c>
      <c r="R53" t="str">
        <f>IFERROR(VLOOKUP(TRIM(CLEAN(G53)),Sheet14!$A$2:$B$19,2,FALSE),"Not Mapped")</f>
        <v>West</v>
      </c>
    </row>
    <row r="54" spans="1:18">
      <c r="A54" t="str">
        <f t="shared" si="0"/>
        <v>EOS0053</v>
      </c>
      <c r="B54" s="35">
        <v>45819</v>
      </c>
      <c r="C54" s="1" t="s">
        <v>267</v>
      </c>
      <c r="D54" s="1" t="str">
        <f t="shared" si="1"/>
        <v>FB</v>
      </c>
      <c r="E54" s="1" t="s">
        <v>355</v>
      </c>
      <c r="F54" s="1" t="s">
        <v>356</v>
      </c>
      <c r="G54" s="1" t="s">
        <v>223</v>
      </c>
      <c r="H54" s="1" t="s">
        <v>149</v>
      </c>
      <c r="I54" s="1">
        <v>108000</v>
      </c>
      <c r="J54" s="45">
        <v>107052</v>
      </c>
      <c r="K54" s="1" t="str">
        <f>TRIM(Cleaned_CRM_Data!H54)</f>
        <v>Rejected</v>
      </c>
      <c r="L54" t="str">
        <f>IFERROR(VLOOKUP(K54, Status_Mapping!A:B, 2,), "Not Found")</f>
        <v>Rejected</v>
      </c>
      <c r="N54" s="29" t="str">
        <f>IF(M54="","",M54-B54)</f>
        <v/>
      </c>
      <c r="O54" s="1" t="str">
        <f t="shared" si="2"/>
        <v>Starter</v>
      </c>
      <c r="P54" t="str">
        <f>TEXT(B54, "mmmm")</f>
        <v>June</v>
      </c>
      <c r="Q54" t="str">
        <f t="shared" si="3"/>
        <v>Q2</v>
      </c>
      <c r="R54" t="str">
        <f>IFERROR(VLOOKUP(TRIM(CLEAN(G54)),Sheet14!$A$2:$B$19,2,FALSE),"Not Mapped")</f>
        <v>West</v>
      </c>
    </row>
    <row r="55" spans="1:18">
      <c r="A55" t="str">
        <f t="shared" si="0"/>
        <v>EOS0054</v>
      </c>
      <c r="B55" s="35">
        <v>45819</v>
      </c>
      <c r="C55" s="1" t="s">
        <v>267</v>
      </c>
      <c r="D55" s="1" t="str">
        <f t="shared" si="1"/>
        <v>FB</v>
      </c>
      <c r="E55" s="1" t="s">
        <v>357</v>
      </c>
      <c r="F55" s="1" t="s">
        <v>358</v>
      </c>
      <c r="G55" s="1" t="s">
        <v>223</v>
      </c>
      <c r="H55" s="1" t="s">
        <v>149</v>
      </c>
      <c r="I55" s="1">
        <v>108000</v>
      </c>
      <c r="J55" s="45">
        <v>107053</v>
      </c>
      <c r="K55" s="1" t="str">
        <f>TRIM(Cleaned_CRM_Data!H55)</f>
        <v>Rejected</v>
      </c>
      <c r="L55" t="str">
        <f>IFERROR(VLOOKUP(K55, Status_Mapping!A:B, 2,), "Not Found")</f>
        <v>Rejected</v>
      </c>
      <c r="N55" s="29" t="str">
        <f>IF(M55="","",M55-B55)</f>
        <v/>
      </c>
      <c r="O55" s="1" t="str">
        <f t="shared" si="2"/>
        <v>Starter</v>
      </c>
      <c r="P55" t="str">
        <f>TEXT(B55, "mmmm")</f>
        <v>June</v>
      </c>
      <c r="Q55" t="str">
        <f t="shared" si="3"/>
        <v>Q2</v>
      </c>
      <c r="R55" t="str">
        <f>IFERROR(VLOOKUP(TRIM(CLEAN(G55)),Sheet14!$A$2:$B$19,2,FALSE),"Not Mapped")</f>
        <v>West</v>
      </c>
    </row>
    <row r="56" spans="1:18">
      <c r="A56" t="str">
        <f t="shared" si="0"/>
        <v>EOS0055</v>
      </c>
      <c r="B56" s="35">
        <v>45819</v>
      </c>
      <c r="C56" s="1" t="s">
        <v>267</v>
      </c>
      <c r="D56" s="1" t="str">
        <f t="shared" si="1"/>
        <v>FB</v>
      </c>
      <c r="E56" s="1" t="s">
        <v>359</v>
      </c>
      <c r="F56" s="1" t="s">
        <v>324</v>
      </c>
      <c r="G56" s="1" t="s">
        <v>223</v>
      </c>
      <c r="H56" s="1" t="s">
        <v>149</v>
      </c>
      <c r="I56" s="1">
        <v>130000</v>
      </c>
      <c r="J56" s="45">
        <v>107054</v>
      </c>
      <c r="K56" s="1" t="str">
        <f>TRIM(Cleaned_CRM_Data!H56)</f>
        <v>Rejected</v>
      </c>
      <c r="L56" t="str">
        <f>IFERROR(VLOOKUP(K56, Status_Mapping!A:B, 2,), "Not Found")</f>
        <v>Rejected</v>
      </c>
      <c r="N56" s="29" t="str">
        <f>IF(M56="","",M56-B56)</f>
        <v/>
      </c>
      <c r="O56" s="1" t="str">
        <f t="shared" si="2"/>
        <v>Starter</v>
      </c>
      <c r="P56" t="str">
        <f>TEXT(B56, "mmmm")</f>
        <v>June</v>
      </c>
      <c r="Q56" t="str">
        <f t="shared" si="3"/>
        <v>Q2</v>
      </c>
      <c r="R56" t="str">
        <f>IFERROR(VLOOKUP(TRIM(CLEAN(G56)),Sheet14!$A$2:$B$19,2,FALSE),"Not Mapped")</f>
        <v>West</v>
      </c>
    </row>
    <row r="57" spans="1:18">
      <c r="A57" t="str">
        <f t="shared" si="0"/>
        <v>EOS0056</v>
      </c>
      <c r="B57" s="35">
        <v>45819</v>
      </c>
      <c r="C57" s="1" t="s">
        <v>267</v>
      </c>
      <c r="D57" s="1" t="str">
        <f t="shared" si="1"/>
        <v>FB</v>
      </c>
      <c r="E57" s="1" t="s">
        <v>360</v>
      </c>
      <c r="F57" s="1" t="s">
        <v>361</v>
      </c>
      <c r="G57" s="1" t="s">
        <v>223</v>
      </c>
      <c r="H57" s="1" t="s">
        <v>149</v>
      </c>
      <c r="I57" s="1">
        <v>177000</v>
      </c>
      <c r="J57" s="45">
        <v>107055</v>
      </c>
      <c r="K57" s="1" t="str">
        <f>TRIM(Cleaned_CRM_Data!H57)</f>
        <v>Rejected</v>
      </c>
      <c r="L57" t="str">
        <f>IFERROR(VLOOKUP(K57, Status_Mapping!A:B, 2,), "Not Found")</f>
        <v>Rejected</v>
      </c>
      <c r="N57" s="29" t="str">
        <f>IF(M57="","",M57-B57)</f>
        <v/>
      </c>
      <c r="O57" s="1" t="str">
        <f t="shared" si="2"/>
        <v>Growth</v>
      </c>
      <c r="P57" t="str">
        <f>TEXT(B57, "mmmm")</f>
        <v>June</v>
      </c>
      <c r="Q57" t="str">
        <f t="shared" si="3"/>
        <v>Q2</v>
      </c>
      <c r="R57" t="str">
        <f>IFERROR(VLOOKUP(TRIM(CLEAN(G57)),Sheet14!$A$2:$B$19,2,FALSE),"Not Mapped")</f>
        <v>West</v>
      </c>
    </row>
    <row r="58" spans="1:18">
      <c r="A58" t="str">
        <f t="shared" si="0"/>
        <v>EOS0057</v>
      </c>
      <c r="B58" s="35">
        <v>45819</v>
      </c>
      <c r="C58" s="1" t="s">
        <v>267</v>
      </c>
      <c r="D58" s="1" t="str">
        <f t="shared" si="1"/>
        <v>FB</v>
      </c>
      <c r="E58" s="1">
        <v>0</v>
      </c>
      <c r="F58" s="1" t="s">
        <v>362</v>
      </c>
      <c r="G58" s="1" t="s">
        <v>223</v>
      </c>
      <c r="H58" s="1" t="s">
        <v>149</v>
      </c>
      <c r="I58" s="1">
        <v>108000</v>
      </c>
      <c r="J58" s="45">
        <v>107056</v>
      </c>
      <c r="K58" s="1" t="str">
        <f>TRIM(Cleaned_CRM_Data!H58)</f>
        <v>Rejected</v>
      </c>
      <c r="L58" t="str">
        <f>IFERROR(VLOOKUP(K58, Status_Mapping!A:B, 2,), "Not Found")</f>
        <v>Rejected</v>
      </c>
      <c r="N58" s="29" t="str">
        <f>IF(M58="","",M58-B58)</f>
        <v/>
      </c>
      <c r="O58" s="1" t="str">
        <f t="shared" si="2"/>
        <v>Starter</v>
      </c>
      <c r="P58" t="str">
        <f>TEXT(B58, "mmmm")</f>
        <v>June</v>
      </c>
      <c r="Q58" t="str">
        <f t="shared" si="3"/>
        <v>Q2</v>
      </c>
      <c r="R58" t="str">
        <f>IFERROR(VLOOKUP(TRIM(CLEAN(G58)),Sheet14!$A$2:$B$19,2,FALSE),"Not Mapped")</f>
        <v>West</v>
      </c>
    </row>
    <row r="59" spans="1:18">
      <c r="A59" t="str">
        <f t="shared" si="0"/>
        <v>EOS0058</v>
      </c>
      <c r="B59" s="35">
        <v>45819</v>
      </c>
      <c r="C59" s="1" t="s">
        <v>267</v>
      </c>
      <c r="D59" s="1" t="str">
        <f t="shared" si="1"/>
        <v>FB</v>
      </c>
      <c r="E59" s="1" t="s">
        <v>363</v>
      </c>
      <c r="F59" s="1" t="s">
        <v>364</v>
      </c>
      <c r="G59" s="1" t="s">
        <v>223</v>
      </c>
      <c r="H59" s="1" t="s">
        <v>149</v>
      </c>
      <c r="I59" s="1">
        <v>130000</v>
      </c>
      <c r="J59" s="45">
        <v>107057</v>
      </c>
      <c r="K59" s="1" t="str">
        <f>TRIM(Cleaned_CRM_Data!H59)</f>
        <v>Rejected</v>
      </c>
      <c r="L59" t="str">
        <f>IFERROR(VLOOKUP(K59, Status_Mapping!A:B, 2,), "Not Found")</f>
        <v>Rejected</v>
      </c>
      <c r="N59" s="29" t="str">
        <f>IF(M59="","",M59-B59)</f>
        <v/>
      </c>
      <c r="O59" s="1" t="str">
        <f t="shared" si="2"/>
        <v>Starter</v>
      </c>
      <c r="P59" t="str">
        <f>TEXT(B59, "mmmm")</f>
        <v>June</v>
      </c>
      <c r="Q59" t="str">
        <f t="shared" si="3"/>
        <v>Q2</v>
      </c>
      <c r="R59" t="str">
        <f>IFERROR(VLOOKUP(TRIM(CLEAN(G59)),Sheet14!$A$2:$B$19,2,FALSE),"Not Mapped")</f>
        <v>West</v>
      </c>
    </row>
    <row r="60" spans="1:18">
      <c r="A60" t="str">
        <f t="shared" si="0"/>
        <v>EOS0059</v>
      </c>
      <c r="B60" s="35">
        <v>45819</v>
      </c>
      <c r="C60" s="1" t="s">
        <v>267</v>
      </c>
      <c r="D60" s="1" t="str">
        <f t="shared" si="1"/>
        <v>FB</v>
      </c>
      <c r="E60" s="1" t="s">
        <v>365</v>
      </c>
      <c r="F60" s="1" t="s">
        <v>366</v>
      </c>
      <c r="G60" s="1" t="s">
        <v>236</v>
      </c>
      <c r="H60" s="1" t="s">
        <v>40</v>
      </c>
      <c r="I60" s="1">
        <v>130000</v>
      </c>
      <c r="J60" s="45">
        <v>107058</v>
      </c>
      <c r="K60" s="1" t="str">
        <f>TRIM(Cleaned_CRM_Data!H60)</f>
        <v>Deal</v>
      </c>
      <c r="L60" t="str">
        <f>IFERROR(VLOOKUP(K60, Status_Mapping!A:B, 2,), "Not Found")</f>
        <v>Converted</v>
      </c>
      <c r="N60" s="29" t="str">
        <f>IF(M60="","",M60-B60)</f>
        <v/>
      </c>
      <c r="O60" s="1" t="str">
        <f t="shared" si="2"/>
        <v>Starter</v>
      </c>
      <c r="P60" t="str">
        <f>TEXT(B60, "mmmm")</f>
        <v>June</v>
      </c>
      <c r="Q60" t="str">
        <f t="shared" si="3"/>
        <v>Q2</v>
      </c>
      <c r="R60" t="str">
        <f>IFERROR(VLOOKUP(TRIM(CLEAN(G60)),Sheet14!$A$2:$B$19,2,FALSE),"Not Mapped")</f>
        <v>North</v>
      </c>
    </row>
    <row r="61" spans="1:18">
      <c r="A61" t="str">
        <f t="shared" si="0"/>
        <v>EOS0060</v>
      </c>
      <c r="B61" s="35">
        <v>45819</v>
      </c>
      <c r="C61" s="1" t="s">
        <v>267</v>
      </c>
      <c r="D61" s="1" t="str">
        <f t="shared" si="1"/>
        <v>FB</v>
      </c>
      <c r="E61" s="1" t="s">
        <v>367</v>
      </c>
      <c r="F61" s="1" t="s">
        <v>300</v>
      </c>
      <c r="G61" s="1" t="s">
        <v>223</v>
      </c>
      <c r="H61" s="1" t="s">
        <v>149</v>
      </c>
      <c r="I61" s="1">
        <v>177000</v>
      </c>
      <c r="J61" s="45">
        <v>107059</v>
      </c>
      <c r="K61" s="1" t="str">
        <f>TRIM(Cleaned_CRM_Data!H61)</f>
        <v>Rejected</v>
      </c>
      <c r="L61" t="str">
        <f>IFERROR(VLOOKUP(K61, Status_Mapping!A:B, 2,), "Not Found")</f>
        <v>Rejected</v>
      </c>
      <c r="N61" s="29" t="str">
        <f>IF(M61="","",M61-B61)</f>
        <v/>
      </c>
      <c r="O61" s="1" t="str">
        <f t="shared" si="2"/>
        <v>Growth</v>
      </c>
      <c r="P61" t="str">
        <f>TEXT(B61, "mmmm")</f>
        <v>June</v>
      </c>
      <c r="Q61" t="str">
        <f t="shared" si="3"/>
        <v>Q2</v>
      </c>
      <c r="R61" t="str">
        <f>IFERROR(VLOOKUP(TRIM(CLEAN(G61)),Sheet14!$A$2:$B$19,2,FALSE),"Not Mapped")</f>
        <v>West</v>
      </c>
    </row>
    <row r="62" spans="1:18">
      <c r="A62" t="str">
        <f t="shared" si="0"/>
        <v>EOS0061</v>
      </c>
      <c r="B62" s="35">
        <v>45819</v>
      </c>
      <c r="C62" s="1" t="s">
        <v>267</v>
      </c>
      <c r="D62" s="1" t="str">
        <f t="shared" si="1"/>
        <v>FB</v>
      </c>
      <c r="E62" s="1" t="s">
        <v>368</v>
      </c>
      <c r="F62" s="1" t="s">
        <v>275</v>
      </c>
      <c r="G62" s="1" t="s">
        <v>223</v>
      </c>
      <c r="H62" s="1" t="s">
        <v>149</v>
      </c>
      <c r="I62" s="1">
        <v>108000</v>
      </c>
      <c r="J62" s="45">
        <v>107060</v>
      </c>
      <c r="K62" s="1" t="str">
        <f>TRIM(Cleaned_CRM_Data!H62)</f>
        <v>Rejected</v>
      </c>
      <c r="L62" t="str">
        <f>IFERROR(VLOOKUP(K62, Status_Mapping!A:B, 2,), "Not Found")</f>
        <v>Rejected</v>
      </c>
      <c r="N62" s="29" t="str">
        <f>IF(M62="","",M62-B62)</f>
        <v/>
      </c>
      <c r="O62" s="1" t="str">
        <f t="shared" si="2"/>
        <v>Starter</v>
      </c>
      <c r="P62" t="str">
        <f>TEXT(B62, "mmmm")</f>
        <v>June</v>
      </c>
      <c r="Q62" t="str">
        <f t="shared" si="3"/>
        <v>Q2</v>
      </c>
      <c r="R62" t="str">
        <f>IFERROR(VLOOKUP(TRIM(CLEAN(G62)),Sheet14!$A$2:$B$19,2,FALSE),"Not Mapped")</f>
        <v>West</v>
      </c>
    </row>
    <row r="63" spans="1:18">
      <c r="A63" t="str">
        <f t="shared" si="0"/>
        <v>EOS0062</v>
      </c>
      <c r="B63" s="35">
        <v>45819</v>
      </c>
      <c r="C63" s="1" t="s">
        <v>267</v>
      </c>
      <c r="D63" s="1" t="str">
        <f t="shared" si="1"/>
        <v>FB</v>
      </c>
      <c r="E63" s="1" t="s">
        <v>369</v>
      </c>
      <c r="F63" s="1" t="s">
        <v>313</v>
      </c>
      <c r="G63" s="1" t="s">
        <v>223</v>
      </c>
      <c r="H63" s="1" t="s">
        <v>149</v>
      </c>
      <c r="I63" s="1">
        <v>108000</v>
      </c>
      <c r="J63" s="45">
        <v>107061</v>
      </c>
      <c r="K63" s="1" t="str">
        <f>TRIM(Cleaned_CRM_Data!H63)</f>
        <v>Rejected</v>
      </c>
      <c r="L63" t="str">
        <f>IFERROR(VLOOKUP(K63, Status_Mapping!A:B, 2,), "Not Found")</f>
        <v>Rejected</v>
      </c>
      <c r="N63" s="29" t="str">
        <f>IF(M63="","",M63-B63)</f>
        <v/>
      </c>
      <c r="O63" s="1" t="str">
        <f t="shared" si="2"/>
        <v>Starter</v>
      </c>
      <c r="P63" t="str">
        <f>TEXT(B63, "mmmm")</f>
        <v>June</v>
      </c>
      <c r="Q63" t="str">
        <f t="shared" si="3"/>
        <v>Q2</v>
      </c>
      <c r="R63" t="str">
        <f>IFERROR(VLOOKUP(TRIM(CLEAN(G63)),Sheet14!$A$2:$B$19,2,FALSE),"Not Mapped")</f>
        <v>West</v>
      </c>
    </row>
    <row r="64" spans="1:18">
      <c r="A64" t="str">
        <f t="shared" si="0"/>
        <v>EOS0063</v>
      </c>
      <c r="B64" s="35">
        <v>45819</v>
      </c>
      <c r="C64" s="1" t="s">
        <v>267</v>
      </c>
      <c r="D64" s="1" t="str">
        <f t="shared" si="1"/>
        <v>FB</v>
      </c>
      <c r="E64" s="1" t="s">
        <v>370</v>
      </c>
      <c r="F64" s="1" t="s">
        <v>371</v>
      </c>
      <c r="G64" s="1" t="s">
        <v>223</v>
      </c>
      <c r="H64" s="1" t="s">
        <v>149</v>
      </c>
      <c r="I64" s="1">
        <v>130000</v>
      </c>
      <c r="J64" s="45">
        <v>107062</v>
      </c>
      <c r="K64" s="1" t="str">
        <f>TRIM(Cleaned_CRM_Data!H64)</f>
        <v>Rejected</v>
      </c>
      <c r="L64" t="str">
        <f>IFERROR(VLOOKUP(K64, Status_Mapping!A:B, 2,), "Not Found")</f>
        <v>Rejected</v>
      </c>
      <c r="N64" s="29" t="str">
        <f>IF(M64="","",M64-B64)</f>
        <v/>
      </c>
      <c r="O64" s="1" t="str">
        <f t="shared" si="2"/>
        <v>Starter</v>
      </c>
      <c r="P64" t="str">
        <f>TEXT(B64, "mmmm")</f>
        <v>June</v>
      </c>
      <c r="Q64" t="str">
        <f t="shared" si="3"/>
        <v>Q2</v>
      </c>
      <c r="R64" t="str">
        <f>IFERROR(VLOOKUP(TRIM(CLEAN(G64)),Sheet14!$A$2:$B$19,2,FALSE),"Not Mapped")</f>
        <v>West</v>
      </c>
    </row>
    <row r="65" spans="1:18">
      <c r="A65" t="str">
        <f t="shared" si="0"/>
        <v>EOS0064</v>
      </c>
      <c r="B65" s="35">
        <v>45819</v>
      </c>
      <c r="C65" s="1" t="s">
        <v>267</v>
      </c>
      <c r="D65" s="1" t="str">
        <f t="shared" si="1"/>
        <v>FB</v>
      </c>
      <c r="E65" s="1" t="s">
        <v>372</v>
      </c>
      <c r="F65" s="1" t="s">
        <v>275</v>
      </c>
      <c r="G65" s="1" t="s">
        <v>223</v>
      </c>
      <c r="H65" s="1" t="s">
        <v>149</v>
      </c>
      <c r="I65" s="1">
        <v>108000</v>
      </c>
      <c r="J65" s="45">
        <v>107063</v>
      </c>
      <c r="K65" s="1" t="str">
        <f>TRIM(Cleaned_CRM_Data!H65)</f>
        <v>Rejected</v>
      </c>
      <c r="L65" t="str">
        <f>IFERROR(VLOOKUP(K65, Status_Mapping!A:B, 2,), "Not Found")</f>
        <v>Rejected</v>
      </c>
      <c r="N65" s="29" t="str">
        <f>IF(M65="","",M65-B65)</f>
        <v/>
      </c>
      <c r="O65" s="1" t="str">
        <f t="shared" si="2"/>
        <v>Starter</v>
      </c>
      <c r="P65" t="str">
        <f>TEXT(B65, "mmmm")</f>
        <v>June</v>
      </c>
      <c r="Q65" t="str">
        <f t="shared" si="3"/>
        <v>Q2</v>
      </c>
      <c r="R65" t="str">
        <f>IFERROR(VLOOKUP(TRIM(CLEAN(G65)),Sheet14!$A$2:$B$19,2,FALSE),"Not Mapped")</f>
        <v>West</v>
      </c>
    </row>
    <row r="66" spans="1:18">
      <c r="A66" t="str">
        <f t="shared" si="0"/>
        <v>EOS0065</v>
      </c>
      <c r="B66" s="35">
        <v>45819</v>
      </c>
      <c r="C66" s="1" t="s">
        <v>267</v>
      </c>
      <c r="D66" s="1" t="str">
        <f t="shared" si="1"/>
        <v>FB</v>
      </c>
      <c r="E66" s="1" t="s">
        <v>373</v>
      </c>
      <c r="F66" s="1" t="s">
        <v>374</v>
      </c>
      <c r="G66" s="1" t="s">
        <v>223</v>
      </c>
      <c r="H66" s="1" t="s">
        <v>149</v>
      </c>
      <c r="I66" s="1">
        <v>130000</v>
      </c>
      <c r="J66" s="45">
        <v>107064</v>
      </c>
      <c r="K66" s="1" t="str">
        <f>TRIM(Cleaned_CRM_Data!H66)</f>
        <v>Rejected</v>
      </c>
      <c r="L66" t="str">
        <f>IFERROR(VLOOKUP(K66, Status_Mapping!A:B, 2,), "Not Found")</f>
        <v>Rejected</v>
      </c>
      <c r="N66" s="29" t="str">
        <f>IF(M66="","",M66-B66)</f>
        <v/>
      </c>
      <c r="O66" s="1" t="str">
        <f t="shared" si="2"/>
        <v>Starter</v>
      </c>
      <c r="P66" t="str">
        <f>TEXT(B66, "mmmm")</f>
        <v>June</v>
      </c>
      <c r="Q66" t="str">
        <f t="shared" si="3"/>
        <v>Q2</v>
      </c>
      <c r="R66" t="str">
        <f>IFERROR(VLOOKUP(TRIM(CLEAN(G66)),Sheet14!$A$2:$B$19,2,FALSE),"Not Mapped")</f>
        <v>West</v>
      </c>
    </row>
    <row r="67" spans="1:18">
      <c r="A67" t="str">
        <f t="shared" ref="A67:A130" si="4">"EOS"&amp;TEXT(ROW()-1,"0000")</f>
        <v>EOS0066</v>
      </c>
      <c r="B67" s="35">
        <v>45819</v>
      </c>
      <c r="C67" s="1" t="s">
        <v>267</v>
      </c>
      <c r="D67" s="1" t="str">
        <f t="shared" ref="D67:D130" si="5">TRIM(CLEAN(SUBSTITUTE(C67,CHAR(160),"")))</f>
        <v>FB</v>
      </c>
      <c r="E67" s="1" t="s">
        <v>375</v>
      </c>
      <c r="F67" s="1" t="s">
        <v>275</v>
      </c>
      <c r="G67" s="1" t="s">
        <v>223</v>
      </c>
      <c r="H67" s="1" t="s">
        <v>149</v>
      </c>
      <c r="I67" s="1">
        <v>108000</v>
      </c>
      <c r="J67" s="45">
        <v>107065</v>
      </c>
      <c r="K67" s="1" t="str">
        <f>TRIM(Cleaned_CRM_Data!H67)</f>
        <v>Rejected</v>
      </c>
      <c r="L67" t="str">
        <f>IFERROR(VLOOKUP(K67, Status_Mapping!A:B, 2,), "Not Found")</f>
        <v>Rejected</v>
      </c>
      <c r="N67" s="29" t="str">
        <f>IF(M67="","",M67-B67)</f>
        <v/>
      </c>
      <c r="O67" s="1" t="str">
        <f t="shared" ref="O67:O130" si="6">IF(OR(I67=108000,I67=130000),"Starter",IF(I67=177000,"Growth","Premium"))</f>
        <v>Starter</v>
      </c>
      <c r="P67" t="str">
        <f>TEXT(B67, "mmmm")</f>
        <v>June</v>
      </c>
      <c r="Q67" t="str">
        <f t="shared" ref="Q67:Q130" si="7">"Q"&amp;ROUNDUP(MONTH(B67)/3,0)</f>
        <v>Q2</v>
      </c>
      <c r="R67" t="str">
        <f>IFERROR(VLOOKUP(TRIM(CLEAN(G67)),Sheet14!$A$2:$B$19,2,FALSE),"Not Mapped")</f>
        <v>West</v>
      </c>
    </row>
    <row r="68" spans="1:18">
      <c r="A68" t="str">
        <f t="shared" si="4"/>
        <v>EOS0067</v>
      </c>
      <c r="B68" s="35">
        <v>45819</v>
      </c>
      <c r="C68" s="1" t="s">
        <v>267</v>
      </c>
      <c r="D68" s="1" t="str">
        <f t="shared" si="5"/>
        <v>FB</v>
      </c>
      <c r="E68" s="1" t="s">
        <v>376</v>
      </c>
      <c r="F68" s="1" t="s">
        <v>377</v>
      </c>
      <c r="G68" s="1" t="s">
        <v>223</v>
      </c>
      <c r="H68" s="1" t="s">
        <v>149</v>
      </c>
      <c r="I68" s="1">
        <v>130000</v>
      </c>
      <c r="J68" s="45">
        <v>107066</v>
      </c>
      <c r="K68" s="1" t="str">
        <f>TRIM(Cleaned_CRM_Data!H68)</f>
        <v>Rejected</v>
      </c>
      <c r="L68" t="str">
        <f>IFERROR(VLOOKUP(K68, Status_Mapping!A:B, 2,), "Not Found")</f>
        <v>Rejected</v>
      </c>
      <c r="N68" s="29" t="str">
        <f>IF(M68="","",M68-B68)</f>
        <v/>
      </c>
      <c r="O68" s="1" t="str">
        <f t="shared" si="6"/>
        <v>Starter</v>
      </c>
      <c r="P68" t="str">
        <f>TEXT(B68, "mmmm")</f>
        <v>June</v>
      </c>
      <c r="Q68" t="str">
        <f t="shared" si="7"/>
        <v>Q2</v>
      </c>
      <c r="R68" t="str">
        <f>IFERROR(VLOOKUP(TRIM(CLEAN(G68)),Sheet14!$A$2:$B$19,2,FALSE),"Not Mapped")</f>
        <v>West</v>
      </c>
    </row>
    <row r="69" spans="1:18">
      <c r="A69" t="str">
        <f t="shared" si="4"/>
        <v>EOS0068</v>
      </c>
      <c r="B69" s="35">
        <v>45819</v>
      </c>
      <c r="C69" s="1" t="s">
        <v>267</v>
      </c>
      <c r="D69" s="1" t="str">
        <f t="shared" si="5"/>
        <v>FB</v>
      </c>
      <c r="E69" s="1" t="s">
        <v>378</v>
      </c>
      <c r="F69" s="1" t="s">
        <v>275</v>
      </c>
      <c r="G69" s="1" t="s">
        <v>223</v>
      </c>
      <c r="H69" s="1" t="s">
        <v>149</v>
      </c>
      <c r="I69" s="1">
        <v>130000</v>
      </c>
      <c r="J69" s="45">
        <v>107067</v>
      </c>
      <c r="K69" s="1" t="str">
        <f>TRIM(Cleaned_CRM_Data!H69)</f>
        <v>Rejected</v>
      </c>
      <c r="L69" t="str">
        <f>IFERROR(VLOOKUP(K69, Status_Mapping!A:B, 2,), "Not Found")</f>
        <v>Rejected</v>
      </c>
      <c r="N69" s="29" t="str">
        <f>IF(M69="","",M69-B69)</f>
        <v/>
      </c>
      <c r="O69" s="1" t="str">
        <f t="shared" si="6"/>
        <v>Starter</v>
      </c>
      <c r="P69" t="str">
        <f>TEXT(B69, "mmmm")</f>
        <v>June</v>
      </c>
      <c r="Q69" t="str">
        <f t="shared" si="7"/>
        <v>Q2</v>
      </c>
      <c r="R69" t="str">
        <f>IFERROR(VLOOKUP(TRIM(CLEAN(G69)),Sheet14!$A$2:$B$19,2,FALSE),"Not Mapped")</f>
        <v>West</v>
      </c>
    </row>
    <row r="70" spans="1:18">
      <c r="A70" t="str">
        <f t="shared" si="4"/>
        <v>EOS0069</v>
      </c>
      <c r="B70" s="35" t="s">
        <v>379</v>
      </c>
      <c r="C70" s="1" t="s">
        <v>267</v>
      </c>
      <c r="D70" s="1" t="str">
        <f t="shared" si="5"/>
        <v>FB</v>
      </c>
      <c r="E70" s="1" t="s">
        <v>380</v>
      </c>
      <c r="F70" s="1" t="s">
        <v>381</v>
      </c>
      <c r="G70" s="1" t="s">
        <v>223</v>
      </c>
      <c r="H70" s="1" t="s">
        <v>149</v>
      </c>
      <c r="I70" s="1">
        <v>108000</v>
      </c>
      <c r="J70" s="45">
        <v>107068</v>
      </c>
      <c r="K70" s="1" t="str">
        <f>TRIM(Cleaned_CRM_Data!H70)</f>
        <v>Rejected</v>
      </c>
      <c r="L70" t="str">
        <f>IFERROR(VLOOKUP(K70, Status_Mapping!A:B, 2,), "Not Found")</f>
        <v>Rejected</v>
      </c>
      <c r="N70" s="29" t="str">
        <f>IF(M70="","",M70-B70)</f>
        <v/>
      </c>
      <c r="O70" s="1" t="str">
        <f t="shared" si="6"/>
        <v>Starter</v>
      </c>
      <c r="P70" t="str">
        <f>TEXT(B70, "mmmm")</f>
        <v>June</v>
      </c>
      <c r="Q70" t="str">
        <f t="shared" si="7"/>
        <v>Q2</v>
      </c>
      <c r="R70" t="str">
        <f>IFERROR(VLOOKUP(TRIM(CLEAN(G70)),Sheet14!$A$2:$B$19,2,FALSE),"Not Mapped")</f>
        <v>West</v>
      </c>
    </row>
    <row r="71" spans="1:18">
      <c r="A71" t="str">
        <f t="shared" si="4"/>
        <v>EOS0070</v>
      </c>
      <c r="B71" s="35" t="s">
        <v>379</v>
      </c>
      <c r="C71" s="1" t="s">
        <v>267</v>
      </c>
      <c r="D71" s="1" t="str">
        <f t="shared" si="5"/>
        <v>FB</v>
      </c>
      <c r="E71" s="1" t="s">
        <v>382</v>
      </c>
      <c r="F71" s="1" t="s">
        <v>275</v>
      </c>
      <c r="G71" s="1" t="s">
        <v>223</v>
      </c>
      <c r="H71" s="1" t="s">
        <v>149</v>
      </c>
      <c r="I71" s="1">
        <v>108000</v>
      </c>
      <c r="J71" s="45">
        <v>107069</v>
      </c>
      <c r="K71" s="1" t="str">
        <f>TRIM(Cleaned_CRM_Data!H71)</f>
        <v>Rejected</v>
      </c>
      <c r="L71" t="str">
        <f>IFERROR(VLOOKUP(K71, Status_Mapping!A:B, 2,), "Not Found")</f>
        <v>Rejected</v>
      </c>
      <c r="N71" s="29" t="str">
        <f>IF(M71="","",M71-B71)</f>
        <v/>
      </c>
      <c r="O71" s="1" t="str">
        <f t="shared" si="6"/>
        <v>Starter</v>
      </c>
      <c r="P71" t="str">
        <f>TEXT(B71, "mmmm")</f>
        <v>June</v>
      </c>
      <c r="Q71" t="str">
        <f t="shared" si="7"/>
        <v>Q2</v>
      </c>
      <c r="R71" t="str">
        <f>IFERROR(VLOOKUP(TRIM(CLEAN(G71)),Sheet14!$A$2:$B$19,2,FALSE),"Not Mapped")</f>
        <v>West</v>
      </c>
    </row>
    <row r="72" spans="1:18">
      <c r="A72" t="str">
        <f t="shared" si="4"/>
        <v>EOS0071</v>
      </c>
      <c r="B72" s="35" t="s">
        <v>379</v>
      </c>
      <c r="C72" s="1" t="s">
        <v>267</v>
      </c>
      <c r="D72" s="1" t="str">
        <f t="shared" si="5"/>
        <v>FB</v>
      </c>
      <c r="E72" s="1" t="s">
        <v>383</v>
      </c>
      <c r="F72" s="1" t="s">
        <v>384</v>
      </c>
      <c r="G72" s="1" t="s">
        <v>223</v>
      </c>
      <c r="H72" s="1" t="s">
        <v>149</v>
      </c>
      <c r="I72" s="1">
        <v>108000</v>
      </c>
      <c r="J72" s="45">
        <v>107070</v>
      </c>
      <c r="K72" s="1" t="str">
        <f>TRIM(Cleaned_CRM_Data!H72)</f>
        <v>Rejected</v>
      </c>
      <c r="L72" t="str">
        <f>IFERROR(VLOOKUP(K72, Status_Mapping!A:B, 2,), "Not Found")</f>
        <v>Rejected</v>
      </c>
      <c r="N72" s="29" t="str">
        <f>IF(M72="","",M72-B72)</f>
        <v/>
      </c>
      <c r="O72" s="1" t="str">
        <f t="shared" si="6"/>
        <v>Starter</v>
      </c>
      <c r="P72" t="str">
        <f>TEXT(B72, "mmmm")</f>
        <v>June</v>
      </c>
      <c r="Q72" t="str">
        <f t="shared" si="7"/>
        <v>Q2</v>
      </c>
      <c r="R72" t="str">
        <f>IFERROR(VLOOKUP(TRIM(CLEAN(G72)),Sheet14!$A$2:$B$19,2,FALSE),"Not Mapped")</f>
        <v>West</v>
      </c>
    </row>
    <row r="73" spans="1:18">
      <c r="A73" t="str">
        <f t="shared" si="4"/>
        <v>EOS0072</v>
      </c>
      <c r="B73" s="35" t="s">
        <v>379</v>
      </c>
      <c r="C73" s="1" t="s">
        <v>267</v>
      </c>
      <c r="D73" s="1" t="str">
        <f t="shared" si="5"/>
        <v>FB</v>
      </c>
      <c r="E73" s="1" t="s">
        <v>385</v>
      </c>
      <c r="F73" s="1" t="s">
        <v>386</v>
      </c>
      <c r="G73" s="1" t="s">
        <v>223</v>
      </c>
      <c r="H73" s="1" t="s">
        <v>149</v>
      </c>
      <c r="I73" s="1">
        <v>108000</v>
      </c>
      <c r="J73" s="45">
        <v>107071</v>
      </c>
      <c r="K73" s="1" t="str">
        <f>TRIM(Cleaned_CRM_Data!H73)</f>
        <v>Rejected</v>
      </c>
      <c r="L73" t="str">
        <f>IFERROR(VLOOKUP(K73, Status_Mapping!A:B, 2,), "Not Found")</f>
        <v>Rejected</v>
      </c>
      <c r="N73" s="29" t="str">
        <f>IF(M73="","",M73-B73)</f>
        <v/>
      </c>
      <c r="O73" s="1" t="str">
        <f t="shared" si="6"/>
        <v>Starter</v>
      </c>
      <c r="P73" t="str">
        <f>TEXT(B73, "mmmm")</f>
        <v>June</v>
      </c>
      <c r="Q73" t="str">
        <f t="shared" si="7"/>
        <v>Q2</v>
      </c>
      <c r="R73" t="str">
        <f>IFERROR(VLOOKUP(TRIM(CLEAN(G73)),Sheet14!$A$2:$B$19,2,FALSE),"Not Mapped")</f>
        <v>West</v>
      </c>
    </row>
    <row r="74" spans="1:18">
      <c r="A74" t="str">
        <f t="shared" si="4"/>
        <v>EOS0073</v>
      </c>
      <c r="B74" s="35" t="s">
        <v>379</v>
      </c>
      <c r="C74" s="1" t="s">
        <v>267</v>
      </c>
      <c r="D74" s="1" t="str">
        <f t="shared" si="5"/>
        <v>FB</v>
      </c>
      <c r="E74" s="1" t="s">
        <v>387</v>
      </c>
      <c r="F74" s="1" t="s">
        <v>388</v>
      </c>
      <c r="G74" s="1" t="s">
        <v>223</v>
      </c>
      <c r="H74" s="1" t="s">
        <v>149</v>
      </c>
      <c r="I74" s="1">
        <v>108000</v>
      </c>
      <c r="J74" s="45">
        <v>107072</v>
      </c>
      <c r="K74" s="1" t="str">
        <f>TRIM(Cleaned_CRM_Data!H74)</f>
        <v>Rejected</v>
      </c>
      <c r="L74" t="str">
        <f>IFERROR(VLOOKUP(K74, Status_Mapping!A:B, 2,), "Not Found")</f>
        <v>Rejected</v>
      </c>
      <c r="N74" s="29" t="str">
        <f>IF(M74="","",M74-B74)</f>
        <v/>
      </c>
      <c r="O74" s="1" t="str">
        <f t="shared" si="6"/>
        <v>Starter</v>
      </c>
      <c r="P74" t="str">
        <f>TEXT(B74, "mmmm")</f>
        <v>June</v>
      </c>
      <c r="Q74" t="str">
        <f t="shared" si="7"/>
        <v>Q2</v>
      </c>
      <c r="R74" t="str">
        <f>IFERROR(VLOOKUP(TRIM(CLEAN(G74)),Sheet14!$A$2:$B$19,2,FALSE),"Not Mapped")</f>
        <v>West</v>
      </c>
    </row>
    <row r="75" spans="1:18">
      <c r="A75" t="str">
        <f t="shared" si="4"/>
        <v>EOS0074</v>
      </c>
      <c r="B75" s="35" t="s">
        <v>379</v>
      </c>
      <c r="C75" s="1" t="s">
        <v>267</v>
      </c>
      <c r="D75" s="1" t="str">
        <f t="shared" si="5"/>
        <v>FB</v>
      </c>
      <c r="E75" s="1" t="s">
        <v>389</v>
      </c>
      <c r="F75" s="1" t="s">
        <v>390</v>
      </c>
      <c r="G75" s="1" t="s">
        <v>223</v>
      </c>
      <c r="H75" s="1" t="s">
        <v>149</v>
      </c>
      <c r="I75" s="1">
        <v>130000</v>
      </c>
      <c r="J75" s="45">
        <v>107073</v>
      </c>
      <c r="K75" s="1" t="str">
        <f>TRIM(Cleaned_CRM_Data!H75)</f>
        <v>Rejected</v>
      </c>
      <c r="L75" t="str">
        <f>IFERROR(VLOOKUP(K75, Status_Mapping!A:B, 2,), "Not Found")</f>
        <v>Rejected</v>
      </c>
      <c r="N75" s="29" t="str">
        <f>IF(M75="","",M75-B75)</f>
        <v/>
      </c>
      <c r="O75" s="1" t="str">
        <f t="shared" si="6"/>
        <v>Starter</v>
      </c>
      <c r="P75" t="str">
        <f>TEXT(B75, "mmmm")</f>
        <v>June</v>
      </c>
      <c r="Q75" t="str">
        <f t="shared" si="7"/>
        <v>Q2</v>
      </c>
      <c r="R75" t="str">
        <f>IFERROR(VLOOKUP(TRIM(CLEAN(G75)),Sheet14!$A$2:$B$19,2,FALSE),"Not Mapped")</f>
        <v>West</v>
      </c>
    </row>
    <row r="76" spans="1:18">
      <c r="A76" t="str">
        <f t="shared" si="4"/>
        <v>EOS0075</v>
      </c>
      <c r="B76" s="35" t="s">
        <v>379</v>
      </c>
      <c r="C76" s="1" t="s">
        <v>267</v>
      </c>
      <c r="D76" s="1" t="str">
        <f t="shared" si="5"/>
        <v>FB</v>
      </c>
      <c r="E76" s="1" t="s">
        <v>391</v>
      </c>
      <c r="F76" s="1" t="s">
        <v>271</v>
      </c>
      <c r="G76" s="1" t="s">
        <v>223</v>
      </c>
      <c r="H76" s="1" t="s">
        <v>149</v>
      </c>
      <c r="I76" s="1">
        <v>108000</v>
      </c>
      <c r="J76" s="45">
        <v>107074</v>
      </c>
      <c r="K76" s="1" t="str">
        <f>TRIM(Cleaned_CRM_Data!H76)</f>
        <v>Rejected</v>
      </c>
      <c r="L76" t="str">
        <f>IFERROR(VLOOKUP(K76, Status_Mapping!A:B, 2,), "Not Found")</f>
        <v>Rejected</v>
      </c>
      <c r="N76" s="29" t="str">
        <f>IF(M76="","",M76-B76)</f>
        <v/>
      </c>
      <c r="O76" s="1" t="str">
        <f t="shared" si="6"/>
        <v>Starter</v>
      </c>
      <c r="P76" t="str">
        <f>TEXT(B76, "mmmm")</f>
        <v>June</v>
      </c>
      <c r="Q76" t="str">
        <f t="shared" si="7"/>
        <v>Q2</v>
      </c>
      <c r="R76" t="str">
        <f>IFERROR(VLOOKUP(TRIM(CLEAN(G76)),Sheet14!$A$2:$B$19,2,FALSE),"Not Mapped")</f>
        <v>West</v>
      </c>
    </row>
    <row r="77" spans="1:18">
      <c r="A77" t="str">
        <f t="shared" si="4"/>
        <v>EOS0076</v>
      </c>
      <c r="B77" s="35" t="s">
        <v>392</v>
      </c>
      <c r="C77" s="1" t="s">
        <v>267</v>
      </c>
      <c r="D77" s="1" t="str">
        <f t="shared" si="5"/>
        <v>FB</v>
      </c>
      <c r="E77" s="1" t="s">
        <v>393</v>
      </c>
      <c r="F77" s="1" t="s">
        <v>304</v>
      </c>
      <c r="G77" s="1" t="s">
        <v>223</v>
      </c>
      <c r="H77" s="1" t="s">
        <v>149</v>
      </c>
      <c r="I77" s="1">
        <v>130000</v>
      </c>
      <c r="J77" s="45">
        <v>107075</v>
      </c>
      <c r="K77" s="1" t="str">
        <f>TRIM(Cleaned_CRM_Data!H77)</f>
        <v>Rejected</v>
      </c>
      <c r="L77" t="str">
        <f>IFERROR(VLOOKUP(K77, Status_Mapping!A:B, 2,), "Not Found")</f>
        <v>Rejected</v>
      </c>
      <c r="N77" s="29" t="str">
        <f>IF(M77="","",M77-B77)</f>
        <v/>
      </c>
      <c r="O77" s="1" t="str">
        <f t="shared" si="6"/>
        <v>Starter</v>
      </c>
      <c r="P77" t="str">
        <f>TEXT(B77, "mmmm")</f>
        <v>June</v>
      </c>
      <c r="Q77" t="str">
        <f t="shared" si="7"/>
        <v>Q2</v>
      </c>
      <c r="R77" t="str">
        <f>IFERROR(VLOOKUP(TRIM(CLEAN(G77)),Sheet14!$A$2:$B$19,2,FALSE),"Not Mapped")</f>
        <v>West</v>
      </c>
    </row>
    <row r="78" spans="1:18">
      <c r="A78" t="str">
        <f t="shared" si="4"/>
        <v>EOS0077</v>
      </c>
      <c r="B78" s="35" t="s">
        <v>392</v>
      </c>
      <c r="C78" s="1" t="s">
        <v>267</v>
      </c>
      <c r="D78" s="1" t="str">
        <f t="shared" si="5"/>
        <v>FB</v>
      </c>
      <c r="E78" s="1" t="s">
        <v>394</v>
      </c>
      <c r="F78" s="1" t="s">
        <v>292</v>
      </c>
      <c r="G78" s="1" t="s">
        <v>223</v>
      </c>
      <c r="H78" s="1" t="s">
        <v>149</v>
      </c>
      <c r="I78" s="1">
        <v>108000</v>
      </c>
      <c r="J78" s="45">
        <v>107076</v>
      </c>
      <c r="K78" s="1" t="str">
        <f>TRIM(Cleaned_CRM_Data!H78)</f>
        <v>Rejected</v>
      </c>
      <c r="L78" t="str">
        <f>IFERROR(VLOOKUP(K78, Status_Mapping!A:B, 2,), "Not Found")</f>
        <v>Rejected</v>
      </c>
      <c r="N78" s="29" t="str">
        <f>IF(M78="","",M78-B78)</f>
        <v/>
      </c>
      <c r="O78" s="1" t="str">
        <f t="shared" si="6"/>
        <v>Starter</v>
      </c>
      <c r="P78" t="str">
        <f>TEXT(B78, "mmmm")</f>
        <v>June</v>
      </c>
      <c r="Q78" t="str">
        <f t="shared" si="7"/>
        <v>Q2</v>
      </c>
      <c r="R78" t="str">
        <f>IFERROR(VLOOKUP(TRIM(CLEAN(G78)),Sheet14!$A$2:$B$19,2,FALSE),"Not Mapped")</f>
        <v>West</v>
      </c>
    </row>
    <row r="79" spans="1:18">
      <c r="A79" t="str">
        <f t="shared" si="4"/>
        <v>EOS0078</v>
      </c>
      <c r="B79" s="35" t="s">
        <v>392</v>
      </c>
      <c r="C79" s="1" t="s">
        <v>267</v>
      </c>
      <c r="D79" s="1" t="str">
        <f t="shared" si="5"/>
        <v>FB</v>
      </c>
      <c r="E79" s="1" t="s">
        <v>395</v>
      </c>
      <c r="F79" s="1" t="s">
        <v>358</v>
      </c>
      <c r="G79" s="1" t="s">
        <v>223</v>
      </c>
      <c r="H79" s="1" t="s">
        <v>149</v>
      </c>
      <c r="I79" s="1">
        <v>108000</v>
      </c>
      <c r="J79" s="45">
        <v>107077</v>
      </c>
      <c r="K79" s="1" t="str">
        <f>TRIM(Cleaned_CRM_Data!H79)</f>
        <v>Rejected</v>
      </c>
      <c r="L79" t="str">
        <f>IFERROR(VLOOKUP(K79, Status_Mapping!A:B, 2,), "Not Found")</f>
        <v>Rejected</v>
      </c>
      <c r="N79" s="29" t="str">
        <f>IF(M79="","",M79-B79)</f>
        <v/>
      </c>
      <c r="O79" s="1" t="str">
        <f t="shared" si="6"/>
        <v>Starter</v>
      </c>
      <c r="P79" t="str">
        <f>TEXT(B79, "mmmm")</f>
        <v>June</v>
      </c>
      <c r="Q79" t="str">
        <f t="shared" si="7"/>
        <v>Q2</v>
      </c>
      <c r="R79" t="str">
        <f>IFERROR(VLOOKUP(TRIM(CLEAN(G79)),Sheet14!$A$2:$B$19,2,FALSE),"Not Mapped")</f>
        <v>West</v>
      </c>
    </row>
    <row r="80" spans="1:18">
      <c r="A80" t="str">
        <f t="shared" si="4"/>
        <v>EOS0079</v>
      </c>
      <c r="B80" s="35" t="s">
        <v>392</v>
      </c>
      <c r="C80" s="1" t="s">
        <v>267</v>
      </c>
      <c r="D80" s="1" t="str">
        <f t="shared" si="5"/>
        <v>FB</v>
      </c>
      <c r="E80" s="1" t="s">
        <v>396</v>
      </c>
      <c r="F80" s="1" t="s">
        <v>397</v>
      </c>
      <c r="G80" s="1" t="s">
        <v>223</v>
      </c>
      <c r="H80" s="1" t="s">
        <v>149</v>
      </c>
      <c r="I80" s="1">
        <v>130000</v>
      </c>
      <c r="J80" s="45">
        <v>107078</v>
      </c>
      <c r="K80" s="1" t="str">
        <f>TRIM(Cleaned_CRM_Data!H80)</f>
        <v>Rejected</v>
      </c>
      <c r="L80" t="str">
        <f>IFERROR(VLOOKUP(K80, Status_Mapping!A:B, 2,), "Not Found")</f>
        <v>Rejected</v>
      </c>
      <c r="N80" s="29" t="str">
        <f>IF(M80="","",M80-B80)</f>
        <v/>
      </c>
      <c r="O80" s="1" t="str">
        <f t="shared" si="6"/>
        <v>Starter</v>
      </c>
      <c r="P80" t="str">
        <f>TEXT(B80, "mmmm")</f>
        <v>June</v>
      </c>
      <c r="Q80" t="str">
        <f t="shared" si="7"/>
        <v>Q2</v>
      </c>
      <c r="R80" t="str">
        <f>IFERROR(VLOOKUP(TRIM(CLEAN(G80)),Sheet14!$A$2:$B$19,2,FALSE),"Not Mapped")</f>
        <v>West</v>
      </c>
    </row>
    <row r="81" spans="1:18">
      <c r="A81" t="str">
        <f t="shared" si="4"/>
        <v>EOS0080</v>
      </c>
      <c r="B81" s="35" t="s">
        <v>392</v>
      </c>
      <c r="C81" s="1" t="s">
        <v>267</v>
      </c>
      <c r="D81" s="1" t="str">
        <f t="shared" si="5"/>
        <v>FB</v>
      </c>
      <c r="E81" s="1" t="s">
        <v>398</v>
      </c>
      <c r="F81" s="1" t="s">
        <v>324</v>
      </c>
      <c r="G81" s="1" t="s">
        <v>223</v>
      </c>
      <c r="H81" s="1" t="s">
        <v>149</v>
      </c>
      <c r="I81" s="1">
        <v>177000</v>
      </c>
      <c r="J81" s="45">
        <v>107079</v>
      </c>
      <c r="K81" s="1" t="str">
        <f>TRIM(Cleaned_CRM_Data!H81)</f>
        <v>Rejected</v>
      </c>
      <c r="L81" t="str">
        <f>IFERROR(VLOOKUP(K81, Status_Mapping!A:B, 2,), "Not Found")</f>
        <v>Rejected</v>
      </c>
      <c r="N81" s="29" t="str">
        <f>IF(M81="","",M81-B81)</f>
        <v/>
      </c>
      <c r="O81" s="1" t="str">
        <f t="shared" si="6"/>
        <v>Growth</v>
      </c>
      <c r="P81" t="str">
        <f>TEXT(B81, "mmmm")</f>
        <v>June</v>
      </c>
      <c r="Q81" t="str">
        <f t="shared" si="7"/>
        <v>Q2</v>
      </c>
      <c r="R81" t="str">
        <f>IFERROR(VLOOKUP(TRIM(CLEAN(G81)),Sheet14!$A$2:$B$19,2,FALSE),"Not Mapped")</f>
        <v>West</v>
      </c>
    </row>
    <row r="82" spans="1:18">
      <c r="A82" t="str">
        <f t="shared" si="4"/>
        <v>EOS0081</v>
      </c>
      <c r="B82" s="35" t="s">
        <v>399</v>
      </c>
      <c r="C82" s="1" t="s">
        <v>267</v>
      </c>
      <c r="D82" s="1" t="str">
        <f t="shared" si="5"/>
        <v>FB</v>
      </c>
      <c r="E82" s="1" t="s">
        <v>400</v>
      </c>
      <c r="F82" s="1" t="s">
        <v>304</v>
      </c>
      <c r="G82" s="1" t="s">
        <v>223</v>
      </c>
      <c r="H82" s="1" t="s">
        <v>149</v>
      </c>
      <c r="I82" s="1">
        <v>108000</v>
      </c>
      <c r="J82" s="45">
        <v>107080</v>
      </c>
      <c r="K82" s="1" t="str">
        <f>TRIM(Cleaned_CRM_Data!H82)</f>
        <v>Rejected</v>
      </c>
      <c r="L82" t="str">
        <f>IFERROR(VLOOKUP(K82, Status_Mapping!A:B, 2,), "Not Found")</f>
        <v>Rejected</v>
      </c>
      <c r="N82" s="29" t="str">
        <f>IF(M82="","",M82-B82)</f>
        <v/>
      </c>
      <c r="O82" s="1" t="str">
        <f t="shared" si="6"/>
        <v>Starter</v>
      </c>
      <c r="P82" t="str">
        <f>TEXT(B82, "mmmm")</f>
        <v>June</v>
      </c>
      <c r="Q82" t="str">
        <f t="shared" si="7"/>
        <v>Q2</v>
      </c>
      <c r="R82" t="str">
        <f>IFERROR(VLOOKUP(TRIM(CLEAN(G82)),Sheet14!$A$2:$B$19,2,FALSE),"Not Mapped")</f>
        <v>West</v>
      </c>
    </row>
    <row r="83" spans="1:18">
      <c r="A83" t="str">
        <f t="shared" si="4"/>
        <v>EOS0082</v>
      </c>
      <c r="B83" s="35" t="s">
        <v>399</v>
      </c>
      <c r="C83" s="1" t="s">
        <v>267</v>
      </c>
      <c r="D83" s="1" t="str">
        <f t="shared" si="5"/>
        <v>FB</v>
      </c>
      <c r="E83" s="1" t="s">
        <v>401</v>
      </c>
      <c r="F83" s="1" t="s">
        <v>304</v>
      </c>
      <c r="G83" s="1" t="s">
        <v>223</v>
      </c>
      <c r="H83" s="1" t="s">
        <v>149</v>
      </c>
      <c r="I83" s="1">
        <v>130000</v>
      </c>
      <c r="J83" s="45">
        <v>107081</v>
      </c>
      <c r="K83" s="1" t="str">
        <f>TRIM(Cleaned_CRM_Data!H83)</f>
        <v>Rejected</v>
      </c>
      <c r="L83" t="str">
        <f>IFERROR(VLOOKUP(K83, Status_Mapping!A:B, 2,), "Not Found")</f>
        <v>Rejected</v>
      </c>
      <c r="N83" s="29" t="str">
        <f>IF(M83="","",M83-B83)</f>
        <v/>
      </c>
      <c r="O83" s="1" t="str">
        <f t="shared" si="6"/>
        <v>Starter</v>
      </c>
      <c r="P83" t="str">
        <f>TEXT(B83, "mmmm")</f>
        <v>June</v>
      </c>
      <c r="Q83" t="str">
        <f t="shared" si="7"/>
        <v>Q2</v>
      </c>
      <c r="R83" t="str">
        <f>IFERROR(VLOOKUP(TRIM(CLEAN(G83)),Sheet14!$A$2:$B$19,2,FALSE),"Not Mapped")</f>
        <v>West</v>
      </c>
    </row>
    <row r="84" spans="1:18">
      <c r="A84" t="str">
        <f t="shared" si="4"/>
        <v>EOS0083</v>
      </c>
      <c r="B84" s="35" t="s">
        <v>399</v>
      </c>
      <c r="C84" s="1" t="s">
        <v>267</v>
      </c>
      <c r="D84" s="1" t="str">
        <f t="shared" si="5"/>
        <v>FB</v>
      </c>
      <c r="E84" s="1" t="s">
        <v>402</v>
      </c>
      <c r="F84" s="1" t="s">
        <v>300</v>
      </c>
      <c r="G84" s="1" t="s">
        <v>223</v>
      </c>
      <c r="H84" s="1" t="s">
        <v>149</v>
      </c>
      <c r="I84" s="1">
        <v>130000</v>
      </c>
      <c r="J84" s="45">
        <v>107082</v>
      </c>
      <c r="K84" s="1" t="s">
        <v>40</v>
      </c>
      <c r="L84" t="str">
        <f>IFERROR(VLOOKUP(K84, Status_Mapping!A:B, 2,), "Not Found")</f>
        <v>Converted</v>
      </c>
      <c r="N84" s="29" t="str">
        <f>IF(M84="","",M84-B84)</f>
        <v/>
      </c>
      <c r="O84" s="1" t="str">
        <f t="shared" si="6"/>
        <v>Starter</v>
      </c>
      <c r="P84" t="str">
        <f>TEXT(B84, "mmmm")</f>
        <v>June</v>
      </c>
      <c r="Q84" t="str">
        <f t="shared" si="7"/>
        <v>Q2</v>
      </c>
      <c r="R84" t="str">
        <f>IFERROR(VLOOKUP(TRIM(CLEAN(G84)),Sheet14!$A$2:$B$19,2,FALSE),"Not Mapped")</f>
        <v>West</v>
      </c>
    </row>
    <row r="85" spans="1:18">
      <c r="A85" t="str">
        <f t="shared" si="4"/>
        <v>EOS0084</v>
      </c>
      <c r="B85" s="35" t="s">
        <v>399</v>
      </c>
      <c r="C85" s="1" t="s">
        <v>267</v>
      </c>
      <c r="D85" s="1" t="str">
        <f t="shared" si="5"/>
        <v>FB</v>
      </c>
      <c r="E85" s="1" t="s">
        <v>403</v>
      </c>
      <c r="F85" s="1" t="s">
        <v>404</v>
      </c>
      <c r="G85" s="1" t="s">
        <v>223</v>
      </c>
      <c r="H85" s="1" t="s">
        <v>149</v>
      </c>
      <c r="I85" s="1">
        <v>108000</v>
      </c>
      <c r="J85" s="45">
        <v>107083</v>
      </c>
      <c r="K85" s="1" t="str">
        <f>TRIM(Cleaned_CRM_Data!H85)</f>
        <v>Rejected</v>
      </c>
      <c r="L85" t="str">
        <f>IFERROR(VLOOKUP(K85, Status_Mapping!A:B, 2,), "Not Found")</f>
        <v>Rejected</v>
      </c>
      <c r="N85" s="29" t="str">
        <f>IF(M85="","",M85-B85)</f>
        <v/>
      </c>
      <c r="O85" s="1" t="str">
        <f t="shared" si="6"/>
        <v>Starter</v>
      </c>
      <c r="P85" t="str">
        <f>TEXT(B85, "mmmm")</f>
        <v>June</v>
      </c>
      <c r="Q85" t="str">
        <f t="shared" si="7"/>
        <v>Q2</v>
      </c>
      <c r="R85" t="str">
        <f>IFERROR(VLOOKUP(TRIM(CLEAN(G85)),Sheet14!$A$2:$B$19,2,FALSE),"Not Mapped")</f>
        <v>West</v>
      </c>
    </row>
    <row r="86" spans="1:18">
      <c r="A86" t="str">
        <f t="shared" si="4"/>
        <v>EOS0085</v>
      </c>
      <c r="B86" s="35" t="s">
        <v>399</v>
      </c>
      <c r="C86" s="1" t="s">
        <v>267</v>
      </c>
      <c r="D86" s="1" t="str">
        <f t="shared" si="5"/>
        <v>FB</v>
      </c>
      <c r="E86" s="1" t="s">
        <v>405</v>
      </c>
      <c r="F86" s="1" t="s">
        <v>321</v>
      </c>
      <c r="G86" s="1" t="s">
        <v>223</v>
      </c>
      <c r="H86" s="1" t="s">
        <v>149</v>
      </c>
      <c r="I86" s="1">
        <v>130000</v>
      </c>
      <c r="J86" s="45">
        <v>107084</v>
      </c>
      <c r="K86" s="1" t="str">
        <f>TRIM(Cleaned_CRM_Data!H86)</f>
        <v>Rejected</v>
      </c>
      <c r="L86" t="str">
        <f>IFERROR(VLOOKUP(K86, Status_Mapping!A:B, 2,), "Not Found")</f>
        <v>Rejected</v>
      </c>
      <c r="N86" s="29" t="str">
        <f>IF(M86="","",M86-B86)</f>
        <v/>
      </c>
      <c r="O86" s="1" t="str">
        <f t="shared" si="6"/>
        <v>Starter</v>
      </c>
      <c r="P86" t="str">
        <f>TEXT(B86, "mmmm")</f>
        <v>June</v>
      </c>
      <c r="Q86" t="str">
        <f t="shared" si="7"/>
        <v>Q2</v>
      </c>
      <c r="R86" t="str">
        <f>IFERROR(VLOOKUP(TRIM(CLEAN(G86)),Sheet14!$A$2:$B$19,2,FALSE),"Not Mapped")</f>
        <v>West</v>
      </c>
    </row>
    <row r="87" spans="1:18">
      <c r="A87" t="str">
        <f t="shared" si="4"/>
        <v>EOS0086</v>
      </c>
      <c r="B87" s="35" t="s">
        <v>399</v>
      </c>
      <c r="C87" s="1" t="s">
        <v>267</v>
      </c>
      <c r="D87" s="1" t="str">
        <f t="shared" si="5"/>
        <v>FB</v>
      </c>
      <c r="E87" s="1" t="s">
        <v>406</v>
      </c>
      <c r="F87" s="1" t="s">
        <v>407</v>
      </c>
      <c r="G87" s="1" t="s">
        <v>229</v>
      </c>
      <c r="H87" s="1" t="s">
        <v>149</v>
      </c>
      <c r="I87" s="1">
        <v>130000</v>
      </c>
      <c r="J87" s="45">
        <v>107085</v>
      </c>
      <c r="K87" s="1" t="str">
        <f>TRIM(Cleaned_CRM_Data!H87)</f>
        <v>Rejected</v>
      </c>
      <c r="L87" t="str">
        <f>IFERROR(VLOOKUP(K87, Status_Mapping!A:B, 2,), "Not Found")</f>
        <v>Rejected</v>
      </c>
      <c r="N87" s="29" t="str">
        <f>IF(M87="","",M87-B87)</f>
        <v/>
      </c>
      <c r="O87" s="1" t="str">
        <f t="shared" si="6"/>
        <v>Starter</v>
      </c>
      <c r="P87" t="str">
        <f>TEXT(B87, "mmmm")</f>
        <v>June</v>
      </c>
      <c r="Q87" t="str">
        <f t="shared" si="7"/>
        <v>Q2</v>
      </c>
      <c r="R87" t="str">
        <f>IFERROR(VLOOKUP(TRIM(CLEAN(G87)),Sheet14!$A$2:$B$19,2,FALSE),"Not Mapped")</f>
        <v>West</v>
      </c>
    </row>
    <row r="88" spans="1:18">
      <c r="A88" t="str">
        <f t="shared" si="4"/>
        <v>EOS0087</v>
      </c>
      <c r="B88" s="35">
        <v>45815</v>
      </c>
      <c r="C88" s="1" t="s">
        <v>267</v>
      </c>
      <c r="D88" s="1" t="str">
        <f t="shared" si="5"/>
        <v>FB</v>
      </c>
      <c r="E88" s="1" t="s">
        <v>408</v>
      </c>
      <c r="F88" s="1" t="s">
        <v>350</v>
      </c>
      <c r="G88" s="1" t="s">
        <v>223</v>
      </c>
      <c r="H88" s="1" t="s">
        <v>149</v>
      </c>
      <c r="I88" s="1">
        <v>130000</v>
      </c>
      <c r="J88" s="45">
        <v>107086</v>
      </c>
      <c r="K88" s="1" t="str">
        <f>TRIM(Cleaned_CRM_Data!H88)</f>
        <v>Rejected</v>
      </c>
      <c r="L88" t="str">
        <f>IFERROR(VLOOKUP(K88, Status_Mapping!A:B, 2,), "Not Found")</f>
        <v>Rejected</v>
      </c>
      <c r="N88" s="29" t="str">
        <f>IF(M88="","",M88-B88)</f>
        <v/>
      </c>
      <c r="O88" s="1" t="str">
        <f t="shared" si="6"/>
        <v>Starter</v>
      </c>
      <c r="P88" t="str">
        <f>TEXT(B88, "mmmm")</f>
        <v>June</v>
      </c>
      <c r="Q88" t="str">
        <f t="shared" si="7"/>
        <v>Q2</v>
      </c>
      <c r="R88" t="str">
        <f>IFERROR(VLOOKUP(TRIM(CLEAN(G88)),Sheet14!$A$2:$B$19,2,FALSE),"Not Mapped")</f>
        <v>West</v>
      </c>
    </row>
    <row r="89" spans="1:18">
      <c r="A89" t="str">
        <f t="shared" si="4"/>
        <v>EOS0088</v>
      </c>
      <c r="B89" s="35">
        <v>45815</v>
      </c>
      <c r="C89" s="1" t="s">
        <v>267</v>
      </c>
      <c r="D89" s="1" t="str">
        <f t="shared" si="5"/>
        <v>FB</v>
      </c>
      <c r="E89" s="1" t="s">
        <v>409</v>
      </c>
      <c r="F89" s="1" t="s">
        <v>275</v>
      </c>
      <c r="G89" s="1" t="s">
        <v>223</v>
      </c>
      <c r="H89" s="1" t="s">
        <v>149</v>
      </c>
      <c r="I89" s="1">
        <v>108000</v>
      </c>
      <c r="J89" s="45">
        <v>107087</v>
      </c>
      <c r="K89" s="1" t="str">
        <f>TRIM(Cleaned_CRM_Data!H89)</f>
        <v>Rejected</v>
      </c>
      <c r="L89" t="str">
        <f>IFERROR(VLOOKUP(K89, Status_Mapping!A:B, 2,), "Not Found")</f>
        <v>Rejected</v>
      </c>
      <c r="N89" s="29" t="str">
        <f>IF(M89="","",M89-B89)</f>
        <v/>
      </c>
      <c r="O89" s="1" t="str">
        <f t="shared" si="6"/>
        <v>Starter</v>
      </c>
      <c r="P89" t="str">
        <f>TEXT(B89, "mmmm")</f>
        <v>June</v>
      </c>
      <c r="Q89" t="str">
        <f t="shared" si="7"/>
        <v>Q2</v>
      </c>
      <c r="R89" t="str">
        <f>IFERROR(VLOOKUP(TRIM(CLEAN(G89)),Sheet14!$A$2:$B$19,2,FALSE),"Not Mapped")</f>
        <v>West</v>
      </c>
    </row>
    <row r="90" spans="1:18">
      <c r="A90" t="str">
        <f t="shared" si="4"/>
        <v>EOS0089</v>
      </c>
      <c r="B90" s="35">
        <v>45815</v>
      </c>
      <c r="C90" s="1" t="s">
        <v>267</v>
      </c>
      <c r="D90" s="1" t="str">
        <f t="shared" si="5"/>
        <v>FB</v>
      </c>
      <c r="E90" s="1" t="s">
        <v>410</v>
      </c>
      <c r="F90" s="1" t="s">
        <v>304</v>
      </c>
      <c r="G90" s="1" t="s">
        <v>223</v>
      </c>
      <c r="H90" s="1" t="s">
        <v>149</v>
      </c>
      <c r="I90" s="1">
        <v>108000</v>
      </c>
      <c r="J90" s="45">
        <v>107088</v>
      </c>
      <c r="K90" s="1" t="s">
        <v>40</v>
      </c>
      <c r="L90" t="str">
        <f>IFERROR(VLOOKUP(K90, Status_Mapping!A:B, 2,), "Not Found")</f>
        <v>Converted</v>
      </c>
      <c r="N90" s="29" t="str">
        <f>IF(M90="","",M90-B90)</f>
        <v/>
      </c>
      <c r="O90" s="1" t="str">
        <f t="shared" si="6"/>
        <v>Starter</v>
      </c>
      <c r="P90" t="str">
        <f>TEXT(B90, "mmmm")</f>
        <v>June</v>
      </c>
      <c r="Q90" t="str">
        <f t="shared" si="7"/>
        <v>Q2</v>
      </c>
      <c r="R90" t="str">
        <f>IFERROR(VLOOKUP(TRIM(CLEAN(G90)),Sheet14!$A$2:$B$19,2,FALSE),"Not Mapped")</f>
        <v>West</v>
      </c>
    </row>
    <row r="91" spans="1:18">
      <c r="A91" t="str">
        <f t="shared" si="4"/>
        <v>EOS0090</v>
      </c>
      <c r="B91" s="35">
        <v>45817</v>
      </c>
      <c r="C91" s="1" t="s">
        <v>267</v>
      </c>
      <c r="D91" s="1" t="str">
        <f t="shared" si="5"/>
        <v>FB</v>
      </c>
      <c r="E91" s="1" t="s">
        <v>411</v>
      </c>
      <c r="F91" s="1" t="s">
        <v>412</v>
      </c>
      <c r="G91" s="1" t="s">
        <v>223</v>
      </c>
      <c r="H91" s="1" t="s">
        <v>149</v>
      </c>
      <c r="I91" s="1">
        <v>130000</v>
      </c>
      <c r="J91" s="45">
        <v>107089</v>
      </c>
      <c r="K91" s="1" t="str">
        <f>TRIM(Cleaned_CRM_Data!H91)</f>
        <v>Rejected</v>
      </c>
      <c r="L91" t="str">
        <f>IFERROR(VLOOKUP(K91, Status_Mapping!A:B, 2,), "Not Found")</f>
        <v>Rejected</v>
      </c>
      <c r="N91" s="29" t="str">
        <f>IF(M91="","",M91-B91)</f>
        <v/>
      </c>
      <c r="O91" s="1" t="str">
        <f t="shared" si="6"/>
        <v>Starter</v>
      </c>
      <c r="P91" t="str">
        <f>TEXT(B91, "mmmm")</f>
        <v>June</v>
      </c>
      <c r="Q91" t="str">
        <f t="shared" si="7"/>
        <v>Q2</v>
      </c>
      <c r="R91" t="str">
        <f>IFERROR(VLOOKUP(TRIM(CLEAN(G91)),Sheet14!$A$2:$B$19,2,FALSE),"Not Mapped")</f>
        <v>West</v>
      </c>
    </row>
    <row r="92" spans="1:18">
      <c r="A92" t="str">
        <f t="shared" si="4"/>
        <v>EOS0091</v>
      </c>
      <c r="B92" s="35">
        <v>45819</v>
      </c>
      <c r="C92" s="1" t="s">
        <v>267</v>
      </c>
      <c r="D92" s="1" t="str">
        <f t="shared" si="5"/>
        <v>FB</v>
      </c>
      <c r="E92" s="1">
        <v>0</v>
      </c>
      <c r="F92" s="1" t="s">
        <v>413</v>
      </c>
      <c r="G92" s="1" t="s">
        <v>223</v>
      </c>
      <c r="H92" s="1" t="s">
        <v>149</v>
      </c>
      <c r="I92" s="1">
        <v>108000</v>
      </c>
      <c r="J92" s="45">
        <v>107090</v>
      </c>
      <c r="K92" s="1" t="str">
        <f>TRIM(Cleaned_CRM_Data!H92)</f>
        <v>Rejected</v>
      </c>
      <c r="L92" t="str">
        <f>IFERROR(VLOOKUP(K92, Status_Mapping!A:B, 2,), "Not Found")</f>
        <v>Rejected</v>
      </c>
      <c r="N92" s="29" t="str">
        <f>IF(M92="","",M92-B92)</f>
        <v/>
      </c>
      <c r="O92" s="1" t="str">
        <f t="shared" si="6"/>
        <v>Starter</v>
      </c>
      <c r="P92" t="str">
        <f>TEXT(B92, "mmmm")</f>
        <v>June</v>
      </c>
      <c r="Q92" t="str">
        <f t="shared" si="7"/>
        <v>Q2</v>
      </c>
      <c r="R92" t="str">
        <f>IFERROR(VLOOKUP(TRIM(CLEAN(G92)),Sheet14!$A$2:$B$19,2,FALSE),"Not Mapped")</f>
        <v>West</v>
      </c>
    </row>
    <row r="93" spans="1:18">
      <c r="A93" t="str">
        <f t="shared" si="4"/>
        <v>EOS0092</v>
      </c>
      <c r="B93" s="35">
        <v>45819</v>
      </c>
      <c r="C93" s="1" t="s">
        <v>267</v>
      </c>
      <c r="D93" s="1" t="str">
        <f t="shared" si="5"/>
        <v>FB</v>
      </c>
      <c r="E93" s="1" t="s">
        <v>414</v>
      </c>
      <c r="F93" s="1" t="s">
        <v>415</v>
      </c>
      <c r="G93" s="1" t="s">
        <v>223</v>
      </c>
      <c r="H93" s="1" t="s">
        <v>149</v>
      </c>
      <c r="I93" s="1">
        <v>130000</v>
      </c>
      <c r="J93" s="45">
        <v>107091</v>
      </c>
      <c r="K93" s="1" t="str">
        <f>TRIM(Cleaned_CRM_Data!H93)</f>
        <v>Rejected</v>
      </c>
      <c r="L93" t="str">
        <f>IFERROR(VLOOKUP(K93, Status_Mapping!A:B, 2,), "Not Found")</f>
        <v>Rejected</v>
      </c>
      <c r="N93" s="29" t="str">
        <f>IF(M93="","",M93-B93)</f>
        <v/>
      </c>
      <c r="O93" s="1" t="str">
        <f t="shared" si="6"/>
        <v>Starter</v>
      </c>
      <c r="P93" t="str">
        <f>TEXT(B93, "mmmm")</f>
        <v>June</v>
      </c>
      <c r="Q93" t="str">
        <f t="shared" si="7"/>
        <v>Q2</v>
      </c>
      <c r="R93" t="str">
        <f>IFERROR(VLOOKUP(TRIM(CLEAN(G93)),Sheet14!$A$2:$B$19,2,FALSE),"Not Mapped")</f>
        <v>West</v>
      </c>
    </row>
    <row r="94" spans="1:18">
      <c r="A94" t="str">
        <f t="shared" si="4"/>
        <v>EOS0093</v>
      </c>
      <c r="B94" s="35">
        <v>45819</v>
      </c>
      <c r="C94" s="1" t="s">
        <v>267</v>
      </c>
      <c r="D94" s="1" t="str">
        <f t="shared" si="5"/>
        <v>FB</v>
      </c>
      <c r="E94" s="1" t="s">
        <v>416</v>
      </c>
      <c r="F94" s="1" t="s">
        <v>412</v>
      </c>
      <c r="G94" s="1" t="s">
        <v>223</v>
      </c>
      <c r="H94" s="1" t="s">
        <v>149</v>
      </c>
      <c r="I94" s="1">
        <v>130000</v>
      </c>
      <c r="J94" s="45">
        <v>107092</v>
      </c>
      <c r="K94" s="1" t="str">
        <f>TRIM(Cleaned_CRM_Data!H94)</f>
        <v>Rejected</v>
      </c>
      <c r="L94" t="str">
        <f>IFERROR(VLOOKUP(K94, Status_Mapping!A:B, 2,), "Not Found")</f>
        <v>Rejected</v>
      </c>
      <c r="N94" s="29" t="str">
        <f>IF(M94="","",M94-B94)</f>
        <v/>
      </c>
      <c r="O94" s="1" t="str">
        <f t="shared" si="6"/>
        <v>Starter</v>
      </c>
      <c r="P94" t="str">
        <f>TEXT(B94, "mmmm")</f>
        <v>June</v>
      </c>
      <c r="Q94" t="str">
        <f t="shared" si="7"/>
        <v>Q2</v>
      </c>
      <c r="R94" t="str">
        <f>IFERROR(VLOOKUP(TRIM(CLEAN(G94)),Sheet14!$A$2:$B$19,2,FALSE),"Not Mapped")</f>
        <v>West</v>
      </c>
    </row>
    <row r="95" spans="1:18">
      <c r="A95" t="str">
        <f t="shared" si="4"/>
        <v>EOS0094</v>
      </c>
      <c r="B95" s="35">
        <v>45820</v>
      </c>
      <c r="C95" s="1" t="s">
        <v>267</v>
      </c>
      <c r="D95" s="1" t="str">
        <f t="shared" si="5"/>
        <v>FB</v>
      </c>
      <c r="E95" s="1" t="s">
        <v>417</v>
      </c>
      <c r="F95" s="1" t="s">
        <v>418</v>
      </c>
      <c r="G95" s="1" t="s">
        <v>223</v>
      </c>
      <c r="H95" s="1" t="s">
        <v>149</v>
      </c>
      <c r="I95" s="1">
        <v>130000</v>
      </c>
      <c r="J95" s="45">
        <v>107093</v>
      </c>
      <c r="K95" s="1" t="str">
        <f>TRIM(Cleaned_CRM_Data!H95)</f>
        <v>Rejected</v>
      </c>
      <c r="L95" t="str">
        <f>IFERROR(VLOOKUP(K95, Status_Mapping!A:B, 2,), "Not Found")</f>
        <v>Rejected</v>
      </c>
      <c r="N95" s="29" t="str">
        <f>IF(M95="","",M95-B95)</f>
        <v/>
      </c>
      <c r="O95" s="1" t="str">
        <f t="shared" si="6"/>
        <v>Starter</v>
      </c>
      <c r="P95" t="str">
        <f>TEXT(B95, "mmmm")</f>
        <v>June</v>
      </c>
      <c r="Q95" t="str">
        <f t="shared" si="7"/>
        <v>Q2</v>
      </c>
      <c r="R95" t="str">
        <f>IFERROR(VLOOKUP(TRIM(CLEAN(G95)),Sheet14!$A$2:$B$19,2,FALSE),"Not Mapped")</f>
        <v>West</v>
      </c>
    </row>
    <row r="96" spans="1:18">
      <c r="A96" t="str">
        <f t="shared" si="4"/>
        <v>EOS0095</v>
      </c>
      <c r="B96" s="35" t="s">
        <v>419</v>
      </c>
      <c r="C96" s="1" t="s">
        <v>267</v>
      </c>
      <c r="D96" s="1" t="str">
        <f t="shared" si="5"/>
        <v>FB</v>
      </c>
      <c r="E96" s="1" t="s">
        <v>420</v>
      </c>
      <c r="F96" s="1" t="s">
        <v>275</v>
      </c>
      <c r="G96" s="1" t="s">
        <v>223</v>
      </c>
      <c r="H96" s="1" t="s">
        <v>149</v>
      </c>
      <c r="I96" s="1">
        <v>108000</v>
      </c>
      <c r="J96" s="45">
        <v>107094</v>
      </c>
      <c r="K96" s="1" t="str">
        <f>TRIM(Cleaned_CRM_Data!H96)</f>
        <v>Rejected</v>
      </c>
      <c r="L96" t="str">
        <f>IFERROR(VLOOKUP(K96, Status_Mapping!A:B, 2,), "Not Found")</f>
        <v>Rejected</v>
      </c>
      <c r="N96" s="29" t="str">
        <f>IF(M96="","",M96-B96)</f>
        <v/>
      </c>
      <c r="O96" s="1" t="str">
        <f t="shared" si="6"/>
        <v>Starter</v>
      </c>
      <c r="P96" t="str">
        <f>TEXT(B96, "mmmm")</f>
        <v>June</v>
      </c>
      <c r="Q96" t="str">
        <f t="shared" si="7"/>
        <v>Q2</v>
      </c>
      <c r="R96" t="str">
        <f>IFERROR(VLOOKUP(TRIM(CLEAN(G96)),Sheet14!$A$2:$B$19,2,FALSE),"Not Mapped")</f>
        <v>West</v>
      </c>
    </row>
    <row r="97" spans="1:18">
      <c r="A97" t="str">
        <f t="shared" si="4"/>
        <v>EOS0096</v>
      </c>
      <c r="B97" s="35" t="s">
        <v>419</v>
      </c>
      <c r="C97" s="1" t="s">
        <v>267</v>
      </c>
      <c r="D97" s="1" t="str">
        <f t="shared" si="5"/>
        <v>FB</v>
      </c>
      <c r="E97" s="1" t="s">
        <v>421</v>
      </c>
      <c r="F97" s="1" t="s">
        <v>422</v>
      </c>
      <c r="G97" s="1" t="s">
        <v>223</v>
      </c>
      <c r="H97" s="1" t="s">
        <v>149</v>
      </c>
      <c r="I97" s="1">
        <v>130000</v>
      </c>
      <c r="J97" s="45">
        <v>107095</v>
      </c>
      <c r="K97" s="1" t="str">
        <f>TRIM(Cleaned_CRM_Data!H97)</f>
        <v>Rejected</v>
      </c>
      <c r="L97" t="str">
        <f>IFERROR(VLOOKUP(K97, Status_Mapping!A:B, 2,), "Not Found")</f>
        <v>Rejected</v>
      </c>
      <c r="N97" s="29" t="str">
        <f>IF(M97="","",M97-B97)</f>
        <v/>
      </c>
      <c r="O97" s="1" t="str">
        <f t="shared" si="6"/>
        <v>Starter</v>
      </c>
      <c r="P97" t="str">
        <f>TEXT(B97, "mmmm")</f>
        <v>June</v>
      </c>
      <c r="Q97" t="str">
        <f t="shared" si="7"/>
        <v>Q2</v>
      </c>
      <c r="R97" t="str">
        <f>IFERROR(VLOOKUP(TRIM(CLEAN(G97)),Sheet14!$A$2:$B$19,2,FALSE),"Not Mapped")</f>
        <v>West</v>
      </c>
    </row>
    <row r="98" spans="1:18">
      <c r="A98" t="str">
        <f t="shared" si="4"/>
        <v>EOS0097</v>
      </c>
      <c r="B98" s="35" t="s">
        <v>423</v>
      </c>
      <c r="C98" s="1" t="s">
        <v>267</v>
      </c>
      <c r="D98" s="1" t="str">
        <f t="shared" si="5"/>
        <v>FB</v>
      </c>
      <c r="E98" s="1" t="s">
        <v>424</v>
      </c>
      <c r="F98" s="1" t="s">
        <v>300</v>
      </c>
      <c r="G98" s="1" t="s">
        <v>223</v>
      </c>
      <c r="H98" s="1" t="s">
        <v>149</v>
      </c>
      <c r="I98" s="1">
        <v>130000</v>
      </c>
      <c r="J98" s="45">
        <v>107096</v>
      </c>
      <c r="K98" s="1" t="str">
        <f>TRIM(Cleaned_CRM_Data!H98)</f>
        <v>Rejected</v>
      </c>
      <c r="L98" t="str">
        <f>IFERROR(VLOOKUP(K98, Status_Mapping!A:B, 2,), "Not Found")</f>
        <v>Rejected</v>
      </c>
      <c r="N98" s="29" t="str">
        <f>IF(M98="","",M98-B98)</f>
        <v/>
      </c>
      <c r="O98" s="1" t="str">
        <f t="shared" si="6"/>
        <v>Starter</v>
      </c>
      <c r="P98" t="str">
        <f>TEXT(B98, "mmmm")</f>
        <v>June</v>
      </c>
      <c r="Q98" t="str">
        <f t="shared" si="7"/>
        <v>Q2</v>
      </c>
      <c r="R98" t="str">
        <f>IFERROR(VLOOKUP(TRIM(CLEAN(G98)),Sheet14!$A$2:$B$19,2,FALSE),"Not Mapped")</f>
        <v>West</v>
      </c>
    </row>
    <row r="99" spans="1:18">
      <c r="A99" t="str">
        <f t="shared" si="4"/>
        <v>EOS0098</v>
      </c>
      <c r="B99" s="35" t="s">
        <v>423</v>
      </c>
      <c r="C99" s="1" t="s">
        <v>267</v>
      </c>
      <c r="D99" s="1" t="str">
        <f t="shared" si="5"/>
        <v>FB</v>
      </c>
      <c r="E99" s="1" t="s">
        <v>425</v>
      </c>
      <c r="F99" s="1" t="s">
        <v>426</v>
      </c>
      <c r="G99" s="1" t="s">
        <v>223</v>
      </c>
      <c r="H99" s="1" t="s">
        <v>149</v>
      </c>
      <c r="I99" s="1">
        <v>108000</v>
      </c>
      <c r="J99" s="45">
        <v>107097</v>
      </c>
      <c r="K99" s="1" t="str">
        <f>TRIM(Cleaned_CRM_Data!H99)</f>
        <v>Rejected</v>
      </c>
      <c r="L99" t="str">
        <f>IFERROR(VLOOKUP(K99, Status_Mapping!A:B, 2,), "Not Found")</f>
        <v>Rejected</v>
      </c>
      <c r="N99" s="29" t="str">
        <f>IF(M99="","",M99-B99)</f>
        <v/>
      </c>
      <c r="O99" s="1" t="str">
        <f t="shared" si="6"/>
        <v>Starter</v>
      </c>
      <c r="P99" t="str">
        <f>TEXT(B99, "mmmm")</f>
        <v>June</v>
      </c>
      <c r="Q99" t="str">
        <f t="shared" si="7"/>
        <v>Q2</v>
      </c>
      <c r="R99" t="str">
        <f>IFERROR(VLOOKUP(TRIM(CLEAN(G99)),Sheet14!$A$2:$B$19,2,FALSE),"Not Mapped")</f>
        <v>West</v>
      </c>
    </row>
    <row r="100" spans="1:18">
      <c r="A100" t="str">
        <f t="shared" si="4"/>
        <v>EOS0099</v>
      </c>
      <c r="B100" s="35" t="s">
        <v>423</v>
      </c>
      <c r="C100" s="1" t="s">
        <v>267</v>
      </c>
      <c r="D100" s="1" t="str">
        <f t="shared" si="5"/>
        <v>FB</v>
      </c>
      <c r="E100" s="1" t="s">
        <v>427</v>
      </c>
      <c r="F100" s="1" t="s">
        <v>300</v>
      </c>
      <c r="G100" s="1" t="s">
        <v>223</v>
      </c>
      <c r="H100" s="1" t="s">
        <v>149</v>
      </c>
      <c r="I100" s="1">
        <v>130000</v>
      </c>
      <c r="J100" s="45">
        <v>107098</v>
      </c>
      <c r="K100" s="1" t="str">
        <f>TRIM(Cleaned_CRM_Data!H100)</f>
        <v>Rejected</v>
      </c>
      <c r="L100" t="str">
        <f>IFERROR(VLOOKUP(K100, Status_Mapping!A:B, 2,), "Not Found")</f>
        <v>Rejected</v>
      </c>
      <c r="N100" s="29" t="str">
        <f>IF(M100="","",M100-B100)</f>
        <v/>
      </c>
      <c r="O100" s="1" t="str">
        <f t="shared" si="6"/>
        <v>Starter</v>
      </c>
      <c r="P100" t="str">
        <f>TEXT(B100, "mmmm")</f>
        <v>June</v>
      </c>
      <c r="Q100" t="str">
        <f t="shared" si="7"/>
        <v>Q2</v>
      </c>
      <c r="R100" t="str">
        <f>IFERROR(VLOOKUP(TRIM(CLEAN(G100)),Sheet14!$A$2:$B$19,2,FALSE),"Not Mapped")</f>
        <v>West</v>
      </c>
    </row>
    <row r="101" spans="1:18">
      <c r="A101" t="str">
        <f t="shared" si="4"/>
        <v>EOS0100</v>
      </c>
      <c r="B101" s="35" t="s">
        <v>379</v>
      </c>
      <c r="C101" s="1" t="s">
        <v>267</v>
      </c>
      <c r="D101" s="1" t="str">
        <f t="shared" si="5"/>
        <v>FB</v>
      </c>
      <c r="E101" s="1" t="s">
        <v>428</v>
      </c>
      <c r="F101" s="1" t="s">
        <v>429</v>
      </c>
      <c r="G101" s="1" t="s">
        <v>223</v>
      </c>
      <c r="H101" s="1" t="s">
        <v>149</v>
      </c>
      <c r="I101" s="1">
        <v>130000</v>
      </c>
      <c r="J101" s="45">
        <v>107099</v>
      </c>
      <c r="K101" s="1" t="str">
        <f>TRIM(Cleaned_CRM_Data!H101)</f>
        <v>Rejected</v>
      </c>
      <c r="L101" t="str">
        <f>IFERROR(VLOOKUP(K101, Status_Mapping!A:B, 2,), "Not Found")</f>
        <v>Rejected</v>
      </c>
      <c r="N101" s="29" t="str">
        <f>IF(M101="","",M101-B101)</f>
        <v/>
      </c>
      <c r="O101" s="1" t="str">
        <f t="shared" si="6"/>
        <v>Starter</v>
      </c>
      <c r="P101" t="str">
        <f>TEXT(B101, "mmmm")</f>
        <v>June</v>
      </c>
      <c r="Q101" t="str">
        <f t="shared" si="7"/>
        <v>Q2</v>
      </c>
      <c r="R101" t="str">
        <f>IFERROR(VLOOKUP(TRIM(CLEAN(G101)),Sheet14!$A$2:$B$19,2,FALSE),"Not Mapped")</f>
        <v>West</v>
      </c>
    </row>
    <row r="102" spans="1:18">
      <c r="A102" t="str">
        <f t="shared" si="4"/>
        <v>EOS0101</v>
      </c>
      <c r="B102" s="35" t="s">
        <v>379</v>
      </c>
      <c r="C102" s="1" t="s">
        <v>267</v>
      </c>
      <c r="D102" s="1" t="str">
        <f t="shared" si="5"/>
        <v>FB</v>
      </c>
      <c r="E102" s="1" t="s">
        <v>430</v>
      </c>
      <c r="F102" s="1" t="s">
        <v>283</v>
      </c>
      <c r="G102" s="1" t="s">
        <v>223</v>
      </c>
      <c r="H102" s="1" t="s">
        <v>149</v>
      </c>
      <c r="I102" s="1">
        <v>130000</v>
      </c>
      <c r="J102" s="45">
        <v>107100</v>
      </c>
      <c r="K102" s="1" t="str">
        <f>TRIM(Cleaned_CRM_Data!H102)</f>
        <v>Rejected</v>
      </c>
      <c r="L102" t="str">
        <f>IFERROR(VLOOKUP(K102, Status_Mapping!A:B, 2,), "Not Found")</f>
        <v>Rejected</v>
      </c>
      <c r="N102" s="29" t="str">
        <f>IF(M102="","",M102-B102)</f>
        <v/>
      </c>
      <c r="O102" s="1" t="str">
        <f t="shared" si="6"/>
        <v>Starter</v>
      </c>
      <c r="P102" t="str">
        <f>TEXT(B102, "mmmm")</f>
        <v>June</v>
      </c>
      <c r="Q102" t="str">
        <f t="shared" si="7"/>
        <v>Q2</v>
      </c>
      <c r="R102" t="str">
        <f>IFERROR(VLOOKUP(TRIM(CLEAN(G102)),Sheet14!$A$2:$B$19,2,FALSE),"Not Mapped")</f>
        <v>West</v>
      </c>
    </row>
    <row r="103" spans="1:18">
      <c r="A103" t="str">
        <f t="shared" si="4"/>
        <v>EOS0102</v>
      </c>
      <c r="B103" s="35" t="s">
        <v>379</v>
      </c>
      <c r="C103" s="1" t="s">
        <v>267</v>
      </c>
      <c r="D103" s="1" t="str">
        <f t="shared" si="5"/>
        <v>FB</v>
      </c>
      <c r="E103" s="1" t="s">
        <v>431</v>
      </c>
      <c r="F103" s="1" t="s">
        <v>300</v>
      </c>
      <c r="G103" s="1" t="s">
        <v>223</v>
      </c>
      <c r="H103" s="1" t="s">
        <v>149</v>
      </c>
      <c r="I103" s="1">
        <v>108000</v>
      </c>
      <c r="J103" s="45">
        <v>107101</v>
      </c>
      <c r="K103" s="1" t="str">
        <f>TRIM(Cleaned_CRM_Data!H103)</f>
        <v>Rejected</v>
      </c>
      <c r="L103" t="str">
        <f>IFERROR(VLOOKUP(K103, Status_Mapping!A:B, 2,), "Not Found")</f>
        <v>Rejected</v>
      </c>
      <c r="N103" s="29" t="str">
        <f>IF(M103="","",M103-B103)</f>
        <v/>
      </c>
      <c r="O103" s="1" t="str">
        <f t="shared" si="6"/>
        <v>Starter</v>
      </c>
      <c r="P103" t="str">
        <f>TEXT(B103, "mmmm")</f>
        <v>June</v>
      </c>
      <c r="Q103" t="str">
        <f t="shared" si="7"/>
        <v>Q2</v>
      </c>
      <c r="R103" t="str">
        <f>IFERROR(VLOOKUP(TRIM(CLEAN(G103)),Sheet14!$A$2:$B$19,2,FALSE),"Not Mapped")</f>
        <v>West</v>
      </c>
    </row>
    <row r="104" spans="1:18">
      <c r="A104" t="str">
        <f t="shared" si="4"/>
        <v>EOS0103</v>
      </c>
      <c r="B104" s="35" t="s">
        <v>399</v>
      </c>
      <c r="C104" s="1" t="s">
        <v>267</v>
      </c>
      <c r="D104" s="1" t="str">
        <f t="shared" si="5"/>
        <v>FB</v>
      </c>
      <c r="E104" s="1" t="s">
        <v>432</v>
      </c>
      <c r="F104" s="1" t="s">
        <v>304</v>
      </c>
      <c r="G104" s="1" t="s">
        <v>223</v>
      </c>
      <c r="H104" s="1" t="s">
        <v>149</v>
      </c>
      <c r="I104" s="1">
        <v>130000</v>
      </c>
      <c r="J104" s="45">
        <v>107102</v>
      </c>
      <c r="K104" s="1" t="str">
        <f>TRIM(Cleaned_CRM_Data!H104)</f>
        <v>Rejected</v>
      </c>
      <c r="L104" t="str">
        <f>IFERROR(VLOOKUP(K104, Status_Mapping!A:B, 2,), "Not Found")</f>
        <v>Rejected</v>
      </c>
      <c r="N104" s="29" t="str">
        <f>IF(M104="","",M104-B104)</f>
        <v/>
      </c>
      <c r="O104" s="1" t="str">
        <f t="shared" si="6"/>
        <v>Starter</v>
      </c>
      <c r="P104" t="str">
        <f>TEXT(B104, "mmmm")</f>
        <v>June</v>
      </c>
      <c r="Q104" t="str">
        <f t="shared" si="7"/>
        <v>Q2</v>
      </c>
      <c r="R104" t="str">
        <f>IFERROR(VLOOKUP(TRIM(CLEAN(G104)),Sheet14!$A$2:$B$19,2,FALSE),"Not Mapped")</f>
        <v>West</v>
      </c>
    </row>
    <row r="105" spans="1:18">
      <c r="A105" t="str">
        <f t="shared" si="4"/>
        <v>EOS0104</v>
      </c>
      <c r="B105" s="35" t="s">
        <v>399</v>
      </c>
      <c r="C105" s="1" t="s">
        <v>267</v>
      </c>
      <c r="D105" s="1" t="str">
        <f t="shared" si="5"/>
        <v>FB</v>
      </c>
      <c r="E105" s="1" t="s">
        <v>433</v>
      </c>
      <c r="F105" s="1" t="s">
        <v>434</v>
      </c>
      <c r="G105" s="1" t="s">
        <v>235</v>
      </c>
      <c r="H105" s="1" t="s">
        <v>149</v>
      </c>
      <c r="I105" s="1">
        <v>108000</v>
      </c>
      <c r="J105" s="45">
        <v>107103</v>
      </c>
      <c r="K105" s="1" t="str">
        <f>TRIM(Cleaned_CRM_Data!H105)</f>
        <v>Rejected</v>
      </c>
      <c r="L105" t="str">
        <f>IFERROR(VLOOKUP(K105, Status_Mapping!A:B, 2,), "Not Found")</f>
        <v>Rejected</v>
      </c>
      <c r="N105" s="29" t="str">
        <f>IF(M105="","",M105-B105)</f>
        <v/>
      </c>
      <c r="O105" s="1" t="str">
        <f t="shared" si="6"/>
        <v>Starter</v>
      </c>
      <c r="P105" t="str">
        <f>TEXT(B105, "mmmm")</f>
        <v>June</v>
      </c>
      <c r="Q105" t="str">
        <f t="shared" si="7"/>
        <v>Q2</v>
      </c>
      <c r="R105" t="str">
        <f>IFERROR(VLOOKUP(TRIM(CLEAN(G105)),Sheet14!$A$2:$B$19,2,FALSE),"Not Mapped")</f>
        <v>West</v>
      </c>
    </row>
    <row r="106" spans="1:18">
      <c r="A106" t="str">
        <f t="shared" si="4"/>
        <v>EOS0105</v>
      </c>
      <c r="B106" s="35" t="s">
        <v>399</v>
      </c>
      <c r="C106" s="1" t="s">
        <v>267</v>
      </c>
      <c r="D106" s="1" t="str">
        <f t="shared" si="5"/>
        <v>FB</v>
      </c>
      <c r="E106" s="1" t="s">
        <v>435</v>
      </c>
      <c r="F106" s="1" t="s">
        <v>413</v>
      </c>
      <c r="G106" s="1" t="s">
        <v>223</v>
      </c>
      <c r="H106" s="1" t="s">
        <v>149</v>
      </c>
      <c r="I106" s="1">
        <v>130000</v>
      </c>
      <c r="J106" s="45">
        <v>107104</v>
      </c>
      <c r="K106" s="1" t="str">
        <f>TRIM(Cleaned_CRM_Data!H106)</f>
        <v>Rejected</v>
      </c>
      <c r="L106" t="str">
        <f>IFERROR(VLOOKUP(K106, Status_Mapping!A:B, 2,), "Not Found")</f>
        <v>Rejected</v>
      </c>
      <c r="N106" s="29" t="str">
        <f>IF(M106="","",M106-B106)</f>
        <v/>
      </c>
      <c r="O106" s="1" t="str">
        <f t="shared" si="6"/>
        <v>Starter</v>
      </c>
      <c r="P106" t="str">
        <f>TEXT(B106, "mmmm")</f>
        <v>June</v>
      </c>
      <c r="Q106" t="str">
        <f t="shared" si="7"/>
        <v>Q2</v>
      </c>
      <c r="R106" t="str">
        <f>IFERROR(VLOOKUP(TRIM(CLEAN(G106)),Sheet14!$A$2:$B$19,2,FALSE),"Not Mapped")</f>
        <v>West</v>
      </c>
    </row>
    <row r="107" spans="1:18">
      <c r="A107" t="str">
        <f t="shared" si="4"/>
        <v>EOS0106</v>
      </c>
      <c r="B107" s="35" t="s">
        <v>399</v>
      </c>
      <c r="C107" s="1" t="s">
        <v>267</v>
      </c>
      <c r="D107" s="1" t="str">
        <f t="shared" si="5"/>
        <v>FB</v>
      </c>
      <c r="E107" s="1" t="s">
        <v>436</v>
      </c>
      <c r="F107" s="1" t="s">
        <v>437</v>
      </c>
      <c r="G107" s="1" t="s">
        <v>228</v>
      </c>
      <c r="H107" s="1" t="s">
        <v>149</v>
      </c>
      <c r="I107" s="1">
        <v>108000</v>
      </c>
      <c r="J107" s="45">
        <v>107105</v>
      </c>
      <c r="K107" s="1" t="str">
        <f>TRIM(Cleaned_CRM_Data!H107)</f>
        <v>Rejected</v>
      </c>
      <c r="L107" t="str">
        <f>IFERROR(VLOOKUP(K107, Status_Mapping!A:B, 2,), "Not Found")</f>
        <v>Rejected</v>
      </c>
      <c r="N107" s="29" t="str">
        <f>IF(M107="","",M107-B107)</f>
        <v/>
      </c>
      <c r="O107" s="1" t="str">
        <f t="shared" si="6"/>
        <v>Starter</v>
      </c>
      <c r="P107" t="str">
        <f>TEXT(B107, "mmmm")</f>
        <v>June</v>
      </c>
      <c r="Q107" t="str">
        <f t="shared" si="7"/>
        <v>Q2</v>
      </c>
      <c r="R107" t="str">
        <f>IFERROR(VLOOKUP(TRIM(CLEAN(G107)),Sheet14!$A$2:$B$19,2,FALSE),"Not Mapped")</f>
        <v>Central</v>
      </c>
    </row>
    <row r="108" spans="1:18">
      <c r="A108" t="str">
        <f t="shared" si="4"/>
        <v>EOS0107</v>
      </c>
      <c r="B108" s="35" t="s">
        <v>399</v>
      </c>
      <c r="C108" s="1" t="s">
        <v>267</v>
      </c>
      <c r="D108" s="1" t="str">
        <f t="shared" si="5"/>
        <v>FB</v>
      </c>
      <c r="E108" s="1" t="s">
        <v>438</v>
      </c>
      <c r="F108" s="1" t="s">
        <v>439</v>
      </c>
      <c r="G108" s="1" t="s">
        <v>440</v>
      </c>
      <c r="H108" s="1" t="s">
        <v>149</v>
      </c>
      <c r="I108" s="1">
        <v>130000</v>
      </c>
      <c r="J108" s="45">
        <v>107106</v>
      </c>
      <c r="K108" s="1" t="str">
        <f>TRIM(Cleaned_CRM_Data!H108)</f>
        <v>Rejected</v>
      </c>
      <c r="L108" t="str">
        <f>IFERROR(VLOOKUP(K108, Status_Mapping!A:B, 2,), "Not Found")</f>
        <v>Rejected</v>
      </c>
      <c r="N108" s="29" t="str">
        <f>IF(M108="","",M108-B108)</f>
        <v/>
      </c>
      <c r="O108" s="1" t="str">
        <f t="shared" si="6"/>
        <v>Starter</v>
      </c>
      <c r="P108" t="str">
        <f>TEXT(B108, "mmmm")</f>
        <v>June</v>
      </c>
      <c r="Q108" t="str">
        <f t="shared" si="7"/>
        <v>Q2</v>
      </c>
      <c r="R108" t="str">
        <f>IFERROR(VLOOKUP(TRIM(CLEAN(G108)),Sheet14!$A$2:$B$19,2,FALSE),"Not Mapped")</f>
        <v>North</v>
      </c>
    </row>
    <row r="109" spans="1:18">
      <c r="A109" t="str">
        <f t="shared" si="4"/>
        <v>EOS0108</v>
      </c>
      <c r="B109" s="35" t="s">
        <v>399</v>
      </c>
      <c r="C109" s="1" t="s">
        <v>267</v>
      </c>
      <c r="D109" s="1" t="str">
        <f t="shared" si="5"/>
        <v>FB</v>
      </c>
      <c r="E109" s="1" t="s">
        <v>441</v>
      </c>
      <c r="F109" s="1" t="s">
        <v>442</v>
      </c>
      <c r="G109" s="1" t="s">
        <v>440</v>
      </c>
      <c r="H109" s="1" t="s">
        <v>149</v>
      </c>
      <c r="I109" s="1">
        <v>130000</v>
      </c>
      <c r="J109" s="45">
        <v>107107</v>
      </c>
      <c r="K109" s="1" t="str">
        <f>TRIM(Cleaned_CRM_Data!H109)</f>
        <v>Rejected</v>
      </c>
      <c r="L109" t="str">
        <f>IFERROR(VLOOKUP(K109, Status_Mapping!A:B, 2,), "Not Found")</f>
        <v>Rejected</v>
      </c>
      <c r="N109" s="29" t="str">
        <f>IF(M109="","",M109-B109)</f>
        <v/>
      </c>
      <c r="O109" s="1" t="str">
        <f t="shared" si="6"/>
        <v>Starter</v>
      </c>
      <c r="P109" t="str">
        <f>TEXT(B109, "mmmm")</f>
        <v>June</v>
      </c>
      <c r="Q109" t="str">
        <f t="shared" si="7"/>
        <v>Q2</v>
      </c>
      <c r="R109" t="str">
        <f>IFERROR(VLOOKUP(TRIM(CLEAN(G109)),Sheet14!$A$2:$B$19,2,FALSE),"Not Mapped")</f>
        <v>North</v>
      </c>
    </row>
    <row r="110" spans="1:18">
      <c r="A110" t="str">
        <f t="shared" si="4"/>
        <v>EOS0109</v>
      </c>
      <c r="B110" s="35" t="s">
        <v>399</v>
      </c>
      <c r="C110" s="1" t="s">
        <v>267</v>
      </c>
      <c r="D110" s="1" t="str">
        <f t="shared" si="5"/>
        <v>FB</v>
      </c>
      <c r="E110" s="1" t="s">
        <v>443</v>
      </c>
      <c r="F110" s="1" t="s">
        <v>336</v>
      </c>
      <c r="G110" s="1" t="s">
        <v>223</v>
      </c>
      <c r="H110" s="1" t="s">
        <v>149</v>
      </c>
      <c r="I110" s="1">
        <v>130000</v>
      </c>
      <c r="J110" s="45">
        <v>107108</v>
      </c>
      <c r="K110" s="1" t="str">
        <f>TRIM(Cleaned_CRM_Data!H110)</f>
        <v>Rejected</v>
      </c>
      <c r="L110" t="str">
        <f>IFERROR(VLOOKUP(K110, Status_Mapping!A:B, 2,), "Not Found")</f>
        <v>Rejected</v>
      </c>
      <c r="N110" s="29" t="str">
        <f>IF(M110="","",M110-B110)</f>
        <v/>
      </c>
      <c r="O110" s="1" t="str">
        <f t="shared" si="6"/>
        <v>Starter</v>
      </c>
      <c r="P110" t="str">
        <f>TEXT(B110, "mmmm")</f>
        <v>June</v>
      </c>
      <c r="Q110" t="str">
        <f t="shared" si="7"/>
        <v>Q2</v>
      </c>
      <c r="R110" t="str">
        <f>IFERROR(VLOOKUP(TRIM(CLEAN(G110)),Sheet14!$A$2:$B$19,2,FALSE),"Not Mapped")</f>
        <v>West</v>
      </c>
    </row>
    <row r="111" spans="1:18">
      <c r="A111" t="str">
        <f t="shared" si="4"/>
        <v>EOS0110</v>
      </c>
      <c r="B111" s="35" t="s">
        <v>399</v>
      </c>
      <c r="C111" s="1" t="s">
        <v>267</v>
      </c>
      <c r="D111" s="1" t="str">
        <f t="shared" si="5"/>
        <v>FB</v>
      </c>
      <c r="E111" s="1" t="s">
        <v>444</v>
      </c>
      <c r="F111" s="1" t="s">
        <v>304</v>
      </c>
      <c r="G111" s="1" t="s">
        <v>223</v>
      </c>
      <c r="H111" s="1" t="s">
        <v>149</v>
      </c>
      <c r="I111" s="1">
        <v>130000</v>
      </c>
      <c r="J111" s="45">
        <v>107109</v>
      </c>
      <c r="K111" s="1" t="str">
        <f>TRIM(Cleaned_CRM_Data!H111)</f>
        <v>Rejected</v>
      </c>
      <c r="L111" t="str">
        <f>IFERROR(VLOOKUP(K111, Status_Mapping!A:B, 2,), "Not Found")</f>
        <v>Rejected</v>
      </c>
      <c r="N111" s="29" t="str">
        <f>IF(M111="","",M111-B111)</f>
        <v/>
      </c>
      <c r="O111" s="1" t="str">
        <f t="shared" si="6"/>
        <v>Starter</v>
      </c>
      <c r="P111" t="str">
        <f>TEXT(B111, "mmmm")</f>
        <v>June</v>
      </c>
      <c r="Q111" t="str">
        <f t="shared" si="7"/>
        <v>Q2</v>
      </c>
      <c r="R111" t="str">
        <f>IFERROR(VLOOKUP(TRIM(CLEAN(G111)),Sheet14!$A$2:$B$19,2,FALSE),"Not Mapped")</f>
        <v>West</v>
      </c>
    </row>
    <row r="112" spans="1:18">
      <c r="A112" t="str">
        <f t="shared" si="4"/>
        <v>EOS0111</v>
      </c>
      <c r="B112" s="35" t="s">
        <v>399</v>
      </c>
      <c r="C112" s="1" t="s">
        <v>267</v>
      </c>
      <c r="D112" s="1" t="str">
        <f t="shared" si="5"/>
        <v>FB</v>
      </c>
      <c r="E112" s="1" t="s">
        <v>445</v>
      </c>
      <c r="F112" s="1" t="s">
        <v>296</v>
      </c>
      <c r="G112" s="1" t="s">
        <v>223</v>
      </c>
      <c r="H112" s="1" t="s">
        <v>149</v>
      </c>
      <c r="I112" s="1">
        <v>108000</v>
      </c>
      <c r="J112" s="45">
        <v>107110</v>
      </c>
      <c r="K112" s="1" t="str">
        <f>TRIM(Cleaned_CRM_Data!H112)</f>
        <v>Rejected</v>
      </c>
      <c r="L112" t="str">
        <f>IFERROR(VLOOKUP(K112, Status_Mapping!A:B, 2,), "Not Found")</f>
        <v>Rejected</v>
      </c>
      <c r="N112" s="29" t="str">
        <f>IF(M112="","",M112-B112)</f>
        <v/>
      </c>
      <c r="O112" s="1" t="str">
        <f t="shared" si="6"/>
        <v>Starter</v>
      </c>
      <c r="P112" t="str">
        <f>TEXT(B112, "mmmm")</f>
        <v>June</v>
      </c>
      <c r="Q112" t="str">
        <f t="shared" si="7"/>
        <v>Q2</v>
      </c>
      <c r="R112" t="str">
        <f>IFERROR(VLOOKUP(TRIM(CLEAN(G112)),Sheet14!$A$2:$B$19,2,FALSE),"Not Mapped")</f>
        <v>West</v>
      </c>
    </row>
    <row r="113" spans="1:18">
      <c r="A113" t="str">
        <f t="shared" si="4"/>
        <v>EOS0112</v>
      </c>
      <c r="B113" s="35" t="s">
        <v>399</v>
      </c>
      <c r="C113" s="1" t="s">
        <v>267</v>
      </c>
      <c r="D113" s="1" t="str">
        <f t="shared" si="5"/>
        <v>FB</v>
      </c>
      <c r="E113" s="1" t="s">
        <v>446</v>
      </c>
      <c r="F113" s="1" t="s">
        <v>447</v>
      </c>
      <c r="G113" s="1" t="s">
        <v>223</v>
      </c>
      <c r="H113" s="1" t="s">
        <v>149</v>
      </c>
      <c r="I113" s="1">
        <v>130000</v>
      </c>
      <c r="J113" s="45">
        <v>107111</v>
      </c>
      <c r="K113" s="1" t="str">
        <f>TRIM(Cleaned_CRM_Data!H113)</f>
        <v>Rejected</v>
      </c>
      <c r="L113" t="str">
        <f>IFERROR(VLOOKUP(K113, Status_Mapping!A:B, 2,), "Not Found")</f>
        <v>Rejected</v>
      </c>
      <c r="N113" s="29" t="str">
        <f>IF(M113="","",M113-B113)</f>
        <v/>
      </c>
      <c r="O113" s="1" t="str">
        <f t="shared" si="6"/>
        <v>Starter</v>
      </c>
      <c r="P113" t="str">
        <f>TEXT(B113, "mmmm")</f>
        <v>June</v>
      </c>
      <c r="Q113" t="str">
        <f t="shared" si="7"/>
        <v>Q2</v>
      </c>
      <c r="R113" t="str">
        <f>IFERROR(VLOOKUP(TRIM(CLEAN(G113)),Sheet14!$A$2:$B$19,2,FALSE),"Not Mapped")</f>
        <v>West</v>
      </c>
    </row>
    <row r="114" spans="1:18">
      <c r="A114" t="str">
        <f t="shared" si="4"/>
        <v>EOS0113</v>
      </c>
      <c r="B114" s="35" t="s">
        <v>399</v>
      </c>
      <c r="C114" s="1" t="s">
        <v>267</v>
      </c>
      <c r="D114" s="1" t="str">
        <f t="shared" si="5"/>
        <v>FB</v>
      </c>
      <c r="E114" s="1" t="s">
        <v>448</v>
      </c>
      <c r="F114" s="1" t="s">
        <v>300</v>
      </c>
      <c r="G114" s="1" t="s">
        <v>223</v>
      </c>
      <c r="H114" s="1" t="s">
        <v>149</v>
      </c>
      <c r="I114" s="1">
        <v>130000</v>
      </c>
      <c r="J114" s="45">
        <v>107112</v>
      </c>
      <c r="K114" s="1" t="str">
        <f>TRIM(Cleaned_CRM_Data!H114)</f>
        <v>Rejected</v>
      </c>
      <c r="L114" t="str">
        <f>IFERROR(VLOOKUP(K114, Status_Mapping!A:B, 2,), "Not Found")</f>
        <v>Rejected</v>
      </c>
      <c r="N114" s="29" t="str">
        <f>IF(M114="","",M114-B114)</f>
        <v/>
      </c>
      <c r="O114" s="1" t="str">
        <f t="shared" si="6"/>
        <v>Starter</v>
      </c>
      <c r="P114" t="str">
        <f>TEXT(B114, "mmmm")</f>
        <v>June</v>
      </c>
      <c r="Q114" t="str">
        <f t="shared" si="7"/>
        <v>Q2</v>
      </c>
      <c r="R114" t="str">
        <f>IFERROR(VLOOKUP(TRIM(CLEAN(G114)),Sheet14!$A$2:$B$19,2,FALSE),"Not Mapped")</f>
        <v>West</v>
      </c>
    </row>
    <row r="115" spans="1:18">
      <c r="A115" t="str">
        <f t="shared" si="4"/>
        <v>EOS0114</v>
      </c>
      <c r="B115" s="35" t="s">
        <v>399</v>
      </c>
      <c r="C115" s="1" t="s">
        <v>267</v>
      </c>
      <c r="D115" s="1" t="str">
        <f t="shared" si="5"/>
        <v>FB</v>
      </c>
      <c r="E115" s="1" t="s">
        <v>449</v>
      </c>
      <c r="F115" s="1" t="s">
        <v>296</v>
      </c>
      <c r="G115" s="1" t="s">
        <v>223</v>
      </c>
      <c r="H115" s="1" t="s">
        <v>149</v>
      </c>
      <c r="I115" s="1">
        <v>130000</v>
      </c>
      <c r="J115" s="45">
        <v>107113</v>
      </c>
      <c r="K115" s="1" t="str">
        <f>TRIM(Cleaned_CRM_Data!H115)</f>
        <v>Rejected</v>
      </c>
      <c r="L115" t="str">
        <f>IFERROR(VLOOKUP(K115, Status_Mapping!A:B, 2,), "Not Found")</f>
        <v>Rejected</v>
      </c>
      <c r="N115" s="29" t="str">
        <f>IF(M115="","",M115-B115)</f>
        <v/>
      </c>
      <c r="O115" s="1" t="str">
        <f t="shared" si="6"/>
        <v>Starter</v>
      </c>
      <c r="P115" t="str">
        <f>TEXT(B115, "mmmm")</f>
        <v>June</v>
      </c>
      <c r="Q115" t="str">
        <f t="shared" si="7"/>
        <v>Q2</v>
      </c>
      <c r="R115" t="str">
        <f>IFERROR(VLOOKUP(TRIM(CLEAN(G115)),Sheet14!$A$2:$B$19,2,FALSE),"Not Mapped")</f>
        <v>West</v>
      </c>
    </row>
    <row r="116" spans="1:18">
      <c r="A116" t="str">
        <f t="shared" si="4"/>
        <v>EOS0115</v>
      </c>
      <c r="B116" s="35" t="s">
        <v>399</v>
      </c>
      <c r="C116" s="1" t="s">
        <v>267</v>
      </c>
      <c r="D116" s="1" t="str">
        <f t="shared" si="5"/>
        <v>FB</v>
      </c>
      <c r="E116" s="1" t="s">
        <v>450</v>
      </c>
      <c r="F116" s="1" t="s">
        <v>451</v>
      </c>
      <c r="G116" s="1" t="s">
        <v>236</v>
      </c>
      <c r="H116" s="1" t="s">
        <v>149</v>
      </c>
      <c r="I116" s="1">
        <v>108000</v>
      </c>
      <c r="J116" s="45">
        <v>107114</v>
      </c>
      <c r="K116" s="1" t="str">
        <f>TRIM(Cleaned_CRM_Data!H116)</f>
        <v>Rejected</v>
      </c>
      <c r="L116" t="str">
        <f>IFERROR(VLOOKUP(K116, Status_Mapping!A:B, 2,), "Not Found")</f>
        <v>Rejected</v>
      </c>
      <c r="N116" s="29" t="str">
        <f>IF(M116="","",M116-B116)</f>
        <v/>
      </c>
      <c r="O116" s="1" t="str">
        <f t="shared" si="6"/>
        <v>Starter</v>
      </c>
      <c r="P116" t="str">
        <f>TEXT(B116, "mmmm")</f>
        <v>June</v>
      </c>
      <c r="Q116" t="str">
        <f t="shared" si="7"/>
        <v>Q2</v>
      </c>
      <c r="R116" t="str">
        <f>IFERROR(VLOOKUP(TRIM(CLEAN(G116)),Sheet14!$A$2:$B$19,2,FALSE),"Not Mapped")</f>
        <v>North</v>
      </c>
    </row>
    <row r="117" spans="1:18">
      <c r="A117" t="str">
        <f t="shared" si="4"/>
        <v>EOS0116</v>
      </c>
      <c r="B117" s="35" t="s">
        <v>399</v>
      </c>
      <c r="C117" s="1" t="s">
        <v>267</v>
      </c>
      <c r="D117" s="1" t="str">
        <f t="shared" si="5"/>
        <v>FB</v>
      </c>
      <c r="E117" s="1" t="s">
        <v>452</v>
      </c>
      <c r="F117" s="1" t="s">
        <v>453</v>
      </c>
      <c r="G117" s="1" t="s">
        <v>236</v>
      </c>
      <c r="H117" s="1" t="s">
        <v>149</v>
      </c>
      <c r="I117" s="1">
        <v>130000</v>
      </c>
      <c r="J117" s="45">
        <v>107115</v>
      </c>
      <c r="K117" s="1" t="str">
        <f>TRIM(Cleaned_CRM_Data!H117)</f>
        <v>Rejected</v>
      </c>
      <c r="L117" t="str">
        <f>IFERROR(VLOOKUP(K117, Status_Mapping!A:B, 2,), "Not Found")</f>
        <v>Rejected</v>
      </c>
      <c r="N117" s="29" t="str">
        <f>IF(M117="","",M117-B117)</f>
        <v/>
      </c>
      <c r="O117" s="1" t="str">
        <f t="shared" si="6"/>
        <v>Starter</v>
      </c>
      <c r="P117" t="str">
        <f>TEXT(B117, "mmmm")</f>
        <v>June</v>
      </c>
      <c r="Q117" t="str">
        <f t="shared" si="7"/>
        <v>Q2</v>
      </c>
      <c r="R117" t="str">
        <f>IFERROR(VLOOKUP(TRIM(CLEAN(G117)),Sheet14!$A$2:$B$19,2,FALSE),"Not Mapped")</f>
        <v>North</v>
      </c>
    </row>
    <row r="118" spans="1:18">
      <c r="A118" t="str">
        <f t="shared" si="4"/>
        <v>EOS0117</v>
      </c>
      <c r="B118" s="35" t="s">
        <v>399</v>
      </c>
      <c r="C118" s="1" t="s">
        <v>267</v>
      </c>
      <c r="D118" s="1" t="str">
        <f t="shared" si="5"/>
        <v>FB</v>
      </c>
      <c r="E118" s="1" t="s">
        <v>454</v>
      </c>
      <c r="F118" s="1" t="s">
        <v>240</v>
      </c>
      <c r="G118" s="1" t="s">
        <v>240</v>
      </c>
      <c r="H118" s="1" t="s">
        <v>149</v>
      </c>
      <c r="I118" s="1">
        <v>130000</v>
      </c>
      <c r="J118" s="45">
        <v>107116</v>
      </c>
      <c r="K118" s="1" t="str">
        <f>TRIM(Cleaned_CRM_Data!H118)</f>
        <v>Rejected</v>
      </c>
      <c r="L118" t="str">
        <f>IFERROR(VLOOKUP(K118, Status_Mapping!A:B, 2,), "Not Found")</f>
        <v>Rejected</v>
      </c>
      <c r="N118" s="29" t="str">
        <f>IF(M118="","",M118-B118)</f>
        <v/>
      </c>
      <c r="O118" s="1" t="str">
        <f t="shared" si="6"/>
        <v>Starter</v>
      </c>
      <c r="P118" t="str">
        <f>TEXT(B118, "mmmm")</f>
        <v>June</v>
      </c>
      <c r="Q118" t="str">
        <f t="shared" si="7"/>
        <v>Q2</v>
      </c>
      <c r="R118" t="str">
        <f>IFERROR(VLOOKUP(TRIM(CLEAN(G118)),Sheet14!$A$2:$B$19,2,FALSE),"Not Mapped")</f>
        <v>North</v>
      </c>
    </row>
    <row r="119" spans="1:18">
      <c r="A119" t="str">
        <f t="shared" si="4"/>
        <v>EOS0118</v>
      </c>
      <c r="B119" s="35" t="s">
        <v>399</v>
      </c>
      <c r="C119" s="1" t="s">
        <v>267</v>
      </c>
      <c r="D119" s="1" t="str">
        <f t="shared" si="5"/>
        <v>FB</v>
      </c>
      <c r="E119" s="1" t="s">
        <v>455</v>
      </c>
      <c r="F119" s="1" t="s">
        <v>456</v>
      </c>
      <c r="G119" s="1" t="s">
        <v>236</v>
      </c>
      <c r="H119" s="1" t="s">
        <v>149</v>
      </c>
      <c r="I119" s="1">
        <v>108000</v>
      </c>
      <c r="J119" s="45">
        <v>107117</v>
      </c>
      <c r="K119" s="1" t="str">
        <f>TRIM(Cleaned_CRM_Data!H119)</f>
        <v>Rejected</v>
      </c>
      <c r="L119" t="str">
        <f>IFERROR(VLOOKUP(K119, Status_Mapping!A:B, 2,), "Not Found")</f>
        <v>Rejected</v>
      </c>
      <c r="N119" s="29" t="str">
        <f>IF(M119="","",M119-B119)</f>
        <v/>
      </c>
      <c r="O119" s="1" t="str">
        <f t="shared" si="6"/>
        <v>Starter</v>
      </c>
      <c r="P119" t="str">
        <f>TEXT(B119, "mmmm")</f>
        <v>June</v>
      </c>
      <c r="Q119" t="str">
        <f t="shared" si="7"/>
        <v>Q2</v>
      </c>
      <c r="R119" t="str">
        <f>IFERROR(VLOOKUP(TRIM(CLEAN(G119)),Sheet14!$A$2:$B$19,2,FALSE),"Not Mapped")</f>
        <v>North</v>
      </c>
    </row>
    <row r="120" spans="1:18">
      <c r="A120" t="str">
        <f t="shared" si="4"/>
        <v>EOS0119</v>
      </c>
      <c r="B120" s="35" t="s">
        <v>399</v>
      </c>
      <c r="C120" s="1" t="s">
        <v>267</v>
      </c>
      <c r="D120" s="1" t="str">
        <f t="shared" si="5"/>
        <v>FB</v>
      </c>
      <c r="E120" s="1" t="s">
        <v>457</v>
      </c>
      <c r="F120" s="1" t="s">
        <v>458</v>
      </c>
      <c r="G120" s="1" t="s">
        <v>236</v>
      </c>
      <c r="H120" s="1" t="s">
        <v>149</v>
      </c>
      <c r="I120" s="1">
        <v>130000</v>
      </c>
      <c r="J120" s="45">
        <v>107118</v>
      </c>
      <c r="K120" s="1" t="str">
        <f>TRIM(Cleaned_CRM_Data!H120)</f>
        <v>Rejected</v>
      </c>
      <c r="L120" t="str">
        <f>IFERROR(VLOOKUP(K120, Status_Mapping!A:B, 2,), "Not Found")</f>
        <v>Rejected</v>
      </c>
      <c r="N120" s="29" t="str">
        <f>IF(M120="","",M120-B120)</f>
        <v/>
      </c>
      <c r="O120" s="1" t="str">
        <f t="shared" si="6"/>
        <v>Starter</v>
      </c>
      <c r="P120" t="str">
        <f>TEXT(B120, "mmmm")</f>
        <v>June</v>
      </c>
      <c r="Q120" t="str">
        <f t="shared" si="7"/>
        <v>Q2</v>
      </c>
      <c r="R120" t="str">
        <f>IFERROR(VLOOKUP(TRIM(CLEAN(G120)),Sheet14!$A$2:$B$19,2,FALSE),"Not Mapped")</f>
        <v>North</v>
      </c>
    </row>
    <row r="121" spans="1:18">
      <c r="A121" t="str">
        <f t="shared" si="4"/>
        <v>EOS0120</v>
      </c>
      <c r="B121" s="35" t="s">
        <v>399</v>
      </c>
      <c r="C121" s="1" t="s">
        <v>267</v>
      </c>
      <c r="D121" s="1" t="str">
        <f t="shared" si="5"/>
        <v>FB</v>
      </c>
      <c r="E121" s="1" t="s">
        <v>459</v>
      </c>
      <c r="F121" s="1" t="s">
        <v>460</v>
      </c>
      <c r="G121" s="1" t="s">
        <v>215</v>
      </c>
      <c r="H121" s="1" t="s">
        <v>149</v>
      </c>
      <c r="I121" s="1">
        <v>130000</v>
      </c>
      <c r="J121" s="45">
        <v>107119</v>
      </c>
      <c r="K121" s="1" t="str">
        <f>TRIM(Cleaned_CRM_Data!H121)</f>
        <v>Rejected</v>
      </c>
      <c r="L121" t="str">
        <f>IFERROR(VLOOKUP(K121, Status_Mapping!A:B, 2,), "Not Found")</f>
        <v>Rejected</v>
      </c>
      <c r="N121" s="29" t="str">
        <f>IF(M121="","",M121-B121)</f>
        <v/>
      </c>
      <c r="O121" s="1" t="str">
        <f t="shared" si="6"/>
        <v>Starter</v>
      </c>
      <c r="P121" t="str">
        <f>TEXT(B121, "mmmm")</f>
        <v>June</v>
      </c>
      <c r="Q121" t="str">
        <f t="shared" si="7"/>
        <v>Q2</v>
      </c>
      <c r="R121" t="str">
        <f>IFERROR(VLOOKUP(TRIM(CLEAN(G121)),Sheet14!$A$2:$B$19,2,FALSE),"Not Mapped")</f>
        <v>East</v>
      </c>
    </row>
    <row r="122" spans="1:18">
      <c r="A122" t="str">
        <f t="shared" si="4"/>
        <v>EOS0121</v>
      </c>
      <c r="B122" s="35" t="s">
        <v>399</v>
      </c>
      <c r="C122" s="1" t="s">
        <v>267</v>
      </c>
      <c r="D122" s="1" t="str">
        <f t="shared" si="5"/>
        <v>FB</v>
      </c>
      <c r="E122" s="1" t="s">
        <v>461</v>
      </c>
      <c r="F122" s="1" t="s">
        <v>275</v>
      </c>
      <c r="G122" s="1" t="s">
        <v>223</v>
      </c>
      <c r="H122" s="1" t="s">
        <v>149</v>
      </c>
      <c r="I122" s="1">
        <v>108000</v>
      </c>
      <c r="J122" s="45">
        <v>107120</v>
      </c>
      <c r="K122" s="1" t="str">
        <f>TRIM(Cleaned_CRM_Data!H122)</f>
        <v>Rejected</v>
      </c>
      <c r="L122" t="str">
        <f>IFERROR(VLOOKUP(K122, Status_Mapping!A:B, 2,), "Not Found")</f>
        <v>Rejected</v>
      </c>
      <c r="N122" s="29" t="str">
        <f>IF(M122="","",M122-B122)</f>
        <v/>
      </c>
      <c r="O122" s="1" t="str">
        <f t="shared" si="6"/>
        <v>Starter</v>
      </c>
      <c r="P122" t="str">
        <f>TEXT(B122, "mmmm")</f>
        <v>June</v>
      </c>
      <c r="Q122" t="str">
        <f t="shared" si="7"/>
        <v>Q2</v>
      </c>
      <c r="R122" t="str">
        <f>IFERROR(VLOOKUP(TRIM(CLEAN(G122)),Sheet14!$A$2:$B$19,2,FALSE),"Not Mapped")</f>
        <v>West</v>
      </c>
    </row>
    <row r="123" spans="1:18">
      <c r="A123" t="str">
        <f t="shared" si="4"/>
        <v>EOS0122</v>
      </c>
      <c r="B123" s="35" t="s">
        <v>399</v>
      </c>
      <c r="C123" s="1" t="s">
        <v>267</v>
      </c>
      <c r="D123" s="1" t="str">
        <f t="shared" si="5"/>
        <v>FB</v>
      </c>
      <c r="E123" s="1" t="s">
        <v>462</v>
      </c>
      <c r="F123" s="1" t="s">
        <v>300</v>
      </c>
      <c r="G123" s="1" t="s">
        <v>223</v>
      </c>
      <c r="H123" s="1" t="s">
        <v>149</v>
      </c>
      <c r="I123" s="1">
        <v>130000</v>
      </c>
      <c r="J123" s="45">
        <v>107121</v>
      </c>
      <c r="K123" s="1" t="s">
        <v>40</v>
      </c>
      <c r="L123" t="str">
        <f>IFERROR(VLOOKUP(K123, Status_Mapping!A:B, 2,), "Not Found")</f>
        <v>Converted</v>
      </c>
      <c r="N123" s="29" t="str">
        <f>IF(M123="","",M123-B123)</f>
        <v/>
      </c>
      <c r="O123" s="1" t="str">
        <f t="shared" si="6"/>
        <v>Starter</v>
      </c>
      <c r="P123" t="str">
        <f>TEXT(B123, "mmmm")</f>
        <v>June</v>
      </c>
      <c r="Q123" t="str">
        <f t="shared" si="7"/>
        <v>Q2</v>
      </c>
      <c r="R123" t="str">
        <f>IFERROR(VLOOKUP(TRIM(CLEAN(G123)),Sheet14!$A$2:$B$19,2,FALSE),"Not Mapped")</f>
        <v>West</v>
      </c>
    </row>
    <row r="124" spans="1:18">
      <c r="A124" t="str">
        <f t="shared" si="4"/>
        <v>EOS0123</v>
      </c>
      <c r="B124" s="35" t="s">
        <v>399</v>
      </c>
      <c r="C124" s="1" t="s">
        <v>267</v>
      </c>
      <c r="D124" s="1" t="str">
        <f t="shared" si="5"/>
        <v>FB</v>
      </c>
      <c r="E124" s="1" t="s">
        <v>463</v>
      </c>
      <c r="F124" s="1" t="s">
        <v>456</v>
      </c>
      <c r="G124" s="1" t="s">
        <v>236</v>
      </c>
      <c r="H124" s="1" t="s">
        <v>149</v>
      </c>
      <c r="I124" s="1">
        <v>108000</v>
      </c>
      <c r="J124" s="45">
        <v>107122</v>
      </c>
      <c r="K124" s="1" t="str">
        <f>TRIM(Cleaned_CRM_Data!H124)</f>
        <v>Rejected</v>
      </c>
      <c r="L124" t="str">
        <f>IFERROR(VLOOKUP(K124, Status_Mapping!A:B, 2,), "Not Found")</f>
        <v>Rejected</v>
      </c>
      <c r="N124" s="29" t="str">
        <f>IF(M124="","",M124-B124)</f>
        <v/>
      </c>
      <c r="O124" s="1" t="str">
        <f t="shared" si="6"/>
        <v>Starter</v>
      </c>
      <c r="P124" t="str">
        <f>TEXT(B124, "mmmm")</f>
        <v>June</v>
      </c>
      <c r="Q124" t="str">
        <f t="shared" si="7"/>
        <v>Q2</v>
      </c>
      <c r="R124" t="str">
        <f>IFERROR(VLOOKUP(TRIM(CLEAN(G124)),Sheet14!$A$2:$B$19,2,FALSE),"Not Mapped")</f>
        <v>North</v>
      </c>
    </row>
    <row r="125" spans="1:18">
      <c r="A125" t="str">
        <f t="shared" si="4"/>
        <v>EOS0124</v>
      </c>
      <c r="B125" s="35" t="s">
        <v>399</v>
      </c>
      <c r="C125" s="1" t="s">
        <v>267</v>
      </c>
      <c r="D125" s="1" t="str">
        <f t="shared" si="5"/>
        <v>FB</v>
      </c>
      <c r="E125" s="1" t="s">
        <v>464</v>
      </c>
      <c r="F125" s="1" t="s">
        <v>465</v>
      </c>
      <c r="G125" s="1" t="s">
        <v>217</v>
      </c>
      <c r="H125" s="1" t="s">
        <v>149</v>
      </c>
      <c r="I125" s="1">
        <v>108000</v>
      </c>
      <c r="J125" s="45">
        <v>107123</v>
      </c>
      <c r="K125" s="1" t="str">
        <f>TRIM(Cleaned_CRM_Data!H125)</f>
        <v>Rejected</v>
      </c>
      <c r="L125" t="str">
        <f>IFERROR(VLOOKUP(K125, Status_Mapping!A:B, 2,), "Not Found")</f>
        <v>Rejected</v>
      </c>
      <c r="N125" s="29" t="str">
        <f>IF(M125="","",M125-B125)</f>
        <v/>
      </c>
      <c r="O125" s="1" t="str">
        <f t="shared" si="6"/>
        <v>Starter</v>
      </c>
      <c r="P125" t="str">
        <f>TEXT(B125, "mmmm")</f>
        <v>June</v>
      </c>
      <c r="Q125" t="str">
        <f t="shared" si="7"/>
        <v>Q2</v>
      </c>
      <c r="R125" t="str">
        <f>IFERROR(VLOOKUP(TRIM(CLEAN(G125)),Sheet14!$A$2:$B$19,2,FALSE),"Not Mapped")</f>
        <v>Central</v>
      </c>
    </row>
    <row r="126" spans="1:18">
      <c r="A126" t="str">
        <f t="shared" si="4"/>
        <v>EOS0125</v>
      </c>
      <c r="B126" s="35" t="s">
        <v>399</v>
      </c>
      <c r="C126" s="1" t="s">
        <v>267</v>
      </c>
      <c r="D126" s="1" t="str">
        <f t="shared" si="5"/>
        <v>FB</v>
      </c>
      <c r="E126" s="1" t="s">
        <v>466</v>
      </c>
      <c r="F126" s="1" t="s">
        <v>467</v>
      </c>
      <c r="G126" s="1" t="s">
        <v>236</v>
      </c>
      <c r="H126" s="1" t="s">
        <v>40</v>
      </c>
      <c r="I126" s="1">
        <v>130000</v>
      </c>
      <c r="J126" s="45">
        <v>107124</v>
      </c>
      <c r="K126" s="1" t="str">
        <f>TRIM(Cleaned_CRM_Data!H126)</f>
        <v>Deal</v>
      </c>
      <c r="L126" t="str">
        <f>IFERROR(VLOOKUP(K126, Status_Mapping!A:B, 2,), "Not Found")</f>
        <v>Converted</v>
      </c>
      <c r="M126" s="32">
        <v>45836</v>
      </c>
      <c r="N126" s="29">
        <f>IF(M126="","",M126-B126)</f>
        <v>10</v>
      </c>
      <c r="O126" s="1" t="str">
        <f t="shared" si="6"/>
        <v>Starter</v>
      </c>
      <c r="P126" t="str">
        <f>TEXT(B126, "mmmm")</f>
        <v>June</v>
      </c>
      <c r="Q126" t="str">
        <f t="shared" si="7"/>
        <v>Q2</v>
      </c>
      <c r="R126" t="str">
        <f>IFERROR(VLOOKUP(TRIM(CLEAN(G126)),Sheet14!$A$2:$B$19,2,FALSE),"Not Mapped")</f>
        <v>North</v>
      </c>
    </row>
    <row r="127" spans="1:18">
      <c r="A127" t="str">
        <f t="shared" si="4"/>
        <v>EOS0126</v>
      </c>
      <c r="B127" s="35" t="s">
        <v>399</v>
      </c>
      <c r="C127" s="1" t="s">
        <v>267</v>
      </c>
      <c r="D127" s="1" t="str">
        <f t="shared" si="5"/>
        <v>FB</v>
      </c>
      <c r="E127" s="1" t="s">
        <v>468</v>
      </c>
      <c r="F127" s="1" t="s">
        <v>350</v>
      </c>
      <c r="G127" s="1" t="s">
        <v>223</v>
      </c>
      <c r="H127" s="1" t="s">
        <v>149</v>
      </c>
      <c r="I127" s="1">
        <v>108000</v>
      </c>
      <c r="J127" s="45">
        <v>107125</v>
      </c>
      <c r="K127" s="1" t="str">
        <f>TRIM(Cleaned_CRM_Data!H127)</f>
        <v>Rejected</v>
      </c>
      <c r="L127" t="str">
        <f>IFERROR(VLOOKUP(K127, Status_Mapping!A:B, 2,), "Not Found")</f>
        <v>Rejected</v>
      </c>
      <c r="N127" s="29" t="str">
        <f>IF(M127="","",M127-B127)</f>
        <v/>
      </c>
      <c r="O127" s="1" t="str">
        <f t="shared" si="6"/>
        <v>Starter</v>
      </c>
      <c r="P127" t="str">
        <f>TEXT(B127, "mmmm")</f>
        <v>June</v>
      </c>
      <c r="Q127" t="str">
        <f t="shared" si="7"/>
        <v>Q2</v>
      </c>
      <c r="R127" t="str">
        <f>IFERROR(VLOOKUP(TRIM(CLEAN(G127)),Sheet14!$A$2:$B$19,2,FALSE),"Not Mapped")</f>
        <v>West</v>
      </c>
    </row>
    <row r="128" spans="1:18">
      <c r="A128" t="str">
        <f t="shared" si="4"/>
        <v>EOS0127</v>
      </c>
      <c r="B128" s="35" t="s">
        <v>469</v>
      </c>
      <c r="C128" s="1" t="s">
        <v>267</v>
      </c>
      <c r="D128" s="1" t="str">
        <f t="shared" si="5"/>
        <v>FB</v>
      </c>
      <c r="E128" s="1" t="s">
        <v>470</v>
      </c>
      <c r="F128" s="1" t="s">
        <v>471</v>
      </c>
      <c r="G128" s="1" t="s">
        <v>223</v>
      </c>
      <c r="H128" s="1" t="s">
        <v>149</v>
      </c>
      <c r="I128" s="1">
        <v>108000</v>
      </c>
      <c r="J128" s="45">
        <v>107126</v>
      </c>
      <c r="K128" s="1" t="str">
        <f>TRIM(Cleaned_CRM_Data!H128)</f>
        <v>Rejected</v>
      </c>
      <c r="L128" t="str">
        <f>IFERROR(VLOOKUP(K128, Status_Mapping!A:B, 2,), "Not Found")</f>
        <v>Rejected</v>
      </c>
      <c r="N128" s="29" t="str">
        <f>IF(M128="","",M128-B128)</f>
        <v/>
      </c>
      <c r="O128" s="1" t="str">
        <f t="shared" si="6"/>
        <v>Starter</v>
      </c>
      <c r="P128" t="str">
        <f>TEXT(B128, "mmmm")</f>
        <v>June</v>
      </c>
      <c r="Q128" t="str">
        <f t="shared" si="7"/>
        <v>Q2</v>
      </c>
      <c r="R128" t="str">
        <f>IFERROR(VLOOKUP(TRIM(CLEAN(G128)),Sheet14!$A$2:$B$19,2,FALSE),"Not Mapped")</f>
        <v>West</v>
      </c>
    </row>
    <row r="129" spans="1:18">
      <c r="A129" t="str">
        <f t="shared" si="4"/>
        <v>EOS0128</v>
      </c>
      <c r="B129" s="35" t="s">
        <v>469</v>
      </c>
      <c r="C129" s="1" t="s">
        <v>267</v>
      </c>
      <c r="D129" s="1" t="str">
        <f t="shared" si="5"/>
        <v>FB</v>
      </c>
      <c r="E129" s="1" t="s">
        <v>472</v>
      </c>
      <c r="F129" s="1" t="s">
        <v>473</v>
      </c>
      <c r="G129" s="1" t="s">
        <v>223</v>
      </c>
      <c r="H129" s="1" t="s">
        <v>149</v>
      </c>
      <c r="I129" s="1">
        <v>130000</v>
      </c>
      <c r="J129" s="45">
        <v>107127</v>
      </c>
      <c r="K129" s="1" t="str">
        <f>TRIM(Cleaned_CRM_Data!H129)</f>
        <v>Rejected</v>
      </c>
      <c r="L129" t="str">
        <f>IFERROR(VLOOKUP(K129, Status_Mapping!A:B, 2,), "Not Found")</f>
        <v>Rejected</v>
      </c>
      <c r="N129" s="29" t="str">
        <f>IF(M129="","",M129-B129)</f>
        <v/>
      </c>
      <c r="O129" s="1" t="str">
        <f t="shared" si="6"/>
        <v>Starter</v>
      </c>
      <c r="P129" t="str">
        <f>TEXT(B129, "mmmm")</f>
        <v>June</v>
      </c>
      <c r="Q129" t="str">
        <f t="shared" si="7"/>
        <v>Q2</v>
      </c>
      <c r="R129" t="str">
        <f>IFERROR(VLOOKUP(TRIM(CLEAN(G129)),Sheet14!$A$2:$B$19,2,FALSE),"Not Mapped")</f>
        <v>West</v>
      </c>
    </row>
    <row r="130" spans="1:18">
      <c r="A130" t="str">
        <f t="shared" si="4"/>
        <v>EOS0129</v>
      </c>
      <c r="B130" s="35" t="s">
        <v>469</v>
      </c>
      <c r="C130" s="1" t="s">
        <v>267</v>
      </c>
      <c r="D130" s="1" t="str">
        <f t="shared" si="5"/>
        <v>FB</v>
      </c>
      <c r="E130" s="1" t="s">
        <v>474</v>
      </c>
      <c r="F130" s="1" t="s">
        <v>271</v>
      </c>
      <c r="G130" s="1" t="s">
        <v>223</v>
      </c>
      <c r="H130" s="1" t="s">
        <v>149</v>
      </c>
      <c r="I130" s="1">
        <v>108000</v>
      </c>
      <c r="J130" s="45">
        <v>107128</v>
      </c>
      <c r="K130" s="1" t="str">
        <f>TRIM(Cleaned_CRM_Data!H130)</f>
        <v>Rejected</v>
      </c>
      <c r="L130" t="str">
        <f>IFERROR(VLOOKUP(K130, Status_Mapping!A:B, 2,), "Not Found")</f>
        <v>Rejected</v>
      </c>
      <c r="N130" s="29" t="str">
        <f>IF(M130="","",M130-B130)</f>
        <v/>
      </c>
      <c r="O130" s="1" t="str">
        <f t="shared" si="6"/>
        <v>Starter</v>
      </c>
      <c r="P130" t="str">
        <f>TEXT(B130, "mmmm")</f>
        <v>June</v>
      </c>
      <c r="Q130" t="str">
        <f t="shared" si="7"/>
        <v>Q2</v>
      </c>
      <c r="R130" t="str">
        <f>IFERROR(VLOOKUP(TRIM(CLEAN(G130)),Sheet14!$A$2:$B$19,2,FALSE),"Not Mapped")</f>
        <v>West</v>
      </c>
    </row>
    <row r="131" spans="1:18">
      <c r="A131" t="str">
        <f t="shared" ref="A131:A194" si="8">"EOS"&amp;TEXT(ROW()-1,"0000")</f>
        <v>EOS0130</v>
      </c>
      <c r="B131" s="35" t="s">
        <v>469</v>
      </c>
      <c r="C131" s="1" t="s">
        <v>267</v>
      </c>
      <c r="D131" s="1" t="str">
        <f t="shared" ref="D131:D194" si="9">TRIM(CLEAN(SUBSTITUTE(C131,CHAR(160),"")))</f>
        <v>FB</v>
      </c>
      <c r="E131" s="1" t="s">
        <v>475</v>
      </c>
      <c r="F131" s="1" t="s">
        <v>304</v>
      </c>
      <c r="G131" s="1" t="s">
        <v>223</v>
      </c>
      <c r="H131" s="1" t="s">
        <v>149</v>
      </c>
      <c r="I131" s="1">
        <v>130000</v>
      </c>
      <c r="J131" s="45">
        <v>107129</v>
      </c>
      <c r="K131" s="1" t="str">
        <f>TRIM(Cleaned_CRM_Data!H131)</f>
        <v>Rejected</v>
      </c>
      <c r="L131" t="str">
        <f>IFERROR(VLOOKUP(K131, Status_Mapping!A:B, 2,), "Not Found")</f>
        <v>Rejected</v>
      </c>
      <c r="N131" s="29" t="str">
        <f>IF(M131="","",M131-B131)</f>
        <v/>
      </c>
      <c r="O131" s="1" t="str">
        <f t="shared" ref="O131:O194" si="10">IF(OR(I131=108000,I131=130000),"Starter",IF(I131=177000,"Growth","Premium"))</f>
        <v>Starter</v>
      </c>
      <c r="P131" t="str">
        <f>TEXT(B131, "mmmm")</f>
        <v>June</v>
      </c>
      <c r="Q131" t="str">
        <f t="shared" ref="Q131:Q194" si="11">"Q"&amp;ROUNDUP(MONTH(B131)/3,0)</f>
        <v>Q2</v>
      </c>
      <c r="R131" t="str">
        <f>IFERROR(VLOOKUP(TRIM(CLEAN(G131)),Sheet14!$A$2:$B$19,2,FALSE),"Not Mapped")</f>
        <v>West</v>
      </c>
    </row>
    <row r="132" spans="1:18">
      <c r="A132" t="str">
        <f t="shared" si="8"/>
        <v>EOS0131</v>
      </c>
      <c r="B132" s="35" t="s">
        <v>476</v>
      </c>
      <c r="C132" s="1" t="s">
        <v>267</v>
      </c>
      <c r="D132" s="1" t="str">
        <f t="shared" si="9"/>
        <v>FB</v>
      </c>
      <c r="E132" s="1" t="s">
        <v>477</v>
      </c>
      <c r="F132" s="1" t="s">
        <v>478</v>
      </c>
      <c r="G132" s="1" t="s">
        <v>223</v>
      </c>
      <c r="H132" s="1" t="s">
        <v>149</v>
      </c>
      <c r="I132" s="1">
        <v>130000</v>
      </c>
      <c r="J132" s="45">
        <v>107130</v>
      </c>
      <c r="K132" s="1" t="str">
        <f>TRIM(Cleaned_CRM_Data!H132)</f>
        <v>Rejected</v>
      </c>
      <c r="L132" t="str">
        <f>IFERROR(VLOOKUP(K132, Status_Mapping!A:B, 2,), "Not Found")</f>
        <v>Rejected</v>
      </c>
      <c r="N132" s="29" t="str">
        <f>IF(M132="","",M132-B132)</f>
        <v/>
      </c>
      <c r="O132" s="1" t="str">
        <f t="shared" si="10"/>
        <v>Starter</v>
      </c>
      <c r="P132" t="str">
        <f>TEXT(B132, "mmmm")</f>
        <v>June</v>
      </c>
      <c r="Q132" t="str">
        <f t="shared" si="11"/>
        <v>Q2</v>
      </c>
      <c r="R132" t="str">
        <f>IFERROR(VLOOKUP(TRIM(CLEAN(G132)),Sheet14!$A$2:$B$19,2,FALSE),"Not Mapped")</f>
        <v>West</v>
      </c>
    </row>
    <row r="133" spans="1:18">
      <c r="A133" t="str">
        <f t="shared" si="8"/>
        <v>EOS0132</v>
      </c>
      <c r="B133" s="35" t="s">
        <v>476</v>
      </c>
      <c r="C133" s="1" t="s">
        <v>267</v>
      </c>
      <c r="D133" s="1" t="str">
        <f t="shared" si="9"/>
        <v>FB</v>
      </c>
      <c r="E133" s="1" t="s">
        <v>479</v>
      </c>
      <c r="F133" s="1" t="s">
        <v>326</v>
      </c>
      <c r="G133" s="1" t="s">
        <v>223</v>
      </c>
      <c r="H133" s="1" t="s">
        <v>149</v>
      </c>
      <c r="I133" s="1">
        <v>108000</v>
      </c>
      <c r="J133" s="45">
        <v>107131</v>
      </c>
      <c r="K133" s="1" t="str">
        <f>TRIM(Cleaned_CRM_Data!H133)</f>
        <v>Rejected</v>
      </c>
      <c r="L133" t="str">
        <f>IFERROR(VLOOKUP(K133, Status_Mapping!A:B, 2,), "Not Found")</f>
        <v>Rejected</v>
      </c>
      <c r="N133" s="29" t="str">
        <f>IF(M133="","",M133-B133)</f>
        <v/>
      </c>
      <c r="O133" s="1" t="str">
        <f t="shared" si="10"/>
        <v>Starter</v>
      </c>
      <c r="P133" t="str">
        <f>TEXT(B133, "mmmm")</f>
        <v>June</v>
      </c>
      <c r="Q133" t="str">
        <f t="shared" si="11"/>
        <v>Q2</v>
      </c>
      <c r="R133" t="str">
        <f>IFERROR(VLOOKUP(TRIM(CLEAN(G133)),Sheet14!$A$2:$B$19,2,FALSE),"Not Mapped")</f>
        <v>West</v>
      </c>
    </row>
    <row r="134" spans="1:18">
      <c r="A134" t="str">
        <f t="shared" si="8"/>
        <v>EOS0133</v>
      </c>
      <c r="B134" s="35" t="s">
        <v>480</v>
      </c>
      <c r="C134" s="1" t="s">
        <v>267</v>
      </c>
      <c r="D134" s="1" t="str">
        <f t="shared" si="9"/>
        <v>FB</v>
      </c>
      <c r="E134" s="1" t="s">
        <v>481</v>
      </c>
      <c r="F134" s="1"/>
      <c r="G134" s="1" t="s">
        <v>213</v>
      </c>
      <c r="H134" s="1" t="s">
        <v>149</v>
      </c>
      <c r="I134" s="1">
        <v>130000</v>
      </c>
      <c r="J134" s="45">
        <v>107132</v>
      </c>
      <c r="K134" s="1" t="str">
        <f>TRIM(Cleaned_CRM_Data!H134)</f>
        <v>Rejected</v>
      </c>
      <c r="L134" t="str">
        <f>IFERROR(VLOOKUP(K134, Status_Mapping!A:B, 2,), "Not Found")</f>
        <v>Rejected</v>
      </c>
      <c r="N134" s="29" t="str">
        <f>IF(M134="","",M134-B134)</f>
        <v/>
      </c>
      <c r="O134" s="1" t="str">
        <f t="shared" si="10"/>
        <v>Starter</v>
      </c>
      <c r="P134" t="str">
        <f>TEXT(B134, "mmmm")</f>
        <v>June</v>
      </c>
      <c r="Q134" t="str">
        <f t="shared" si="11"/>
        <v>Q2</v>
      </c>
      <c r="R134" t="str">
        <f>IFERROR(VLOOKUP(TRIM(CLEAN(G134)),Sheet14!$A$1:$B$19,2,FALSE),"Not Mapped")</f>
        <v>East</v>
      </c>
    </row>
    <row r="135" spans="1:18">
      <c r="A135" t="str">
        <f t="shared" si="8"/>
        <v>EOS0134</v>
      </c>
      <c r="B135" s="35" t="s">
        <v>480</v>
      </c>
      <c r="C135" s="1" t="s">
        <v>267</v>
      </c>
      <c r="D135" s="1" t="str">
        <f t="shared" si="9"/>
        <v>FB</v>
      </c>
      <c r="E135" s="1" t="s">
        <v>482</v>
      </c>
      <c r="F135" s="1" t="s">
        <v>483</v>
      </c>
      <c r="G135" s="1" t="s">
        <v>215</v>
      </c>
      <c r="H135" s="1" t="s">
        <v>149</v>
      </c>
      <c r="I135" s="1">
        <v>130000</v>
      </c>
      <c r="J135" s="45">
        <v>107133</v>
      </c>
      <c r="K135" s="1" t="str">
        <f>TRIM(Cleaned_CRM_Data!H135)</f>
        <v>Rejected</v>
      </c>
      <c r="L135" t="str">
        <f>IFERROR(VLOOKUP(K135, Status_Mapping!A:B, 2,), "Not Found")</f>
        <v>Rejected</v>
      </c>
      <c r="N135" s="29" t="str">
        <f>IF(M135="","",M135-B135)</f>
        <v/>
      </c>
      <c r="O135" s="1" t="str">
        <f t="shared" si="10"/>
        <v>Starter</v>
      </c>
      <c r="P135" t="str">
        <f>TEXT(B135, "mmmm")</f>
        <v>June</v>
      </c>
      <c r="Q135" t="str">
        <f t="shared" si="11"/>
        <v>Q2</v>
      </c>
      <c r="R135" t="str">
        <f>IFERROR(VLOOKUP(TRIM(CLEAN(G135)),Sheet14!$A$2:$B$19,2,FALSE),"Not Mapped")</f>
        <v>East</v>
      </c>
    </row>
    <row r="136" spans="1:18">
      <c r="A136" t="str">
        <f t="shared" si="8"/>
        <v>EOS0135</v>
      </c>
      <c r="B136" s="35" t="s">
        <v>480</v>
      </c>
      <c r="C136" s="1" t="s">
        <v>267</v>
      </c>
      <c r="D136" s="1" t="str">
        <f t="shared" si="9"/>
        <v>FB</v>
      </c>
      <c r="E136" s="1" t="s">
        <v>484</v>
      </c>
      <c r="F136" s="1" t="s">
        <v>271</v>
      </c>
      <c r="G136" s="1" t="s">
        <v>223</v>
      </c>
      <c r="H136" s="1" t="s">
        <v>149</v>
      </c>
      <c r="I136" s="1">
        <v>177000</v>
      </c>
      <c r="J136" s="45">
        <v>107134</v>
      </c>
      <c r="K136" s="1" t="str">
        <f>TRIM(Cleaned_CRM_Data!H136)</f>
        <v>Rejected</v>
      </c>
      <c r="L136" t="str">
        <f>IFERROR(VLOOKUP(K136, Status_Mapping!A:B, 2,), "Not Found")</f>
        <v>Rejected</v>
      </c>
      <c r="N136" s="29" t="str">
        <f>IF(M136="","",M136-B136)</f>
        <v/>
      </c>
      <c r="O136" s="1" t="str">
        <f t="shared" si="10"/>
        <v>Growth</v>
      </c>
      <c r="P136" t="str">
        <f>TEXT(B136, "mmmm")</f>
        <v>June</v>
      </c>
      <c r="Q136" t="str">
        <f t="shared" si="11"/>
        <v>Q2</v>
      </c>
      <c r="R136" t="str">
        <f>IFERROR(VLOOKUP(TRIM(CLEAN(G136)),Sheet14!$A$2:$B$19,2,FALSE),"Not Mapped")</f>
        <v>West</v>
      </c>
    </row>
    <row r="137" spans="1:18">
      <c r="A137" t="str">
        <f t="shared" si="8"/>
        <v>EOS0136</v>
      </c>
      <c r="B137" s="35" t="s">
        <v>480</v>
      </c>
      <c r="C137" s="1" t="s">
        <v>267</v>
      </c>
      <c r="D137" s="1" t="str">
        <f t="shared" si="9"/>
        <v>FB</v>
      </c>
      <c r="E137" s="1" t="s">
        <v>485</v>
      </c>
      <c r="F137" s="1" t="s">
        <v>300</v>
      </c>
      <c r="G137" s="1" t="s">
        <v>223</v>
      </c>
      <c r="H137" s="1" t="s">
        <v>149</v>
      </c>
      <c r="I137" s="1">
        <v>130000</v>
      </c>
      <c r="J137" s="45">
        <v>107135</v>
      </c>
      <c r="K137" s="1" t="str">
        <f>TRIM(Cleaned_CRM_Data!H137)</f>
        <v>Rejected</v>
      </c>
      <c r="L137" t="str">
        <f>IFERROR(VLOOKUP(K137, Status_Mapping!A:B, 2,), "Not Found")</f>
        <v>Rejected</v>
      </c>
      <c r="N137" s="29" t="str">
        <f>IF(M137="","",M137-B137)</f>
        <v/>
      </c>
      <c r="O137" s="1" t="str">
        <f t="shared" si="10"/>
        <v>Starter</v>
      </c>
      <c r="P137" t="str">
        <f>TEXT(B137, "mmmm")</f>
        <v>June</v>
      </c>
      <c r="Q137" t="str">
        <f t="shared" si="11"/>
        <v>Q2</v>
      </c>
      <c r="R137" t="str">
        <f>IFERROR(VLOOKUP(TRIM(CLEAN(G137)),Sheet14!$A$2:$B$19,2,FALSE),"Not Mapped")</f>
        <v>West</v>
      </c>
    </row>
    <row r="138" spans="1:18">
      <c r="A138" t="str">
        <f t="shared" si="8"/>
        <v>EOS0137</v>
      </c>
      <c r="B138" s="35" t="s">
        <v>480</v>
      </c>
      <c r="C138" s="1" t="s">
        <v>267</v>
      </c>
      <c r="D138" s="1" t="str">
        <f t="shared" si="9"/>
        <v>FB</v>
      </c>
      <c r="E138" s="1" t="s">
        <v>486</v>
      </c>
      <c r="F138" s="1" t="s">
        <v>304</v>
      </c>
      <c r="G138" s="1" t="s">
        <v>223</v>
      </c>
      <c r="H138" s="1" t="s">
        <v>149</v>
      </c>
      <c r="I138" s="1">
        <v>108000</v>
      </c>
      <c r="J138" s="45">
        <v>107136</v>
      </c>
      <c r="K138" s="1" t="str">
        <f>TRIM(Cleaned_CRM_Data!H138)</f>
        <v>Rejected</v>
      </c>
      <c r="L138" t="str">
        <f>IFERROR(VLOOKUP(K138, Status_Mapping!A:B, 2,), "Not Found")</f>
        <v>Rejected</v>
      </c>
      <c r="N138" s="29" t="str">
        <f>IF(M138="","",M138-B138)</f>
        <v/>
      </c>
      <c r="O138" s="1" t="str">
        <f t="shared" si="10"/>
        <v>Starter</v>
      </c>
      <c r="P138" t="str">
        <f>TEXT(B138, "mmmm")</f>
        <v>June</v>
      </c>
      <c r="Q138" t="str">
        <f t="shared" si="11"/>
        <v>Q2</v>
      </c>
      <c r="R138" t="str">
        <f>IFERROR(VLOOKUP(TRIM(CLEAN(G138)),Sheet14!$A$2:$B$19,2,FALSE),"Not Mapped")</f>
        <v>West</v>
      </c>
    </row>
    <row r="139" spans="1:18">
      <c r="A139" t="str">
        <f t="shared" si="8"/>
        <v>EOS0138</v>
      </c>
      <c r="B139" s="35" t="s">
        <v>480</v>
      </c>
      <c r="C139" s="1" t="s">
        <v>267</v>
      </c>
      <c r="D139" s="1" t="str">
        <f t="shared" si="9"/>
        <v>FB</v>
      </c>
      <c r="E139" s="1" t="s">
        <v>487</v>
      </c>
      <c r="F139" s="1" t="s">
        <v>300</v>
      </c>
      <c r="G139" s="1" t="s">
        <v>223</v>
      </c>
      <c r="H139" s="1" t="s">
        <v>149</v>
      </c>
      <c r="I139" s="1">
        <v>177000</v>
      </c>
      <c r="J139" s="45">
        <v>107137</v>
      </c>
      <c r="K139" s="1" t="str">
        <f>TRIM(Cleaned_CRM_Data!H139)</f>
        <v>Rejected</v>
      </c>
      <c r="L139" t="str">
        <f>IFERROR(VLOOKUP(K139, Status_Mapping!A:B, 2,), "Not Found")</f>
        <v>Rejected</v>
      </c>
      <c r="N139" s="29" t="str">
        <f>IF(M139="","",M139-B139)</f>
        <v/>
      </c>
      <c r="O139" s="1" t="str">
        <f t="shared" si="10"/>
        <v>Growth</v>
      </c>
      <c r="P139" t="str">
        <f>TEXT(B139, "mmmm")</f>
        <v>June</v>
      </c>
      <c r="Q139" t="str">
        <f t="shared" si="11"/>
        <v>Q2</v>
      </c>
      <c r="R139" t="str">
        <f>IFERROR(VLOOKUP(TRIM(CLEAN(G139)),Sheet14!$A$2:$B$19,2,FALSE),"Not Mapped")</f>
        <v>West</v>
      </c>
    </row>
    <row r="140" spans="1:18">
      <c r="A140" t="str">
        <f t="shared" si="8"/>
        <v>EOS0139</v>
      </c>
      <c r="B140" s="35" t="s">
        <v>480</v>
      </c>
      <c r="C140" s="1" t="s">
        <v>267</v>
      </c>
      <c r="D140" s="1" t="str">
        <f t="shared" si="9"/>
        <v>FB</v>
      </c>
      <c r="E140" s="1" t="s">
        <v>488</v>
      </c>
      <c r="F140" s="1" t="s">
        <v>489</v>
      </c>
      <c r="G140" s="1" t="s">
        <v>223</v>
      </c>
      <c r="H140" s="1" t="s">
        <v>149</v>
      </c>
      <c r="I140" s="1">
        <v>108000</v>
      </c>
      <c r="J140" s="45">
        <v>107138</v>
      </c>
      <c r="K140" s="1" t="str">
        <f>TRIM(Cleaned_CRM_Data!H140)</f>
        <v>Rejected</v>
      </c>
      <c r="L140" t="str">
        <f>IFERROR(VLOOKUP(K140, Status_Mapping!A:B, 2,), "Not Found")</f>
        <v>Rejected</v>
      </c>
      <c r="N140" s="29" t="str">
        <f>IF(M140="","",M140-B140)</f>
        <v/>
      </c>
      <c r="O140" s="1" t="str">
        <f t="shared" si="10"/>
        <v>Starter</v>
      </c>
      <c r="P140" t="str">
        <f>TEXT(B140, "mmmm")</f>
        <v>June</v>
      </c>
      <c r="Q140" t="str">
        <f t="shared" si="11"/>
        <v>Q2</v>
      </c>
      <c r="R140" t="str">
        <f>IFERROR(VLOOKUP(TRIM(CLEAN(G140)),Sheet14!$A$2:$B$19,2,FALSE),"Not Mapped")</f>
        <v>West</v>
      </c>
    </row>
    <row r="141" spans="1:18">
      <c r="A141" t="str">
        <f t="shared" si="8"/>
        <v>EOS0140</v>
      </c>
      <c r="B141" s="35" t="s">
        <v>480</v>
      </c>
      <c r="C141" s="1" t="s">
        <v>267</v>
      </c>
      <c r="D141" s="1" t="str">
        <f t="shared" si="9"/>
        <v>FB</v>
      </c>
      <c r="E141" s="1" t="s">
        <v>490</v>
      </c>
      <c r="F141" s="1" t="s">
        <v>491</v>
      </c>
      <c r="G141" s="1" t="s">
        <v>223</v>
      </c>
      <c r="H141" s="1" t="s">
        <v>149</v>
      </c>
      <c r="I141" s="1">
        <v>108000</v>
      </c>
      <c r="J141" s="45">
        <v>107139</v>
      </c>
      <c r="K141" s="1" t="str">
        <f>TRIM(Cleaned_CRM_Data!H141)</f>
        <v>Rejected</v>
      </c>
      <c r="L141" t="str">
        <f>IFERROR(VLOOKUP(K141, Status_Mapping!A:B, 2,), "Not Found")</f>
        <v>Rejected</v>
      </c>
      <c r="N141" s="29" t="str">
        <f>IF(M141="","",M141-B141)</f>
        <v/>
      </c>
      <c r="O141" s="1" t="str">
        <f t="shared" si="10"/>
        <v>Starter</v>
      </c>
      <c r="P141" t="str">
        <f>TEXT(B141, "mmmm")</f>
        <v>June</v>
      </c>
      <c r="Q141" t="str">
        <f t="shared" si="11"/>
        <v>Q2</v>
      </c>
      <c r="R141" t="str">
        <f>IFERROR(VLOOKUP(TRIM(CLEAN(G141)),Sheet14!$A$2:$B$19,2,FALSE),"Not Mapped")</f>
        <v>West</v>
      </c>
    </row>
    <row r="142" spans="1:18">
      <c r="A142" t="str">
        <f t="shared" si="8"/>
        <v>EOS0141</v>
      </c>
      <c r="B142" s="35" t="s">
        <v>480</v>
      </c>
      <c r="C142" s="1" t="s">
        <v>267</v>
      </c>
      <c r="D142" s="1" t="str">
        <f t="shared" si="9"/>
        <v>FB</v>
      </c>
      <c r="E142" s="1" t="s">
        <v>492</v>
      </c>
      <c r="F142" s="1" t="s">
        <v>271</v>
      </c>
      <c r="G142" s="1" t="s">
        <v>223</v>
      </c>
      <c r="H142" s="1" t="s">
        <v>149</v>
      </c>
      <c r="I142" s="1">
        <v>130000</v>
      </c>
      <c r="J142" s="45">
        <v>107140</v>
      </c>
      <c r="K142" s="1" t="str">
        <f>TRIM(Cleaned_CRM_Data!H142)</f>
        <v>Rejected</v>
      </c>
      <c r="L142" t="str">
        <f>IFERROR(VLOOKUP(K142, Status_Mapping!A:B, 2,), "Not Found")</f>
        <v>Rejected</v>
      </c>
      <c r="N142" s="29" t="str">
        <f>IF(M142="","",M142-B142)</f>
        <v/>
      </c>
      <c r="O142" s="1" t="str">
        <f t="shared" si="10"/>
        <v>Starter</v>
      </c>
      <c r="P142" t="str">
        <f>TEXT(B142, "mmmm")</f>
        <v>June</v>
      </c>
      <c r="Q142" t="str">
        <f t="shared" si="11"/>
        <v>Q2</v>
      </c>
      <c r="R142" t="str">
        <f>IFERROR(VLOOKUP(TRIM(CLEAN(G142)),Sheet14!$A$2:$B$19,2,FALSE),"Not Mapped")</f>
        <v>West</v>
      </c>
    </row>
    <row r="143" spans="1:18">
      <c r="A143" t="str">
        <f t="shared" si="8"/>
        <v>EOS0142</v>
      </c>
      <c r="B143" s="35" t="s">
        <v>480</v>
      </c>
      <c r="C143" s="1" t="s">
        <v>267</v>
      </c>
      <c r="D143" s="1" t="str">
        <f t="shared" si="9"/>
        <v>FB</v>
      </c>
      <c r="E143" s="1" t="s">
        <v>493</v>
      </c>
      <c r="F143" s="1" t="s">
        <v>304</v>
      </c>
      <c r="G143" s="1" t="s">
        <v>223</v>
      </c>
      <c r="H143" s="1" t="s">
        <v>149</v>
      </c>
      <c r="I143" s="1">
        <v>130000</v>
      </c>
      <c r="J143" s="45">
        <v>107141</v>
      </c>
      <c r="K143" s="1" t="str">
        <f>TRIM(Cleaned_CRM_Data!H143)</f>
        <v>Rejected</v>
      </c>
      <c r="L143" t="str">
        <f>IFERROR(VLOOKUP(K143, Status_Mapping!A:B, 2,), "Not Found")</f>
        <v>Rejected</v>
      </c>
      <c r="N143" s="29" t="str">
        <f>IF(M143="","",M143-B143)</f>
        <v/>
      </c>
      <c r="O143" s="1" t="str">
        <f t="shared" si="10"/>
        <v>Starter</v>
      </c>
      <c r="P143" t="str">
        <f>TEXT(B143, "mmmm")</f>
        <v>June</v>
      </c>
      <c r="Q143" t="str">
        <f t="shared" si="11"/>
        <v>Q2</v>
      </c>
      <c r="R143" t="str">
        <f>IFERROR(VLOOKUP(TRIM(CLEAN(G143)),Sheet14!$A$2:$B$19,2,FALSE),"Not Mapped")</f>
        <v>West</v>
      </c>
    </row>
    <row r="144" spans="1:18">
      <c r="A144" t="str">
        <f t="shared" si="8"/>
        <v>EOS0143</v>
      </c>
      <c r="B144" s="35" t="s">
        <v>480</v>
      </c>
      <c r="C144" s="1" t="s">
        <v>267</v>
      </c>
      <c r="D144" s="1" t="str">
        <f t="shared" si="9"/>
        <v>FB</v>
      </c>
      <c r="E144" s="1" t="s">
        <v>494</v>
      </c>
      <c r="F144" s="1" t="s">
        <v>300</v>
      </c>
      <c r="G144" s="1" t="s">
        <v>223</v>
      </c>
      <c r="H144" s="1" t="s">
        <v>149</v>
      </c>
      <c r="I144" s="1">
        <v>130000</v>
      </c>
      <c r="J144" s="45">
        <v>107142</v>
      </c>
      <c r="K144" s="1" t="str">
        <f>TRIM(Cleaned_CRM_Data!H144)</f>
        <v>Rejected</v>
      </c>
      <c r="L144" t="str">
        <f>IFERROR(VLOOKUP(K144, Status_Mapping!A:B, 2,), "Not Found")</f>
        <v>Rejected</v>
      </c>
      <c r="N144" s="29" t="str">
        <f>IF(M144="","",M144-B144)</f>
        <v/>
      </c>
      <c r="O144" s="1" t="str">
        <f t="shared" si="10"/>
        <v>Starter</v>
      </c>
      <c r="P144" t="str">
        <f>TEXT(B144, "mmmm")</f>
        <v>June</v>
      </c>
      <c r="Q144" t="str">
        <f t="shared" si="11"/>
        <v>Q2</v>
      </c>
      <c r="R144" t="str">
        <f>IFERROR(VLOOKUP(TRIM(CLEAN(G144)),Sheet14!$A$2:$B$19,2,FALSE),"Not Mapped")</f>
        <v>West</v>
      </c>
    </row>
    <row r="145" spans="1:18">
      <c r="A145" t="str">
        <f t="shared" si="8"/>
        <v>EOS0144</v>
      </c>
      <c r="B145" s="35" t="s">
        <v>480</v>
      </c>
      <c r="C145" s="1" t="s">
        <v>267</v>
      </c>
      <c r="D145" s="1" t="str">
        <f t="shared" si="9"/>
        <v>FB</v>
      </c>
      <c r="E145" s="1" t="s">
        <v>495</v>
      </c>
      <c r="F145" s="1" t="s">
        <v>496</v>
      </c>
      <c r="G145" s="1" t="s">
        <v>223</v>
      </c>
      <c r="H145" s="1" t="s">
        <v>149</v>
      </c>
      <c r="I145" s="1">
        <v>130000</v>
      </c>
      <c r="J145" s="45">
        <v>107143</v>
      </c>
      <c r="K145" s="1" t="str">
        <f>TRIM(Cleaned_CRM_Data!H145)</f>
        <v>Rejected</v>
      </c>
      <c r="L145" t="str">
        <f>IFERROR(VLOOKUP(K145, Status_Mapping!A:B, 2,), "Not Found")</f>
        <v>Rejected</v>
      </c>
      <c r="N145" s="29" t="str">
        <f>IF(M145="","",M145-B145)</f>
        <v/>
      </c>
      <c r="O145" s="1" t="str">
        <f t="shared" si="10"/>
        <v>Starter</v>
      </c>
      <c r="P145" t="str">
        <f>TEXT(B145, "mmmm")</f>
        <v>June</v>
      </c>
      <c r="Q145" t="str">
        <f t="shared" si="11"/>
        <v>Q2</v>
      </c>
      <c r="R145" t="str">
        <f>IFERROR(VLOOKUP(TRIM(CLEAN(G145)),Sheet14!$A$2:$B$19,2,FALSE),"Not Mapped")</f>
        <v>West</v>
      </c>
    </row>
    <row r="146" spans="1:18">
      <c r="A146" t="str">
        <f t="shared" si="8"/>
        <v>EOS0145</v>
      </c>
      <c r="B146" s="35" t="s">
        <v>480</v>
      </c>
      <c r="C146" s="1" t="s">
        <v>267</v>
      </c>
      <c r="D146" s="1" t="str">
        <f t="shared" si="9"/>
        <v>FB</v>
      </c>
      <c r="E146" s="1" t="s">
        <v>497</v>
      </c>
      <c r="F146" s="1" t="s">
        <v>271</v>
      </c>
      <c r="G146" s="1" t="s">
        <v>223</v>
      </c>
      <c r="H146" s="1" t="s">
        <v>149</v>
      </c>
      <c r="I146" s="1">
        <v>108000</v>
      </c>
      <c r="J146" s="45">
        <v>107144</v>
      </c>
      <c r="K146" s="1" t="str">
        <f>TRIM(Cleaned_CRM_Data!H146)</f>
        <v>Rejected</v>
      </c>
      <c r="L146" t="str">
        <f>IFERROR(VLOOKUP(K146, Status_Mapping!A:B, 2,), "Not Found")</f>
        <v>Rejected</v>
      </c>
      <c r="N146" s="29" t="str">
        <f>IF(M146="","",M146-B146)</f>
        <v/>
      </c>
      <c r="O146" s="1" t="str">
        <f t="shared" si="10"/>
        <v>Starter</v>
      </c>
      <c r="P146" t="str">
        <f>TEXT(B146, "mmmm")</f>
        <v>June</v>
      </c>
      <c r="Q146" t="str">
        <f t="shared" si="11"/>
        <v>Q2</v>
      </c>
      <c r="R146" t="str">
        <f>IFERROR(VLOOKUP(TRIM(CLEAN(G146)),Sheet14!$A$2:$B$19,2,FALSE),"Not Mapped")</f>
        <v>West</v>
      </c>
    </row>
    <row r="147" spans="1:18">
      <c r="A147" t="str">
        <f t="shared" si="8"/>
        <v>EOS0146</v>
      </c>
      <c r="B147" s="35" t="s">
        <v>480</v>
      </c>
      <c r="C147" s="1" t="s">
        <v>267</v>
      </c>
      <c r="D147" s="1" t="str">
        <f t="shared" si="9"/>
        <v>FB</v>
      </c>
      <c r="E147" s="1" t="s">
        <v>498</v>
      </c>
      <c r="F147" s="1" t="s">
        <v>321</v>
      </c>
      <c r="G147" s="1" t="s">
        <v>223</v>
      </c>
      <c r="H147" s="1" t="s">
        <v>149</v>
      </c>
      <c r="I147" s="1">
        <v>130000</v>
      </c>
      <c r="J147" s="45">
        <v>107145</v>
      </c>
      <c r="K147" s="1" t="str">
        <f>TRIM(Cleaned_CRM_Data!H147)</f>
        <v>Rejected</v>
      </c>
      <c r="L147" t="str">
        <f>IFERROR(VLOOKUP(K147, Status_Mapping!A:B, 2,), "Not Found")</f>
        <v>Rejected</v>
      </c>
      <c r="N147" s="29" t="str">
        <f>IF(M147="","",M147-B147)</f>
        <v/>
      </c>
      <c r="O147" s="1" t="str">
        <f t="shared" si="10"/>
        <v>Starter</v>
      </c>
      <c r="P147" t="str">
        <f>TEXT(B147, "mmmm")</f>
        <v>June</v>
      </c>
      <c r="Q147" t="str">
        <f t="shared" si="11"/>
        <v>Q2</v>
      </c>
      <c r="R147" t="str">
        <f>IFERROR(VLOOKUP(TRIM(CLEAN(G147)),Sheet14!$A$2:$B$19,2,FALSE),"Not Mapped")</f>
        <v>West</v>
      </c>
    </row>
    <row r="148" spans="1:18">
      <c r="A148" t="str">
        <f t="shared" si="8"/>
        <v>EOS0147</v>
      </c>
      <c r="B148" s="35" t="s">
        <v>480</v>
      </c>
      <c r="C148" s="1" t="s">
        <v>267</v>
      </c>
      <c r="D148" s="1" t="str">
        <f t="shared" si="9"/>
        <v>FB</v>
      </c>
      <c r="E148" s="1" t="s">
        <v>499</v>
      </c>
      <c r="F148" s="1" t="s">
        <v>500</v>
      </c>
      <c r="G148" s="1" t="s">
        <v>223</v>
      </c>
      <c r="H148" s="1" t="s">
        <v>149</v>
      </c>
      <c r="I148" s="1">
        <v>130000</v>
      </c>
      <c r="J148" s="45">
        <v>107146</v>
      </c>
      <c r="K148" s="1" t="str">
        <f>TRIM(Cleaned_CRM_Data!H148)</f>
        <v>Rejected</v>
      </c>
      <c r="L148" t="str">
        <f>IFERROR(VLOOKUP(K148, Status_Mapping!A:B, 2,), "Not Found")</f>
        <v>Rejected</v>
      </c>
      <c r="N148" s="29" t="str">
        <f>IF(M148="","",M148-B148)</f>
        <v/>
      </c>
      <c r="O148" s="1" t="str">
        <f t="shared" si="10"/>
        <v>Starter</v>
      </c>
      <c r="P148" t="str">
        <f>TEXT(B148, "mmmm")</f>
        <v>June</v>
      </c>
      <c r="Q148" t="str">
        <f t="shared" si="11"/>
        <v>Q2</v>
      </c>
      <c r="R148" t="str">
        <f>IFERROR(VLOOKUP(TRIM(CLEAN(G148)),Sheet14!$A$2:$B$19,2,FALSE),"Not Mapped")</f>
        <v>West</v>
      </c>
    </row>
    <row r="149" spans="1:18">
      <c r="A149" t="str">
        <f t="shared" si="8"/>
        <v>EOS0148</v>
      </c>
      <c r="B149" s="35" t="s">
        <v>480</v>
      </c>
      <c r="C149" s="1" t="s">
        <v>267</v>
      </c>
      <c r="D149" s="1" t="str">
        <f t="shared" si="9"/>
        <v>FB</v>
      </c>
      <c r="E149" s="1">
        <v>1</v>
      </c>
      <c r="F149" s="1" t="s">
        <v>501</v>
      </c>
      <c r="G149" s="1" t="s">
        <v>223</v>
      </c>
      <c r="H149" s="1" t="s">
        <v>149</v>
      </c>
      <c r="I149" s="1">
        <v>130000</v>
      </c>
      <c r="J149" s="45">
        <v>107147</v>
      </c>
      <c r="K149" s="1" t="str">
        <f>TRIM(Cleaned_CRM_Data!H149)</f>
        <v>Rejected</v>
      </c>
      <c r="L149" t="str">
        <f>IFERROR(VLOOKUP(K149, Status_Mapping!A:B, 2,), "Not Found")</f>
        <v>Rejected</v>
      </c>
      <c r="N149" s="29" t="str">
        <f>IF(M149="","",M149-B149)</f>
        <v/>
      </c>
      <c r="O149" s="1" t="str">
        <f t="shared" si="10"/>
        <v>Starter</v>
      </c>
      <c r="P149" t="str">
        <f>TEXT(B149, "mmmm")</f>
        <v>June</v>
      </c>
      <c r="Q149" t="str">
        <f t="shared" si="11"/>
        <v>Q2</v>
      </c>
      <c r="R149" t="str">
        <f>IFERROR(VLOOKUP(TRIM(CLEAN(G149)),Sheet14!$A$2:$B$19,2,FALSE),"Not Mapped")</f>
        <v>West</v>
      </c>
    </row>
    <row r="150" spans="1:18">
      <c r="A150" t="str">
        <f t="shared" si="8"/>
        <v>EOS0149</v>
      </c>
      <c r="B150" s="35" t="s">
        <v>480</v>
      </c>
      <c r="C150" s="1" t="s">
        <v>267</v>
      </c>
      <c r="D150" s="1" t="str">
        <f t="shared" si="9"/>
        <v>FB</v>
      </c>
      <c r="E150" s="1" t="s">
        <v>502</v>
      </c>
      <c r="F150" s="1" t="s">
        <v>326</v>
      </c>
      <c r="G150" s="1" t="s">
        <v>223</v>
      </c>
      <c r="H150" s="1" t="s">
        <v>149</v>
      </c>
      <c r="I150" s="1">
        <v>130000</v>
      </c>
      <c r="J150" s="45">
        <v>107148</v>
      </c>
      <c r="K150" s="1" t="s">
        <v>40</v>
      </c>
      <c r="L150" t="str">
        <f>IFERROR(VLOOKUP(K150, Status_Mapping!A:B, 2,), "Not Found")</f>
        <v>Converted</v>
      </c>
      <c r="N150" s="29" t="str">
        <f>IF(M150="","",M150-B150)</f>
        <v/>
      </c>
      <c r="O150" s="1" t="str">
        <f t="shared" si="10"/>
        <v>Starter</v>
      </c>
      <c r="P150" t="str">
        <f>TEXT(B150, "mmmm")</f>
        <v>June</v>
      </c>
      <c r="Q150" t="str">
        <f t="shared" si="11"/>
        <v>Q2</v>
      </c>
      <c r="R150" t="str">
        <f>IFERROR(VLOOKUP(TRIM(CLEAN(G150)),Sheet14!$A$2:$B$19,2,FALSE),"Not Mapped")</f>
        <v>West</v>
      </c>
    </row>
    <row r="151" spans="1:18">
      <c r="A151" t="str">
        <f t="shared" si="8"/>
        <v>EOS0150</v>
      </c>
      <c r="B151" s="35" t="s">
        <v>480</v>
      </c>
      <c r="C151" s="1" t="s">
        <v>267</v>
      </c>
      <c r="D151" s="1" t="str">
        <f t="shared" si="9"/>
        <v>FB</v>
      </c>
      <c r="E151" s="1" t="s">
        <v>503</v>
      </c>
      <c r="F151" s="1" t="s">
        <v>296</v>
      </c>
      <c r="G151" s="1" t="s">
        <v>223</v>
      </c>
      <c r="H151" s="1" t="s">
        <v>149</v>
      </c>
      <c r="I151" s="1">
        <v>130000</v>
      </c>
      <c r="J151" s="45">
        <v>107149</v>
      </c>
      <c r="K151" s="1" t="s">
        <v>40</v>
      </c>
      <c r="L151" t="str">
        <f>IFERROR(VLOOKUP(K151, Status_Mapping!A:B, 2,), "Not Found")</f>
        <v>Converted</v>
      </c>
      <c r="N151" s="29" t="str">
        <f>IF(M151="","",M151-B151)</f>
        <v/>
      </c>
      <c r="O151" s="1" t="str">
        <f t="shared" si="10"/>
        <v>Starter</v>
      </c>
      <c r="P151" t="str">
        <f>TEXT(B151, "mmmm")</f>
        <v>June</v>
      </c>
      <c r="Q151" t="str">
        <f t="shared" si="11"/>
        <v>Q2</v>
      </c>
      <c r="R151" t="str">
        <f>IFERROR(VLOOKUP(TRIM(CLEAN(G151)),Sheet14!$A$2:$B$19,2,FALSE),"Not Mapped")</f>
        <v>West</v>
      </c>
    </row>
    <row r="152" spans="1:18">
      <c r="A152" t="str">
        <f t="shared" si="8"/>
        <v>EOS0151</v>
      </c>
      <c r="B152" s="35" t="s">
        <v>480</v>
      </c>
      <c r="C152" s="1" t="s">
        <v>267</v>
      </c>
      <c r="D152" s="1" t="str">
        <f t="shared" si="9"/>
        <v>FB</v>
      </c>
      <c r="E152" s="1" t="s">
        <v>504</v>
      </c>
      <c r="F152" s="1" t="s">
        <v>505</v>
      </c>
      <c r="G152" s="1" t="s">
        <v>223</v>
      </c>
      <c r="H152" s="1" t="s">
        <v>149</v>
      </c>
      <c r="I152" s="1">
        <v>130000</v>
      </c>
      <c r="J152" s="45">
        <v>107150</v>
      </c>
      <c r="K152" s="1" t="str">
        <f>TRIM(Cleaned_CRM_Data!H152)</f>
        <v>Rejected</v>
      </c>
      <c r="L152" t="str">
        <f>IFERROR(VLOOKUP(K152, Status_Mapping!A:B, 2,), "Not Found")</f>
        <v>Rejected</v>
      </c>
      <c r="N152" s="29" t="str">
        <f>IF(M152="","",M152-B152)</f>
        <v/>
      </c>
      <c r="O152" s="1" t="str">
        <f t="shared" si="10"/>
        <v>Starter</v>
      </c>
      <c r="P152" t="str">
        <f>TEXT(B152, "mmmm")</f>
        <v>June</v>
      </c>
      <c r="Q152" t="str">
        <f t="shared" si="11"/>
        <v>Q2</v>
      </c>
      <c r="R152" t="str">
        <f>IFERROR(VLOOKUP(TRIM(CLEAN(G152)),Sheet14!$A$2:$B$19,2,FALSE),"Not Mapped")</f>
        <v>West</v>
      </c>
    </row>
    <row r="153" spans="1:18">
      <c r="A153" t="str">
        <f t="shared" si="8"/>
        <v>EOS0152</v>
      </c>
      <c r="B153" s="35" t="s">
        <v>480</v>
      </c>
      <c r="C153" s="1" t="s">
        <v>267</v>
      </c>
      <c r="D153" s="1" t="str">
        <f t="shared" si="9"/>
        <v>FB</v>
      </c>
      <c r="E153" s="1" t="s">
        <v>506</v>
      </c>
      <c r="F153" s="1" t="s">
        <v>507</v>
      </c>
      <c r="G153" s="1" t="s">
        <v>223</v>
      </c>
      <c r="H153" s="1" t="s">
        <v>149</v>
      </c>
      <c r="I153" s="1">
        <v>108000</v>
      </c>
      <c r="J153" s="45">
        <v>107151</v>
      </c>
      <c r="K153" s="1" t="str">
        <f>TRIM(Cleaned_CRM_Data!H153)</f>
        <v>Rejected</v>
      </c>
      <c r="L153" t="str">
        <f>IFERROR(VLOOKUP(K153, Status_Mapping!A:B, 2,), "Not Found")</f>
        <v>Rejected</v>
      </c>
      <c r="N153" s="29" t="str">
        <f>IF(M153="","",M153-B153)</f>
        <v/>
      </c>
      <c r="O153" s="1" t="str">
        <f t="shared" si="10"/>
        <v>Starter</v>
      </c>
      <c r="P153" t="str">
        <f>TEXT(B153, "mmmm")</f>
        <v>June</v>
      </c>
      <c r="Q153" t="str">
        <f t="shared" si="11"/>
        <v>Q2</v>
      </c>
      <c r="R153" t="str">
        <f>IFERROR(VLOOKUP(TRIM(CLEAN(G153)),Sheet14!$A$2:$B$19,2,FALSE),"Not Mapped")</f>
        <v>West</v>
      </c>
    </row>
    <row r="154" spans="1:18">
      <c r="A154" t="str">
        <f t="shared" si="8"/>
        <v>EOS0153</v>
      </c>
      <c r="B154" s="35" t="s">
        <v>480</v>
      </c>
      <c r="C154" s="1" t="s">
        <v>267</v>
      </c>
      <c r="D154" s="1" t="str">
        <f t="shared" si="9"/>
        <v>FB</v>
      </c>
      <c r="E154" s="1" t="s">
        <v>508</v>
      </c>
      <c r="F154" s="1" t="s">
        <v>336</v>
      </c>
      <c r="G154" s="1" t="s">
        <v>223</v>
      </c>
      <c r="H154" s="1" t="s">
        <v>40</v>
      </c>
      <c r="I154" s="1">
        <v>108000</v>
      </c>
      <c r="J154" s="45">
        <v>107152</v>
      </c>
      <c r="K154" s="1" t="str">
        <f>TRIM(Cleaned_CRM_Data!H154)</f>
        <v>Deal</v>
      </c>
      <c r="L154" t="str">
        <f>IFERROR(VLOOKUP(K154, Status_Mapping!A:B, 2,), "Not Found")</f>
        <v>Converted</v>
      </c>
      <c r="M154" s="32">
        <v>45843</v>
      </c>
      <c r="N154" s="29">
        <f>IF(M154="","",M154-B154)</f>
        <v>12</v>
      </c>
      <c r="O154" s="1" t="str">
        <f t="shared" si="10"/>
        <v>Starter</v>
      </c>
      <c r="P154" t="str">
        <f>TEXT(B154, "mmmm")</f>
        <v>June</v>
      </c>
      <c r="Q154" t="str">
        <f t="shared" si="11"/>
        <v>Q2</v>
      </c>
      <c r="R154" t="str">
        <f>IFERROR(VLOOKUP(TRIM(CLEAN(G154)),Sheet14!$A$2:$B$19,2,FALSE),"Not Mapped")</f>
        <v>West</v>
      </c>
    </row>
    <row r="155" spans="1:18">
      <c r="A155" t="str">
        <f t="shared" si="8"/>
        <v>EOS0154</v>
      </c>
      <c r="B155" s="35" t="s">
        <v>480</v>
      </c>
      <c r="C155" s="1" t="s">
        <v>267</v>
      </c>
      <c r="D155" s="1" t="str">
        <f t="shared" si="9"/>
        <v>FB</v>
      </c>
      <c r="E155" s="1" t="s">
        <v>509</v>
      </c>
      <c r="F155" s="1" t="s">
        <v>510</v>
      </c>
      <c r="G155" s="1" t="s">
        <v>223</v>
      </c>
      <c r="H155" s="1" t="s">
        <v>149</v>
      </c>
      <c r="I155" s="1">
        <v>108000</v>
      </c>
      <c r="J155" s="45">
        <v>107153</v>
      </c>
      <c r="K155" s="1" t="str">
        <f>TRIM(Cleaned_CRM_Data!H155)</f>
        <v>Rejected</v>
      </c>
      <c r="L155" t="str">
        <f>IFERROR(VLOOKUP(K155, Status_Mapping!A:B, 2,), "Not Found")</f>
        <v>Rejected</v>
      </c>
      <c r="N155" s="29" t="str">
        <f>IF(M155="","",M155-B155)</f>
        <v/>
      </c>
      <c r="O155" s="1" t="str">
        <f t="shared" si="10"/>
        <v>Starter</v>
      </c>
      <c r="P155" t="str">
        <f>TEXT(B155, "mmmm")</f>
        <v>June</v>
      </c>
      <c r="Q155" t="str">
        <f t="shared" si="11"/>
        <v>Q2</v>
      </c>
      <c r="R155" t="str">
        <f>IFERROR(VLOOKUP(TRIM(CLEAN(G155)),Sheet14!$A$2:$B$19,2,FALSE),"Not Mapped")</f>
        <v>West</v>
      </c>
    </row>
    <row r="156" spans="1:18">
      <c r="A156" t="str">
        <f t="shared" si="8"/>
        <v>EOS0155</v>
      </c>
      <c r="B156" s="35" t="s">
        <v>480</v>
      </c>
      <c r="C156" s="1" t="s">
        <v>267</v>
      </c>
      <c r="D156" s="1" t="str">
        <f t="shared" si="9"/>
        <v>FB</v>
      </c>
      <c r="E156" s="1" t="s">
        <v>511</v>
      </c>
      <c r="F156" s="1" t="s">
        <v>512</v>
      </c>
      <c r="G156" s="1" t="s">
        <v>223</v>
      </c>
      <c r="H156" s="1" t="s">
        <v>149</v>
      </c>
      <c r="I156" s="1">
        <v>108000</v>
      </c>
      <c r="J156" s="45">
        <v>107154</v>
      </c>
      <c r="K156" s="1" t="str">
        <f>TRIM(Cleaned_CRM_Data!H156)</f>
        <v>Rejected</v>
      </c>
      <c r="L156" t="str">
        <f>IFERROR(VLOOKUP(K156, Status_Mapping!A:B, 2,), "Not Found")</f>
        <v>Rejected</v>
      </c>
      <c r="N156" s="29" t="str">
        <f>IF(M156="","",M156-B156)</f>
        <v/>
      </c>
      <c r="O156" s="1" t="str">
        <f t="shared" si="10"/>
        <v>Starter</v>
      </c>
      <c r="P156" t="str">
        <f>TEXT(B156, "mmmm")</f>
        <v>June</v>
      </c>
      <c r="Q156" t="str">
        <f t="shared" si="11"/>
        <v>Q2</v>
      </c>
      <c r="R156" t="str">
        <f>IFERROR(VLOOKUP(TRIM(CLEAN(G156)),Sheet14!$A$2:$B$19,2,FALSE),"Not Mapped")</f>
        <v>West</v>
      </c>
    </row>
    <row r="157" spans="1:18">
      <c r="A157" t="str">
        <f t="shared" si="8"/>
        <v>EOS0156</v>
      </c>
      <c r="B157" s="35" t="s">
        <v>480</v>
      </c>
      <c r="C157" s="1" t="s">
        <v>267</v>
      </c>
      <c r="D157" s="1" t="str">
        <f t="shared" si="9"/>
        <v>FB</v>
      </c>
      <c r="E157" s="1" t="s">
        <v>513</v>
      </c>
      <c r="F157" s="1" t="s">
        <v>275</v>
      </c>
      <c r="G157" s="1" t="s">
        <v>223</v>
      </c>
      <c r="H157" s="1" t="s">
        <v>149</v>
      </c>
      <c r="I157" s="1">
        <v>130000</v>
      </c>
      <c r="J157" s="45">
        <v>107155</v>
      </c>
      <c r="K157" s="1" t="str">
        <f>TRIM(Cleaned_CRM_Data!H157)</f>
        <v>Rejected</v>
      </c>
      <c r="L157" t="str">
        <f>IFERROR(VLOOKUP(K157, Status_Mapping!A:B, 2,), "Not Found")</f>
        <v>Rejected</v>
      </c>
      <c r="N157" s="29" t="str">
        <f>IF(M157="","",M157-B157)</f>
        <v/>
      </c>
      <c r="O157" s="1" t="str">
        <f t="shared" si="10"/>
        <v>Starter</v>
      </c>
      <c r="P157" t="str">
        <f>TEXT(B157, "mmmm")</f>
        <v>June</v>
      </c>
      <c r="Q157" t="str">
        <f t="shared" si="11"/>
        <v>Q2</v>
      </c>
      <c r="R157" t="str">
        <f>IFERROR(VLOOKUP(TRIM(CLEAN(G157)),Sheet14!$A$2:$B$19,2,FALSE),"Not Mapped")</f>
        <v>West</v>
      </c>
    </row>
    <row r="158" spans="1:18">
      <c r="A158" t="str">
        <f t="shared" si="8"/>
        <v>EOS0157</v>
      </c>
      <c r="B158" s="35" t="s">
        <v>480</v>
      </c>
      <c r="C158" s="1" t="s">
        <v>267</v>
      </c>
      <c r="D158" s="1" t="str">
        <f t="shared" si="9"/>
        <v>FB</v>
      </c>
      <c r="E158" s="1" t="s">
        <v>514</v>
      </c>
      <c r="F158" s="1" t="s">
        <v>321</v>
      </c>
      <c r="G158" s="1" t="s">
        <v>223</v>
      </c>
      <c r="H158" s="1" t="s">
        <v>149</v>
      </c>
      <c r="I158" s="1">
        <v>177000</v>
      </c>
      <c r="J158" s="45">
        <v>107156</v>
      </c>
      <c r="K158" s="1" t="str">
        <f>TRIM(Cleaned_CRM_Data!H158)</f>
        <v>Rejected</v>
      </c>
      <c r="L158" t="str">
        <f>IFERROR(VLOOKUP(K158, Status_Mapping!A:B, 2,), "Not Found")</f>
        <v>Rejected</v>
      </c>
      <c r="N158" s="29" t="str">
        <f>IF(M158="","",M158-B158)</f>
        <v/>
      </c>
      <c r="O158" s="1" t="str">
        <f t="shared" si="10"/>
        <v>Growth</v>
      </c>
      <c r="P158" t="str">
        <f>TEXT(B158, "mmmm")</f>
        <v>June</v>
      </c>
      <c r="Q158" t="str">
        <f t="shared" si="11"/>
        <v>Q2</v>
      </c>
      <c r="R158" t="str">
        <f>IFERROR(VLOOKUP(TRIM(CLEAN(G158)),Sheet14!$A$2:$B$19,2,FALSE),"Not Mapped")</f>
        <v>West</v>
      </c>
    </row>
    <row r="159" spans="1:18">
      <c r="A159" t="str">
        <f t="shared" si="8"/>
        <v>EOS0158</v>
      </c>
      <c r="B159" s="35" t="s">
        <v>480</v>
      </c>
      <c r="C159" s="1" t="s">
        <v>267</v>
      </c>
      <c r="D159" s="1" t="str">
        <f t="shared" si="9"/>
        <v>FB</v>
      </c>
      <c r="E159" s="1" t="s">
        <v>515</v>
      </c>
      <c r="F159" s="1" t="s">
        <v>326</v>
      </c>
      <c r="G159" s="1" t="s">
        <v>223</v>
      </c>
      <c r="H159" s="1" t="s">
        <v>149</v>
      </c>
      <c r="I159" s="1">
        <v>108000</v>
      </c>
      <c r="J159" s="45">
        <v>107157</v>
      </c>
      <c r="K159" s="1" t="str">
        <f>TRIM(Cleaned_CRM_Data!H159)</f>
        <v>Rejected</v>
      </c>
      <c r="L159" t="str">
        <f>IFERROR(VLOOKUP(K159, Status_Mapping!A:B, 2,), "Not Found")</f>
        <v>Rejected</v>
      </c>
      <c r="N159" s="29" t="str">
        <f>IF(M159="","",M159-B159)</f>
        <v/>
      </c>
      <c r="O159" s="1" t="str">
        <f t="shared" si="10"/>
        <v>Starter</v>
      </c>
      <c r="P159" t="str">
        <f>TEXT(B159, "mmmm")</f>
        <v>June</v>
      </c>
      <c r="Q159" t="str">
        <f t="shared" si="11"/>
        <v>Q2</v>
      </c>
      <c r="R159" t="str">
        <f>IFERROR(VLOOKUP(TRIM(CLEAN(G159)),Sheet14!$A$2:$B$19,2,FALSE),"Not Mapped")</f>
        <v>West</v>
      </c>
    </row>
    <row r="160" spans="1:18">
      <c r="A160" t="str">
        <f t="shared" si="8"/>
        <v>EOS0159</v>
      </c>
      <c r="B160" s="35" t="s">
        <v>480</v>
      </c>
      <c r="C160" s="1" t="s">
        <v>267</v>
      </c>
      <c r="D160" s="1" t="str">
        <f t="shared" si="9"/>
        <v>FB</v>
      </c>
      <c r="E160" s="1" t="s">
        <v>516</v>
      </c>
      <c r="F160" s="1" t="s">
        <v>296</v>
      </c>
      <c r="G160" s="1" t="s">
        <v>223</v>
      </c>
      <c r="H160" s="1" t="s">
        <v>149</v>
      </c>
      <c r="I160" s="1">
        <v>130000</v>
      </c>
      <c r="J160" s="45">
        <v>107158</v>
      </c>
      <c r="K160" s="1" t="str">
        <f>TRIM(Cleaned_CRM_Data!H160)</f>
        <v>Rejected</v>
      </c>
      <c r="L160" t="str">
        <f>IFERROR(VLOOKUP(K160, Status_Mapping!A:B, 2,), "Not Found")</f>
        <v>Rejected</v>
      </c>
      <c r="N160" s="29" t="str">
        <f>IF(M160="","",M160-B160)</f>
        <v/>
      </c>
      <c r="O160" s="1" t="str">
        <f t="shared" si="10"/>
        <v>Starter</v>
      </c>
      <c r="P160" t="str">
        <f>TEXT(B160, "mmmm")</f>
        <v>June</v>
      </c>
      <c r="Q160" t="str">
        <f t="shared" si="11"/>
        <v>Q2</v>
      </c>
      <c r="R160" t="str">
        <f>IFERROR(VLOOKUP(TRIM(CLEAN(G160)),Sheet14!$A$2:$B$19,2,FALSE),"Not Mapped")</f>
        <v>West</v>
      </c>
    </row>
    <row r="161" spans="1:18">
      <c r="A161" t="str">
        <f t="shared" si="8"/>
        <v>EOS0160</v>
      </c>
      <c r="B161" s="35" t="s">
        <v>480</v>
      </c>
      <c r="C161" s="1" t="s">
        <v>267</v>
      </c>
      <c r="D161" s="1" t="str">
        <f t="shared" si="9"/>
        <v>FB</v>
      </c>
      <c r="E161" s="1" t="s">
        <v>517</v>
      </c>
      <c r="F161" s="1" t="s">
        <v>518</v>
      </c>
      <c r="G161" s="1" t="s">
        <v>223</v>
      </c>
      <c r="H161" s="1" t="s">
        <v>149</v>
      </c>
      <c r="I161" s="1">
        <v>130000</v>
      </c>
      <c r="J161" s="45">
        <v>107159</v>
      </c>
      <c r="K161" s="1" t="str">
        <f>TRIM(Cleaned_CRM_Data!H161)</f>
        <v>Rejected</v>
      </c>
      <c r="L161" t="str">
        <f>IFERROR(VLOOKUP(K161, Status_Mapping!A:B, 2,), "Not Found")</f>
        <v>Rejected</v>
      </c>
      <c r="N161" s="29" t="str">
        <f>IF(M161="","",M161-B161)</f>
        <v/>
      </c>
      <c r="O161" s="1" t="str">
        <f t="shared" si="10"/>
        <v>Starter</v>
      </c>
      <c r="P161" t="str">
        <f>TEXT(B161, "mmmm")</f>
        <v>June</v>
      </c>
      <c r="Q161" t="str">
        <f t="shared" si="11"/>
        <v>Q2</v>
      </c>
      <c r="R161" t="str">
        <f>IFERROR(VLOOKUP(TRIM(CLEAN(G161)),Sheet14!$A$2:$B$19,2,FALSE),"Not Mapped")</f>
        <v>West</v>
      </c>
    </row>
    <row r="162" spans="1:18">
      <c r="A162" t="str">
        <f t="shared" si="8"/>
        <v>EOS0161</v>
      </c>
      <c r="B162" s="35" t="s">
        <v>480</v>
      </c>
      <c r="C162" s="1" t="s">
        <v>267</v>
      </c>
      <c r="D162" s="1" t="str">
        <f t="shared" si="9"/>
        <v>FB</v>
      </c>
      <c r="E162" s="1" t="s">
        <v>519</v>
      </c>
      <c r="F162" s="1" t="s">
        <v>496</v>
      </c>
      <c r="G162" s="1" t="s">
        <v>223</v>
      </c>
      <c r="H162" s="1" t="s">
        <v>40</v>
      </c>
      <c r="I162" s="1">
        <v>130000</v>
      </c>
      <c r="J162" s="45">
        <v>107160</v>
      </c>
      <c r="K162" s="1" t="str">
        <f>TRIM(Cleaned_CRM_Data!H162)</f>
        <v>Deal</v>
      </c>
      <c r="L162" t="str">
        <f>IFERROR(VLOOKUP(K162, Status_Mapping!A:B, 2,), "Not Found")</f>
        <v>Converted</v>
      </c>
      <c r="M162" s="34">
        <v>45838</v>
      </c>
      <c r="N162" s="29">
        <f>IF(M162="","",M162-B162)</f>
        <v>7</v>
      </c>
      <c r="O162" s="1" t="str">
        <f t="shared" si="10"/>
        <v>Starter</v>
      </c>
      <c r="P162" t="str">
        <f>TEXT(B162, "mmmm")</f>
        <v>June</v>
      </c>
      <c r="Q162" t="str">
        <f t="shared" si="11"/>
        <v>Q2</v>
      </c>
      <c r="R162" t="str">
        <f>IFERROR(VLOOKUP(TRIM(CLEAN(G162)),Sheet14!$A$2:$B$19,2,FALSE),"Not Mapped")</f>
        <v>West</v>
      </c>
    </row>
    <row r="163" spans="1:18">
      <c r="A163" t="str">
        <f t="shared" si="8"/>
        <v>EOS0162</v>
      </c>
      <c r="B163" s="35" t="s">
        <v>480</v>
      </c>
      <c r="C163" s="1" t="s">
        <v>267</v>
      </c>
      <c r="D163" s="1" t="str">
        <f t="shared" si="9"/>
        <v>FB</v>
      </c>
      <c r="E163" s="1" t="s">
        <v>520</v>
      </c>
      <c r="F163" s="1" t="s">
        <v>275</v>
      </c>
      <c r="G163" s="1" t="s">
        <v>223</v>
      </c>
      <c r="H163" s="1" t="s">
        <v>149</v>
      </c>
      <c r="I163" s="1">
        <v>130000</v>
      </c>
      <c r="J163" s="45">
        <v>107161</v>
      </c>
      <c r="K163" s="1" t="str">
        <f>TRIM(Cleaned_CRM_Data!H163)</f>
        <v>Rejected</v>
      </c>
      <c r="L163" t="str">
        <f>IFERROR(VLOOKUP(K163, Status_Mapping!A:B, 2,), "Not Found")</f>
        <v>Rejected</v>
      </c>
      <c r="N163" s="29" t="str">
        <f>IF(M163="","",M163-B163)</f>
        <v/>
      </c>
      <c r="O163" s="1" t="str">
        <f t="shared" si="10"/>
        <v>Starter</v>
      </c>
      <c r="P163" t="str">
        <f>TEXT(B163, "mmmm")</f>
        <v>June</v>
      </c>
      <c r="Q163" t="str">
        <f t="shared" si="11"/>
        <v>Q2</v>
      </c>
      <c r="R163" t="str">
        <f>IFERROR(VLOOKUP(TRIM(CLEAN(G163)),Sheet14!$A$2:$B$19,2,FALSE),"Not Mapped")</f>
        <v>West</v>
      </c>
    </row>
    <row r="164" spans="1:18">
      <c r="A164" t="str">
        <f t="shared" si="8"/>
        <v>EOS0163</v>
      </c>
      <c r="B164" s="36">
        <v>45834</v>
      </c>
      <c r="C164" s="2" t="s">
        <v>267</v>
      </c>
      <c r="D164" s="1" t="str">
        <f t="shared" si="9"/>
        <v>FB</v>
      </c>
      <c r="E164" s="2" t="s">
        <v>521</v>
      </c>
      <c r="F164" s="2" t="s">
        <v>522</v>
      </c>
      <c r="G164" s="9" t="s">
        <v>223</v>
      </c>
      <c r="H164" s="2" t="s">
        <v>40</v>
      </c>
      <c r="I164" s="1">
        <v>130000</v>
      </c>
      <c r="J164" s="45">
        <v>107162</v>
      </c>
      <c r="K164" s="1" t="str">
        <f>TRIM(Cleaned_CRM_Data!H164)</f>
        <v>Deal</v>
      </c>
      <c r="L164" t="str">
        <f>IFERROR(VLOOKUP(K164, Status_Mapping!A:B, 2,), "Not Found")</f>
        <v>Converted</v>
      </c>
      <c r="M164" s="32">
        <v>45839</v>
      </c>
      <c r="N164" s="29">
        <f>IF(M164="","",M164-B164)</f>
        <v>5</v>
      </c>
      <c r="O164" s="1" t="str">
        <f t="shared" si="10"/>
        <v>Starter</v>
      </c>
      <c r="P164" t="str">
        <f>TEXT(B164, "mmmm")</f>
        <v>June</v>
      </c>
      <c r="Q164" t="str">
        <f t="shared" si="11"/>
        <v>Q2</v>
      </c>
      <c r="R164" t="str">
        <f>IFERROR(VLOOKUP(TRIM(CLEAN(G164)),Sheet14!$A$2:$B$19,2,FALSE),"Not Mapped")</f>
        <v>West</v>
      </c>
    </row>
    <row r="165" spans="1:18">
      <c r="A165" t="str">
        <f t="shared" si="8"/>
        <v>EOS0164</v>
      </c>
      <c r="B165" s="35" t="s">
        <v>523</v>
      </c>
      <c r="C165" s="1" t="s">
        <v>267</v>
      </c>
      <c r="D165" s="1" t="str">
        <f t="shared" si="9"/>
        <v>FB</v>
      </c>
      <c r="E165" s="1" t="s">
        <v>524</v>
      </c>
      <c r="F165" s="1" t="s">
        <v>300</v>
      </c>
      <c r="G165" s="1" t="s">
        <v>223</v>
      </c>
      <c r="H165" s="1" t="s">
        <v>149</v>
      </c>
      <c r="I165" s="1">
        <v>130000</v>
      </c>
      <c r="J165" s="45">
        <v>107163</v>
      </c>
      <c r="K165" s="1" t="str">
        <f>TRIM(Cleaned_CRM_Data!H165)</f>
        <v>Rejected</v>
      </c>
      <c r="L165" t="str">
        <f>IFERROR(VLOOKUP(K165, Status_Mapping!A:B, 2,), "Not Found")</f>
        <v>Rejected</v>
      </c>
      <c r="N165" s="29" t="str">
        <f>IF(M165="","",M165-B165)</f>
        <v/>
      </c>
      <c r="O165" s="1" t="str">
        <f t="shared" si="10"/>
        <v>Starter</v>
      </c>
      <c r="P165" t="str">
        <f>TEXT(B165, "mmmm")</f>
        <v>June</v>
      </c>
      <c r="Q165" t="str">
        <f t="shared" si="11"/>
        <v>Q2</v>
      </c>
      <c r="R165" t="str">
        <f>IFERROR(VLOOKUP(TRIM(CLEAN(G165)),Sheet14!$A$2:$B$19,2,FALSE),"Not Mapped")</f>
        <v>West</v>
      </c>
    </row>
    <row r="166" spans="1:18">
      <c r="A166" t="str">
        <f t="shared" si="8"/>
        <v>EOS0165</v>
      </c>
      <c r="B166" s="35" t="s">
        <v>523</v>
      </c>
      <c r="C166" s="1" t="s">
        <v>267</v>
      </c>
      <c r="D166" s="1" t="str">
        <f t="shared" si="9"/>
        <v>FB</v>
      </c>
      <c r="E166" s="1" t="s">
        <v>525</v>
      </c>
      <c r="F166" s="1" t="s">
        <v>412</v>
      </c>
      <c r="G166" s="1" t="s">
        <v>223</v>
      </c>
      <c r="H166" s="1" t="s">
        <v>149</v>
      </c>
      <c r="I166" s="1">
        <v>177000</v>
      </c>
      <c r="J166" s="45">
        <v>107164</v>
      </c>
      <c r="K166" s="1" t="str">
        <f>TRIM(Cleaned_CRM_Data!H166)</f>
        <v>Rejected</v>
      </c>
      <c r="L166" t="str">
        <f>IFERROR(VLOOKUP(K166, Status_Mapping!A:B, 2,), "Not Found")</f>
        <v>Rejected</v>
      </c>
      <c r="N166" s="29" t="str">
        <f>IF(M166="","",M166-B166)</f>
        <v/>
      </c>
      <c r="O166" s="1" t="str">
        <f t="shared" si="10"/>
        <v>Growth</v>
      </c>
      <c r="P166" t="str">
        <f>TEXT(B166, "mmmm")</f>
        <v>June</v>
      </c>
      <c r="Q166" t="str">
        <f t="shared" si="11"/>
        <v>Q2</v>
      </c>
      <c r="R166" t="str">
        <f>IFERROR(VLOOKUP(TRIM(CLEAN(G166)),Sheet14!$A$2:$B$19,2,FALSE),"Not Mapped")</f>
        <v>West</v>
      </c>
    </row>
    <row r="167" spans="1:18">
      <c r="A167" t="str">
        <f t="shared" si="8"/>
        <v>EOS0166</v>
      </c>
      <c r="B167" s="35" t="s">
        <v>523</v>
      </c>
      <c r="C167" s="1" t="s">
        <v>267</v>
      </c>
      <c r="D167" s="1" t="str">
        <f t="shared" si="9"/>
        <v>FB</v>
      </c>
      <c r="E167" s="1" t="s">
        <v>526</v>
      </c>
      <c r="F167" s="1" t="s">
        <v>527</v>
      </c>
      <c r="G167" s="1" t="s">
        <v>236</v>
      </c>
      <c r="H167" s="1" t="s">
        <v>149</v>
      </c>
      <c r="I167" s="1">
        <v>130000</v>
      </c>
      <c r="J167" s="45">
        <v>107165</v>
      </c>
      <c r="K167" s="1" t="str">
        <f>TRIM(Cleaned_CRM_Data!H167)</f>
        <v>Rejected</v>
      </c>
      <c r="L167" t="str">
        <f>IFERROR(VLOOKUP(K167, Status_Mapping!A:B, 2,), "Not Found")</f>
        <v>Rejected</v>
      </c>
      <c r="N167" s="29" t="str">
        <f>IF(M167="","",M167-B167)</f>
        <v/>
      </c>
      <c r="O167" s="1" t="str">
        <f t="shared" si="10"/>
        <v>Starter</v>
      </c>
      <c r="P167" t="str">
        <f>TEXT(B167, "mmmm")</f>
        <v>June</v>
      </c>
      <c r="Q167" t="str">
        <f t="shared" si="11"/>
        <v>Q2</v>
      </c>
      <c r="R167" t="str">
        <f>IFERROR(VLOOKUP(TRIM(CLEAN(G167)),Sheet14!$A$2:$B$19,2,FALSE),"Not Mapped")</f>
        <v>North</v>
      </c>
    </row>
    <row r="168" spans="1:18">
      <c r="A168" t="str">
        <f t="shared" si="8"/>
        <v>EOS0167</v>
      </c>
      <c r="B168" s="35" t="s">
        <v>523</v>
      </c>
      <c r="C168" s="1" t="s">
        <v>267</v>
      </c>
      <c r="D168" s="1" t="str">
        <f t="shared" si="9"/>
        <v>FB</v>
      </c>
      <c r="E168" s="1" t="s">
        <v>528</v>
      </c>
      <c r="F168" s="1" t="s">
        <v>529</v>
      </c>
      <c r="G168" s="1" t="s">
        <v>239</v>
      </c>
      <c r="H168" s="1" t="s">
        <v>149</v>
      </c>
      <c r="I168" s="1">
        <v>130000</v>
      </c>
      <c r="J168" s="45">
        <v>107166</v>
      </c>
      <c r="K168" s="1" t="str">
        <f>TRIM(Cleaned_CRM_Data!H168)</f>
        <v>Rejected</v>
      </c>
      <c r="L168" t="str">
        <f>IFERROR(VLOOKUP(K168, Status_Mapping!A:B, 2,), "Not Found")</f>
        <v>Rejected</v>
      </c>
      <c r="N168" s="29" t="str">
        <f>IF(M168="","",M168-B168)</f>
        <v/>
      </c>
      <c r="O168" s="1" t="str">
        <f t="shared" si="10"/>
        <v>Starter</v>
      </c>
      <c r="P168" t="str">
        <f>TEXT(B168, "mmmm")</f>
        <v>June</v>
      </c>
      <c r="Q168" t="str">
        <f t="shared" si="11"/>
        <v>Q2</v>
      </c>
      <c r="R168" t="str">
        <f>IFERROR(VLOOKUP(TRIM(CLEAN(G168)),Sheet14!$A$2:$B$19,2,FALSE),"Not Mapped")</f>
        <v>East</v>
      </c>
    </row>
    <row r="169" spans="1:18">
      <c r="A169" t="str">
        <f t="shared" si="8"/>
        <v>EOS0168</v>
      </c>
      <c r="B169" s="35" t="s">
        <v>523</v>
      </c>
      <c r="C169" s="1" t="s">
        <v>267</v>
      </c>
      <c r="D169" s="1" t="str">
        <f t="shared" si="9"/>
        <v>FB</v>
      </c>
      <c r="E169" s="1" t="s">
        <v>530</v>
      </c>
      <c r="F169" s="1" t="s">
        <v>304</v>
      </c>
      <c r="G169" s="1" t="s">
        <v>223</v>
      </c>
      <c r="H169" s="1" t="s">
        <v>149</v>
      </c>
      <c r="I169" s="1">
        <v>130000</v>
      </c>
      <c r="J169" s="45">
        <v>107167</v>
      </c>
      <c r="K169" s="1" t="str">
        <f>TRIM(Cleaned_CRM_Data!H169)</f>
        <v>Rejected</v>
      </c>
      <c r="L169" t="str">
        <f>IFERROR(VLOOKUP(K169, Status_Mapping!A:B, 2,), "Not Found")</f>
        <v>Rejected</v>
      </c>
      <c r="N169" s="29" t="str">
        <f>IF(M169="","",M169-B169)</f>
        <v/>
      </c>
      <c r="O169" s="1" t="str">
        <f t="shared" si="10"/>
        <v>Starter</v>
      </c>
      <c r="P169" t="str">
        <f>TEXT(B169, "mmmm")</f>
        <v>June</v>
      </c>
      <c r="Q169" t="str">
        <f t="shared" si="11"/>
        <v>Q2</v>
      </c>
      <c r="R169" t="str">
        <f>IFERROR(VLOOKUP(TRIM(CLEAN(G169)),Sheet14!$A$2:$B$19,2,FALSE),"Not Mapped")</f>
        <v>West</v>
      </c>
    </row>
    <row r="170" spans="1:18">
      <c r="A170" t="str">
        <f t="shared" si="8"/>
        <v>EOS0169</v>
      </c>
      <c r="B170" s="35" t="s">
        <v>531</v>
      </c>
      <c r="C170" s="1" t="s">
        <v>267</v>
      </c>
      <c r="D170" s="1" t="str">
        <f t="shared" si="9"/>
        <v>FB</v>
      </c>
      <c r="E170" s="1" t="s">
        <v>532</v>
      </c>
      <c r="F170" s="1" t="s">
        <v>533</v>
      </c>
      <c r="G170" s="1" t="s">
        <v>223</v>
      </c>
      <c r="H170" s="1" t="s">
        <v>149</v>
      </c>
      <c r="I170" s="1">
        <v>130000</v>
      </c>
      <c r="J170" s="45">
        <v>107168</v>
      </c>
      <c r="K170" s="1" t="str">
        <f>TRIM(Cleaned_CRM_Data!H170)</f>
        <v>Rejected</v>
      </c>
      <c r="L170" t="str">
        <f>IFERROR(VLOOKUP(K170, Status_Mapping!A:B, 2,), "Not Found")</f>
        <v>Rejected</v>
      </c>
      <c r="N170" s="29" t="str">
        <f>IF(M170="","",M170-B170)</f>
        <v/>
      </c>
      <c r="O170" s="1" t="str">
        <f t="shared" si="10"/>
        <v>Starter</v>
      </c>
      <c r="P170" t="str">
        <f>TEXT(B170, "mmmm")</f>
        <v>June</v>
      </c>
      <c r="Q170" t="str">
        <f t="shared" si="11"/>
        <v>Q2</v>
      </c>
      <c r="R170" t="str">
        <f>IFERROR(VLOOKUP(TRIM(CLEAN(G170)),Sheet14!$A$2:$B$19,2,FALSE),"Not Mapped")</f>
        <v>West</v>
      </c>
    </row>
    <row r="171" spans="1:18">
      <c r="A171" t="str">
        <f t="shared" si="8"/>
        <v>EOS0170</v>
      </c>
      <c r="B171" s="35" t="s">
        <v>531</v>
      </c>
      <c r="C171" s="1" t="s">
        <v>267</v>
      </c>
      <c r="D171" s="1" t="str">
        <f t="shared" si="9"/>
        <v>FB</v>
      </c>
      <c r="E171" s="1" t="s">
        <v>534</v>
      </c>
      <c r="F171" s="1" t="s">
        <v>418</v>
      </c>
      <c r="G171" s="1" t="s">
        <v>223</v>
      </c>
      <c r="H171" s="1" t="s">
        <v>149</v>
      </c>
      <c r="I171" s="1">
        <v>130000</v>
      </c>
      <c r="J171" s="45">
        <v>107169</v>
      </c>
      <c r="K171" s="1" t="str">
        <f>TRIM(Cleaned_CRM_Data!H171)</f>
        <v>Rejected</v>
      </c>
      <c r="L171" t="str">
        <f>IFERROR(VLOOKUP(K171, Status_Mapping!A:B, 2,), "Not Found")</f>
        <v>Rejected</v>
      </c>
      <c r="N171" s="29" t="str">
        <f>IF(M171="","",M171-B171)</f>
        <v/>
      </c>
      <c r="O171" s="1" t="str">
        <f t="shared" si="10"/>
        <v>Starter</v>
      </c>
      <c r="P171" t="str">
        <f>TEXT(B171, "mmmm")</f>
        <v>June</v>
      </c>
      <c r="Q171" t="str">
        <f t="shared" si="11"/>
        <v>Q2</v>
      </c>
      <c r="R171" t="str">
        <f>IFERROR(VLOOKUP(TRIM(CLEAN(G171)),Sheet14!$A$2:$B$19,2,FALSE),"Not Mapped")</f>
        <v>West</v>
      </c>
    </row>
    <row r="172" spans="1:18">
      <c r="A172" t="str">
        <f t="shared" si="8"/>
        <v>EOS0171</v>
      </c>
      <c r="B172" s="35" t="s">
        <v>531</v>
      </c>
      <c r="C172" s="1" t="s">
        <v>267</v>
      </c>
      <c r="D172" s="1" t="str">
        <f t="shared" si="9"/>
        <v>FB</v>
      </c>
      <c r="E172" s="1" t="s">
        <v>535</v>
      </c>
      <c r="F172" s="1" t="s">
        <v>418</v>
      </c>
      <c r="G172" s="1" t="s">
        <v>223</v>
      </c>
      <c r="H172" s="1" t="s">
        <v>149</v>
      </c>
      <c r="I172" s="1">
        <v>108000</v>
      </c>
      <c r="J172" s="45">
        <v>107170</v>
      </c>
      <c r="K172" s="1" t="str">
        <f>TRIM(Cleaned_CRM_Data!H172)</f>
        <v>Rejected</v>
      </c>
      <c r="L172" t="str">
        <f>IFERROR(VLOOKUP(K172, Status_Mapping!A:B, 2,), "Not Found")</f>
        <v>Rejected</v>
      </c>
      <c r="N172" s="29" t="str">
        <f>IF(M172="","",M172-B172)</f>
        <v/>
      </c>
      <c r="O172" s="1" t="str">
        <f t="shared" si="10"/>
        <v>Starter</v>
      </c>
      <c r="P172" t="str">
        <f>TEXT(B172, "mmmm")</f>
        <v>June</v>
      </c>
      <c r="Q172" t="str">
        <f t="shared" si="11"/>
        <v>Q2</v>
      </c>
      <c r="R172" t="str">
        <f>IFERROR(VLOOKUP(TRIM(CLEAN(G172)),Sheet14!$A$2:$B$19,2,FALSE),"Not Mapped")</f>
        <v>West</v>
      </c>
    </row>
    <row r="173" spans="1:18">
      <c r="A173" t="str">
        <f t="shared" si="8"/>
        <v>EOS0172</v>
      </c>
      <c r="B173" s="35" t="s">
        <v>531</v>
      </c>
      <c r="C173" s="1" t="s">
        <v>267</v>
      </c>
      <c r="D173" s="1" t="str">
        <f t="shared" si="9"/>
        <v>FB</v>
      </c>
      <c r="E173" s="1" t="s">
        <v>536</v>
      </c>
      <c r="F173" s="1" t="s">
        <v>271</v>
      </c>
      <c r="G173" s="1" t="s">
        <v>223</v>
      </c>
      <c r="H173" s="1" t="s">
        <v>149</v>
      </c>
      <c r="I173" s="1">
        <v>130000</v>
      </c>
      <c r="J173" s="45">
        <v>107171</v>
      </c>
      <c r="K173" s="1" t="str">
        <f>TRIM(Cleaned_CRM_Data!H173)</f>
        <v>Rejected</v>
      </c>
      <c r="L173" t="str">
        <f>IFERROR(VLOOKUP(K173, Status_Mapping!A:B, 2,), "Not Found")</f>
        <v>Rejected</v>
      </c>
      <c r="N173" s="29" t="str">
        <f>IF(M173="","",M173-B173)</f>
        <v/>
      </c>
      <c r="O173" s="1" t="str">
        <f t="shared" si="10"/>
        <v>Starter</v>
      </c>
      <c r="P173" t="str">
        <f>TEXT(B173, "mmmm")</f>
        <v>June</v>
      </c>
      <c r="Q173" t="str">
        <f t="shared" si="11"/>
        <v>Q2</v>
      </c>
      <c r="R173" t="str">
        <f>IFERROR(VLOOKUP(TRIM(CLEAN(G173)),Sheet14!$A$2:$B$19,2,FALSE),"Not Mapped")</f>
        <v>West</v>
      </c>
    </row>
    <row r="174" spans="1:18">
      <c r="A174" t="str">
        <f t="shared" si="8"/>
        <v>EOS0173</v>
      </c>
      <c r="B174" s="35" t="s">
        <v>531</v>
      </c>
      <c r="C174" s="1" t="s">
        <v>267</v>
      </c>
      <c r="D174" s="1" t="str">
        <f t="shared" si="9"/>
        <v>FB</v>
      </c>
      <c r="E174" s="1" t="s">
        <v>537</v>
      </c>
      <c r="F174" s="1" t="s">
        <v>326</v>
      </c>
      <c r="G174" s="1" t="s">
        <v>223</v>
      </c>
      <c r="H174" s="1" t="s">
        <v>149</v>
      </c>
      <c r="I174" s="1">
        <v>177000</v>
      </c>
      <c r="J174" s="45">
        <v>107172</v>
      </c>
      <c r="K174" s="1" t="str">
        <f>TRIM(Cleaned_CRM_Data!H174)</f>
        <v>Rejected</v>
      </c>
      <c r="L174" t="str">
        <f>IFERROR(VLOOKUP(K174, Status_Mapping!A:B, 2,), "Not Found")</f>
        <v>Rejected</v>
      </c>
      <c r="N174" s="29" t="str">
        <f>IF(M174="","",M174-B174)</f>
        <v/>
      </c>
      <c r="O174" s="1" t="str">
        <f t="shared" si="10"/>
        <v>Growth</v>
      </c>
      <c r="P174" t="str">
        <f>TEXT(B174, "mmmm")</f>
        <v>June</v>
      </c>
      <c r="Q174" t="str">
        <f t="shared" si="11"/>
        <v>Q2</v>
      </c>
      <c r="R174" t="str">
        <f>IFERROR(VLOOKUP(TRIM(CLEAN(G174)),Sheet14!$A$2:$B$19,2,FALSE),"Not Mapped")</f>
        <v>West</v>
      </c>
    </row>
    <row r="175" spans="1:18">
      <c r="A175" t="str">
        <f t="shared" si="8"/>
        <v>EOS0174</v>
      </c>
      <c r="B175" s="35" t="s">
        <v>531</v>
      </c>
      <c r="C175" s="1" t="s">
        <v>267</v>
      </c>
      <c r="D175" s="1" t="str">
        <f t="shared" si="9"/>
        <v>FB</v>
      </c>
      <c r="E175" s="1" t="s">
        <v>538</v>
      </c>
      <c r="F175" s="1" t="s">
        <v>539</v>
      </c>
      <c r="G175" s="1" t="s">
        <v>223</v>
      </c>
      <c r="H175" s="1" t="s">
        <v>149</v>
      </c>
      <c r="I175" s="1">
        <v>177000</v>
      </c>
      <c r="J175" s="45">
        <v>107173</v>
      </c>
      <c r="K175" s="1" t="str">
        <f>TRIM(Cleaned_CRM_Data!H175)</f>
        <v>Rejected</v>
      </c>
      <c r="L175" t="str">
        <f>IFERROR(VLOOKUP(K175, Status_Mapping!A:B, 2,), "Not Found")</f>
        <v>Rejected</v>
      </c>
      <c r="N175" s="29" t="str">
        <f>IF(M175="","",M175-B175)</f>
        <v/>
      </c>
      <c r="O175" s="1" t="str">
        <f t="shared" si="10"/>
        <v>Growth</v>
      </c>
      <c r="P175" t="str">
        <f>TEXT(B175, "mmmm")</f>
        <v>June</v>
      </c>
      <c r="Q175" t="str">
        <f t="shared" si="11"/>
        <v>Q2</v>
      </c>
      <c r="R175" t="str">
        <f>IFERROR(VLOOKUP(TRIM(CLEAN(G175)),Sheet14!$A$2:$B$19,2,FALSE),"Not Mapped")</f>
        <v>West</v>
      </c>
    </row>
    <row r="176" spans="1:18">
      <c r="A176" t="str">
        <f t="shared" si="8"/>
        <v>EOS0175</v>
      </c>
      <c r="B176" s="35" t="s">
        <v>531</v>
      </c>
      <c r="C176" s="1" t="s">
        <v>267</v>
      </c>
      <c r="D176" s="1" t="str">
        <f t="shared" si="9"/>
        <v>FB</v>
      </c>
      <c r="E176" s="1" t="s">
        <v>540</v>
      </c>
      <c r="F176" s="1" t="s">
        <v>541</v>
      </c>
      <c r="G176" s="1" t="s">
        <v>228</v>
      </c>
      <c r="H176" s="1" t="s">
        <v>149</v>
      </c>
      <c r="I176" s="1">
        <v>108000</v>
      </c>
      <c r="J176" s="45">
        <v>107174</v>
      </c>
      <c r="K176" s="1" t="str">
        <f>TRIM(Cleaned_CRM_Data!H176)</f>
        <v>Rejected</v>
      </c>
      <c r="L176" t="str">
        <f>IFERROR(VLOOKUP(K176, Status_Mapping!A:B, 2,), "Not Found")</f>
        <v>Rejected</v>
      </c>
      <c r="N176" s="29" t="str">
        <f>IF(M176="","",M176-B176)</f>
        <v/>
      </c>
      <c r="O176" s="1" t="str">
        <f t="shared" si="10"/>
        <v>Starter</v>
      </c>
      <c r="P176" t="str">
        <f>TEXT(B176, "mmmm")</f>
        <v>June</v>
      </c>
      <c r="Q176" t="str">
        <f t="shared" si="11"/>
        <v>Q2</v>
      </c>
      <c r="R176" t="str">
        <f>IFERROR(VLOOKUP(TRIM(CLEAN(G176)),Sheet14!$A$2:$B$19,2,FALSE),"Not Mapped")</f>
        <v>Central</v>
      </c>
    </row>
    <row r="177" spans="1:18">
      <c r="A177" t="str">
        <f t="shared" si="8"/>
        <v>EOS0176</v>
      </c>
      <c r="B177" s="35" t="s">
        <v>542</v>
      </c>
      <c r="C177" s="1" t="s">
        <v>267</v>
      </c>
      <c r="D177" s="1" t="str">
        <f t="shared" si="9"/>
        <v>FB</v>
      </c>
      <c r="E177" s="1" t="s">
        <v>543</v>
      </c>
      <c r="F177" s="1" t="s">
        <v>544</v>
      </c>
      <c r="G177" s="1" t="s">
        <v>223</v>
      </c>
      <c r="H177" s="1" t="s">
        <v>149</v>
      </c>
      <c r="I177" s="1">
        <v>108000</v>
      </c>
      <c r="J177" s="45">
        <v>107175</v>
      </c>
      <c r="K177" s="1" t="str">
        <f>TRIM(Cleaned_CRM_Data!H177)</f>
        <v>Rejected</v>
      </c>
      <c r="L177" t="str">
        <f>IFERROR(VLOOKUP(K177, Status_Mapping!A:B, 2,), "Not Found")</f>
        <v>Rejected</v>
      </c>
      <c r="N177" s="29" t="str">
        <f>IF(M177="","",M177-B177)</f>
        <v/>
      </c>
      <c r="O177" s="1" t="str">
        <f t="shared" si="10"/>
        <v>Starter</v>
      </c>
      <c r="P177" t="str">
        <f>TEXT(B177, "mmmm")</f>
        <v>June</v>
      </c>
      <c r="Q177" t="str">
        <f t="shared" si="11"/>
        <v>Q2</v>
      </c>
      <c r="R177" t="str">
        <f>IFERROR(VLOOKUP(TRIM(CLEAN(G177)),Sheet14!$A$2:$B$19,2,FALSE),"Not Mapped")</f>
        <v>West</v>
      </c>
    </row>
    <row r="178" spans="1:18">
      <c r="A178" t="str">
        <f t="shared" si="8"/>
        <v>EOS0177</v>
      </c>
      <c r="B178" s="35" t="s">
        <v>542</v>
      </c>
      <c r="C178" s="1" t="s">
        <v>267</v>
      </c>
      <c r="D178" s="1" t="str">
        <f t="shared" si="9"/>
        <v>FB</v>
      </c>
      <c r="E178" s="1" t="s">
        <v>545</v>
      </c>
      <c r="F178" s="1" t="s">
        <v>333</v>
      </c>
      <c r="G178" s="1" t="s">
        <v>223</v>
      </c>
      <c r="H178" s="1" t="s">
        <v>149</v>
      </c>
      <c r="I178" s="1">
        <v>130000</v>
      </c>
      <c r="J178" s="45">
        <v>107176</v>
      </c>
      <c r="K178" s="1" t="str">
        <f>TRIM(Cleaned_CRM_Data!H178)</f>
        <v>Rejected</v>
      </c>
      <c r="L178" t="str">
        <f>IFERROR(VLOOKUP(K178, Status_Mapping!A:B, 2,), "Not Found")</f>
        <v>Rejected</v>
      </c>
      <c r="N178" s="29" t="str">
        <f>IF(M178="","",M178-B178)</f>
        <v/>
      </c>
      <c r="O178" s="1" t="str">
        <f t="shared" si="10"/>
        <v>Starter</v>
      </c>
      <c r="P178" t="str">
        <f>TEXT(B178, "mmmm")</f>
        <v>June</v>
      </c>
      <c r="Q178" t="str">
        <f t="shared" si="11"/>
        <v>Q2</v>
      </c>
      <c r="R178" t="str">
        <f>IFERROR(VLOOKUP(TRIM(CLEAN(G178)),Sheet14!$A$2:$B$19,2,FALSE),"Not Mapped")</f>
        <v>West</v>
      </c>
    </row>
    <row r="179" spans="1:18">
      <c r="A179" t="str">
        <f t="shared" si="8"/>
        <v>EOS0178</v>
      </c>
      <c r="B179" s="35" t="s">
        <v>542</v>
      </c>
      <c r="C179" s="1" t="s">
        <v>267</v>
      </c>
      <c r="D179" s="1" t="str">
        <f t="shared" si="9"/>
        <v>FB</v>
      </c>
      <c r="E179" s="1" t="s">
        <v>546</v>
      </c>
      <c r="F179" s="1" t="s">
        <v>547</v>
      </c>
      <c r="G179" s="1" t="s">
        <v>227</v>
      </c>
      <c r="H179" s="1" t="s">
        <v>149</v>
      </c>
      <c r="I179" s="1">
        <v>130000</v>
      </c>
      <c r="J179" s="45">
        <v>107177</v>
      </c>
      <c r="K179" s="1" t="str">
        <f>TRIM(Cleaned_CRM_Data!H179)</f>
        <v>Rejected</v>
      </c>
      <c r="L179" t="str">
        <f>IFERROR(VLOOKUP(K179, Status_Mapping!A:B, 2,), "Not Found")</f>
        <v>Rejected</v>
      </c>
      <c r="N179" s="29" t="str">
        <f>IF(M179="","",M179-B179)</f>
        <v/>
      </c>
      <c r="O179" s="1" t="str">
        <f t="shared" si="10"/>
        <v>Starter</v>
      </c>
      <c r="P179" t="str">
        <f>TEXT(B179, "mmmm")</f>
        <v>June</v>
      </c>
      <c r="Q179" t="str">
        <f t="shared" si="11"/>
        <v>Q2</v>
      </c>
      <c r="R179" t="str">
        <f>IFERROR(VLOOKUP(TRIM(CLEAN(G179)),Sheet14!$A$2:$B$19,2,FALSE),"Not Mapped")</f>
        <v>East</v>
      </c>
    </row>
    <row r="180" spans="1:18">
      <c r="A180" t="str">
        <f t="shared" si="8"/>
        <v>EOS0179</v>
      </c>
      <c r="B180" s="35" t="s">
        <v>542</v>
      </c>
      <c r="C180" s="1" t="s">
        <v>267</v>
      </c>
      <c r="D180" s="1" t="str">
        <f t="shared" si="9"/>
        <v>FB</v>
      </c>
      <c r="E180" s="1" t="s">
        <v>548</v>
      </c>
      <c r="F180" s="1"/>
      <c r="G180" s="1" t="s">
        <v>239</v>
      </c>
      <c r="H180" s="1" t="s">
        <v>149</v>
      </c>
      <c r="I180" s="1">
        <v>130000</v>
      </c>
      <c r="J180" s="45">
        <v>107178</v>
      </c>
      <c r="K180" s="1" t="str">
        <f>TRIM(Cleaned_CRM_Data!H180)</f>
        <v>Rejected</v>
      </c>
      <c r="L180" t="str">
        <f>IFERROR(VLOOKUP(K180, Status_Mapping!A:B, 2,), "Not Found")</f>
        <v>Rejected</v>
      </c>
      <c r="N180" s="29" t="str">
        <f>IF(M180="","",M180-B180)</f>
        <v/>
      </c>
      <c r="O180" s="1" t="str">
        <f t="shared" si="10"/>
        <v>Starter</v>
      </c>
      <c r="P180" t="str">
        <f>TEXT(B180, "mmmm")</f>
        <v>June</v>
      </c>
      <c r="Q180" t="str">
        <f t="shared" si="11"/>
        <v>Q2</v>
      </c>
      <c r="R180" t="str">
        <f>IFERROR(VLOOKUP(TRIM(CLEAN(G180)),Sheet14!$A$2:$B$19,2,FALSE),"Not Mapped")</f>
        <v>East</v>
      </c>
    </row>
    <row r="181" spans="1:18">
      <c r="A181" t="str">
        <f t="shared" si="8"/>
        <v>EOS0180</v>
      </c>
      <c r="B181" s="35" t="s">
        <v>542</v>
      </c>
      <c r="C181" s="1" t="s">
        <v>267</v>
      </c>
      <c r="D181" s="1" t="str">
        <f t="shared" si="9"/>
        <v>FB</v>
      </c>
      <c r="E181" s="1" t="s">
        <v>549</v>
      </c>
      <c r="F181" s="1" t="s">
        <v>300</v>
      </c>
      <c r="G181" s="1" t="s">
        <v>223</v>
      </c>
      <c r="H181" s="1" t="s">
        <v>149</v>
      </c>
      <c r="I181" s="1">
        <v>108000</v>
      </c>
      <c r="J181" s="45">
        <v>107179</v>
      </c>
      <c r="K181" s="1" t="str">
        <f>TRIM(Cleaned_CRM_Data!H181)</f>
        <v>Rejected</v>
      </c>
      <c r="L181" t="str">
        <f>IFERROR(VLOOKUP(K181, Status_Mapping!A:B, 2,), "Not Found")</f>
        <v>Rejected</v>
      </c>
      <c r="N181" s="29" t="str">
        <f>IF(M181="","",M181-B181)</f>
        <v/>
      </c>
      <c r="O181" s="1" t="str">
        <f t="shared" si="10"/>
        <v>Starter</v>
      </c>
      <c r="P181" t="str">
        <f>TEXT(B181, "mmmm")</f>
        <v>June</v>
      </c>
      <c r="Q181" t="str">
        <f t="shared" si="11"/>
        <v>Q2</v>
      </c>
      <c r="R181" t="str">
        <f>IFERROR(VLOOKUP(TRIM(CLEAN(G181)),Sheet14!$A$2:$B$19,2,FALSE),"Not Mapped")</f>
        <v>West</v>
      </c>
    </row>
    <row r="182" spans="1:18">
      <c r="A182" t="str">
        <f t="shared" si="8"/>
        <v>EOS0181</v>
      </c>
      <c r="B182" s="35" t="s">
        <v>550</v>
      </c>
      <c r="C182" s="1" t="s">
        <v>267</v>
      </c>
      <c r="D182" s="1" t="str">
        <f t="shared" si="9"/>
        <v>FB</v>
      </c>
      <c r="E182" s="1" t="s">
        <v>551</v>
      </c>
      <c r="F182" s="1" t="s">
        <v>300</v>
      </c>
      <c r="G182" s="1" t="s">
        <v>223</v>
      </c>
      <c r="H182" s="1" t="s">
        <v>149</v>
      </c>
      <c r="I182" s="1">
        <v>108000</v>
      </c>
      <c r="J182" s="45">
        <v>107180</v>
      </c>
      <c r="K182" s="1" t="str">
        <f>TRIM(Cleaned_CRM_Data!H182)</f>
        <v>Rejected</v>
      </c>
      <c r="L182" t="str">
        <f>IFERROR(VLOOKUP(K182, Status_Mapping!A:B, 2,), "Not Found")</f>
        <v>Rejected</v>
      </c>
      <c r="N182" s="29" t="str">
        <f>IF(M182="","",M182-B182)</f>
        <v/>
      </c>
      <c r="O182" s="1" t="str">
        <f t="shared" si="10"/>
        <v>Starter</v>
      </c>
      <c r="P182" t="str">
        <f>TEXT(B182, "mmmm")</f>
        <v>June</v>
      </c>
      <c r="Q182" t="str">
        <f t="shared" si="11"/>
        <v>Q2</v>
      </c>
      <c r="R182" t="str">
        <f>IFERROR(VLOOKUP(TRIM(CLEAN(G182)),Sheet14!$A$2:$B$19,2,FALSE),"Not Mapped")</f>
        <v>West</v>
      </c>
    </row>
    <row r="183" spans="1:18">
      <c r="A183" t="str">
        <f t="shared" si="8"/>
        <v>EOS0182</v>
      </c>
      <c r="B183" s="35" t="s">
        <v>550</v>
      </c>
      <c r="C183" s="1" t="s">
        <v>267</v>
      </c>
      <c r="D183" s="1" t="str">
        <f t="shared" si="9"/>
        <v>FB</v>
      </c>
      <c r="E183" s="1" t="s">
        <v>552</v>
      </c>
      <c r="F183" s="1" t="s">
        <v>553</v>
      </c>
      <c r="G183" s="1" t="s">
        <v>215</v>
      </c>
      <c r="H183" s="1" t="s">
        <v>149</v>
      </c>
      <c r="I183" s="1">
        <v>108000</v>
      </c>
      <c r="J183" s="45">
        <v>107181</v>
      </c>
      <c r="K183" s="1" t="str">
        <f>TRIM(Cleaned_CRM_Data!H183)</f>
        <v>Rejected</v>
      </c>
      <c r="L183" t="str">
        <f>IFERROR(VLOOKUP(K183, Status_Mapping!A:B, 2,), "Not Found")</f>
        <v>Rejected</v>
      </c>
      <c r="N183" s="29" t="str">
        <f>IF(M183="","",M183-B183)</f>
        <v/>
      </c>
      <c r="O183" s="1" t="str">
        <f t="shared" si="10"/>
        <v>Starter</v>
      </c>
      <c r="P183" t="str">
        <f>TEXT(B183, "mmmm")</f>
        <v>June</v>
      </c>
      <c r="Q183" t="str">
        <f t="shared" si="11"/>
        <v>Q2</v>
      </c>
      <c r="R183" t="str">
        <f>IFERROR(VLOOKUP(TRIM(CLEAN(G183)),Sheet14!$A$2:$B$19,2,FALSE),"Not Mapped")</f>
        <v>East</v>
      </c>
    </row>
    <row r="184" spans="1:18">
      <c r="A184" t="str">
        <f t="shared" si="8"/>
        <v>EOS0183</v>
      </c>
      <c r="B184" s="35" t="s">
        <v>550</v>
      </c>
      <c r="C184" s="1" t="s">
        <v>267</v>
      </c>
      <c r="D184" s="1" t="str">
        <f t="shared" si="9"/>
        <v>FB</v>
      </c>
      <c r="E184" s="1" t="s">
        <v>554</v>
      </c>
      <c r="F184" s="1" t="s">
        <v>364</v>
      </c>
      <c r="G184" s="1" t="s">
        <v>223</v>
      </c>
      <c r="H184" s="1" t="s">
        <v>149</v>
      </c>
      <c r="I184" s="1">
        <v>130000</v>
      </c>
      <c r="J184" s="45">
        <v>107182</v>
      </c>
      <c r="K184" s="1" t="str">
        <f>TRIM(Cleaned_CRM_Data!H184)</f>
        <v>Rejected</v>
      </c>
      <c r="L184" t="str">
        <f>IFERROR(VLOOKUP(K184, Status_Mapping!A:B, 2,), "Not Found")</f>
        <v>Rejected</v>
      </c>
      <c r="N184" s="29" t="str">
        <f>IF(M184="","",M184-B184)</f>
        <v/>
      </c>
      <c r="O184" s="1" t="str">
        <f t="shared" si="10"/>
        <v>Starter</v>
      </c>
      <c r="P184" t="str">
        <f>TEXT(B184, "mmmm")</f>
        <v>June</v>
      </c>
      <c r="Q184" t="str">
        <f t="shared" si="11"/>
        <v>Q2</v>
      </c>
      <c r="R184" t="str">
        <f>IFERROR(VLOOKUP(TRIM(CLEAN(G184)),Sheet14!$A$2:$B$19,2,FALSE),"Not Mapped")</f>
        <v>West</v>
      </c>
    </row>
    <row r="185" spans="1:18">
      <c r="A185" t="str">
        <f t="shared" si="8"/>
        <v>EOS0184</v>
      </c>
      <c r="B185" s="35" t="s">
        <v>550</v>
      </c>
      <c r="C185" s="1" t="s">
        <v>267</v>
      </c>
      <c r="D185" s="1" t="str">
        <f t="shared" si="9"/>
        <v>FB</v>
      </c>
      <c r="E185" s="1" t="s">
        <v>555</v>
      </c>
      <c r="F185" s="1" t="s">
        <v>556</v>
      </c>
      <c r="G185" s="1" t="s">
        <v>223</v>
      </c>
      <c r="H185" s="1" t="s">
        <v>149</v>
      </c>
      <c r="I185" s="1">
        <v>130000</v>
      </c>
      <c r="J185" s="45">
        <v>107183</v>
      </c>
      <c r="K185" s="1" t="str">
        <f>TRIM(Cleaned_CRM_Data!H185)</f>
        <v>Rejected</v>
      </c>
      <c r="L185" t="str">
        <f>IFERROR(VLOOKUP(K185, Status_Mapping!A:B, 2,), "Not Found")</f>
        <v>Rejected</v>
      </c>
      <c r="N185" s="29" t="str">
        <f>IF(M185="","",M185-B185)</f>
        <v/>
      </c>
      <c r="O185" s="1" t="str">
        <f t="shared" si="10"/>
        <v>Starter</v>
      </c>
      <c r="P185" t="str">
        <f>TEXT(B185, "mmmm")</f>
        <v>June</v>
      </c>
      <c r="Q185" t="str">
        <f t="shared" si="11"/>
        <v>Q2</v>
      </c>
      <c r="R185" t="str">
        <f>IFERROR(VLOOKUP(TRIM(CLEAN(G185)),Sheet14!$A$2:$B$19,2,FALSE),"Not Mapped")</f>
        <v>West</v>
      </c>
    </row>
    <row r="186" spans="1:18">
      <c r="A186" t="str">
        <f t="shared" si="8"/>
        <v>EOS0185</v>
      </c>
      <c r="B186" s="35" t="s">
        <v>557</v>
      </c>
      <c r="C186" s="1" t="s">
        <v>267</v>
      </c>
      <c r="D186" s="1" t="str">
        <f t="shared" si="9"/>
        <v>FB</v>
      </c>
      <c r="E186" s="1" t="s">
        <v>558</v>
      </c>
      <c r="F186" s="1" t="s">
        <v>559</v>
      </c>
      <c r="G186" s="1" t="s">
        <v>223</v>
      </c>
      <c r="H186" s="1" t="s">
        <v>149</v>
      </c>
      <c r="I186" s="1">
        <v>108000</v>
      </c>
      <c r="J186" s="45">
        <v>107184</v>
      </c>
      <c r="K186" s="1" t="str">
        <f>TRIM(Cleaned_CRM_Data!H186)</f>
        <v>Rejected</v>
      </c>
      <c r="L186" t="str">
        <f>IFERROR(VLOOKUP(K186, Status_Mapping!A:B, 2,), "Not Found")</f>
        <v>Rejected</v>
      </c>
      <c r="N186" s="29" t="str">
        <f>IF(M186="","",M186-B186)</f>
        <v/>
      </c>
      <c r="O186" s="1" t="str">
        <f t="shared" si="10"/>
        <v>Starter</v>
      </c>
      <c r="P186" t="str">
        <f>TEXT(B186, "mmmm")</f>
        <v>June</v>
      </c>
      <c r="Q186" t="str">
        <f t="shared" si="11"/>
        <v>Q2</v>
      </c>
      <c r="R186" t="str">
        <f>IFERROR(VLOOKUP(TRIM(CLEAN(G186)),Sheet14!$A$2:$B$19,2,FALSE),"Not Mapped")</f>
        <v>West</v>
      </c>
    </row>
    <row r="187" spans="1:18">
      <c r="A187" t="str">
        <f t="shared" si="8"/>
        <v>EOS0186</v>
      </c>
      <c r="B187" s="35" t="s">
        <v>557</v>
      </c>
      <c r="C187" s="1" t="s">
        <v>267</v>
      </c>
      <c r="D187" s="1" t="str">
        <f t="shared" si="9"/>
        <v>FB</v>
      </c>
      <c r="E187" s="1" t="s">
        <v>560</v>
      </c>
      <c r="F187" s="1" t="s">
        <v>275</v>
      </c>
      <c r="G187" s="1" t="s">
        <v>223</v>
      </c>
      <c r="H187" s="1" t="s">
        <v>149</v>
      </c>
      <c r="I187" s="1">
        <v>130000</v>
      </c>
      <c r="J187" s="45">
        <v>107185</v>
      </c>
      <c r="K187" s="1" t="str">
        <f>TRIM(Cleaned_CRM_Data!H187)</f>
        <v>Rejected</v>
      </c>
      <c r="L187" t="str">
        <f>IFERROR(VLOOKUP(K187, Status_Mapping!A:B, 2,), "Not Found")</f>
        <v>Rejected</v>
      </c>
      <c r="N187" s="29" t="str">
        <f>IF(M187="","",M187-B187)</f>
        <v/>
      </c>
      <c r="O187" s="1" t="str">
        <f t="shared" si="10"/>
        <v>Starter</v>
      </c>
      <c r="P187" t="str">
        <f>TEXT(B187, "mmmm")</f>
        <v>June</v>
      </c>
      <c r="Q187" t="str">
        <f t="shared" si="11"/>
        <v>Q2</v>
      </c>
      <c r="R187" t="str">
        <f>IFERROR(VLOOKUP(TRIM(CLEAN(G187)),Sheet14!$A$2:$B$19,2,FALSE),"Not Mapped")</f>
        <v>West</v>
      </c>
    </row>
    <row r="188" spans="1:18">
      <c r="A188" t="str">
        <f t="shared" si="8"/>
        <v>EOS0187</v>
      </c>
      <c r="B188" s="35" t="s">
        <v>557</v>
      </c>
      <c r="C188" s="1" t="s">
        <v>267</v>
      </c>
      <c r="D188" s="1" t="str">
        <f t="shared" si="9"/>
        <v>FB</v>
      </c>
      <c r="E188" s="1" t="s">
        <v>561</v>
      </c>
      <c r="F188" s="1" t="s">
        <v>275</v>
      </c>
      <c r="G188" s="1" t="s">
        <v>223</v>
      </c>
      <c r="H188" s="1" t="s">
        <v>149</v>
      </c>
      <c r="I188" s="1">
        <v>130000</v>
      </c>
      <c r="J188" s="45">
        <v>107186</v>
      </c>
      <c r="K188" s="1" t="str">
        <f>TRIM(Cleaned_CRM_Data!H188)</f>
        <v>Rejected</v>
      </c>
      <c r="L188" t="str">
        <f>IFERROR(VLOOKUP(K188, Status_Mapping!A:B, 2,), "Not Found")</f>
        <v>Rejected</v>
      </c>
      <c r="N188" s="29" t="str">
        <f>IF(M188="","",M188-B188)</f>
        <v/>
      </c>
      <c r="O188" s="1" t="str">
        <f t="shared" si="10"/>
        <v>Starter</v>
      </c>
      <c r="P188" t="str">
        <f>TEXT(B188, "mmmm")</f>
        <v>June</v>
      </c>
      <c r="Q188" t="str">
        <f t="shared" si="11"/>
        <v>Q2</v>
      </c>
      <c r="R188" t="str">
        <f>IFERROR(VLOOKUP(TRIM(CLEAN(G188)),Sheet14!$A$2:$B$19,2,FALSE),"Not Mapped")</f>
        <v>West</v>
      </c>
    </row>
    <row r="189" spans="1:18">
      <c r="A189" t="str">
        <f t="shared" si="8"/>
        <v>EOS0188</v>
      </c>
      <c r="B189" s="35" t="s">
        <v>557</v>
      </c>
      <c r="C189" s="1" t="s">
        <v>267</v>
      </c>
      <c r="D189" s="1" t="str">
        <f t="shared" si="9"/>
        <v>FB</v>
      </c>
      <c r="E189" s="1" t="s">
        <v>562</v>
      </c>
      <c r="F189" s="1" t="s">
        <v>275</v>
      </c>
      <c r="G189" s="1" t="s">
        <v>223</v>
      </c>
      <c r="H189" s="1" t="s">
        <v>149</v>
      </c>
      <c r="I189" s="1">
        <v>108000</v>
      </c>
      <c r="J189" s="45">
        <v>107187</v>
      </c>
      <c r="K189" s="1" t="str">
        <f>TRIM(Cleaned_CRM_Data!H189)</f>
        <v>Rejected</v>
      </c>
      <c r="L189" t="str">
        <f>IFERROR(VLOOKUP(K189, Status_Mapping!A:B, 2,), "Not Found")</f>
        <v>Rejected</v>
      </c>
      <c r="N189" s="29" t="str">
        <f>IF(M189="","",M189-B189)</f>
        <v/>
      </c>
      <c r="O189" s="1" t="str">
        <f t="shared" si="10"/>
        <v>Starter</v>
      </c>
      <c r="P189" t="str">
        <f>TEXT(B189, "mmmm")</f>
        <v>June</v>
      </c>
      <c r="Q189" t="str">
        <f t="shared" si="11"/>
        <v>Q2</v>
      </c>
      <c r="R189" t="str">
        <f>IFERROR(VLOOKUP(TRIM(CLEAN(G189)),Sheet14!$A$2:$B$19,2,FALSE),"Not Mapped")</f>
        <v>West</v>
      </c>
    </row>
    <row r="190" spans="1:18">
      <c r="A190" t="str">
        <f t="shared" si="8"/>
        <v>EOS0189</v>
      </c>
      <c r="B190" s="35" t="s">
        <v>557</v>
      </c>
      <c r="C190" s="1" t="s">
        <v>267</v>
      </c>
      <c r="D190" s="1" t="str">
        <f t="shared" si="9"/>
        <v>FB</v>
      </c>
      <c r="E190" s="1" t="s">
        <v>563</v>
      </c>
      <c r="F190" s="1" t="s">
        <v>564</v>
      </c>
      <c r="G190" s="1" t="s">
        <v>223</v>
      </c>
      <c r="H190" s="1" t="s">
        <v>149</v>
      </c>
      <c r="I190" s="1">
        <v>108000</v>
      </c>
      <c r="J190" s="45">
        <v>107188</v>
      </c>
      <c r="K190" s="1" t="str">
        <f>TRIM(Cleaned_CRM_Data!H190)</f>
        <v>Rejected</v>
      </c>
      <c r="L190" t="str">
        <f>IFERROR(VLOOKUP(K190, Status_Mapping!A:B, 2,), "Not Found")</f>
        <v>Rejected</v>
      </c>
      <c r="N190" s="29" t="str">
        <f>IF(M190="","",M190-B190)</f>
        <v/>
      </c>
      <c r="O190" s="1" t="str">
        <f t="shared" si="10"/>
        <v>Starter</v>
      </c>
      <c r="P190" t="str">
        <f>TEXT(B190, "mmmm")</f>
        <v>June</v>
      </c>
      <c r="Q190" t="str">
        <f t="shared" si="11"/>
        <v>Q2</v>
      </c>
      <c r="R190" t="str">
        <f>IFERROR(VLOOKUP(TRIM(CLEAN(G190)),Sheet14!$A$2:$B$19,2,FALSE),"Not Mapped")</f>
        <v>West</v>
      </c>
    </row>
    <row r="191" spans="1:18">
      <c r="A191" t="str">
        <f t="shared" si="8"/>
        <v>EOS0190</v>
      </c>
      <c r="B191" s="35" t="s">
        <v>557</v>
      </c>
      <c r="C191" s="1" t="s">
        <v>267</v>
      </c>
      <c r="D191" s="1" t="str">
        <f t="shared" si="9"/>
        <v>FB</v>
      </c>
      <c r="E191" s="1" t="s">
        <v>565</v>
      </c>
      <c r="F191" s="1" t="s">
        <v>275</v>
      </c>
      <c r="G191" s="1" t="s">
        <v>223</v>
      </c>
      <c r="H191" s="1" t="s">
        <v>149</v>
      </c>
      <c r="I191" s="1">
        <v>130000</v>
      </c>
      <c r="J191" s="45">
        <v>107189</v>
      </c>
      <c r="K191" s="1" t="str">
        <f>TRIM(Cleaned_CRM_Data!H191)</f>
        <v>Rejected</v>
      </c>
      <c r="L191" t="str">
        <f>IFERROR(VLOOKUP(K191, Status_Mapping!A:B, 2,), "Not Found")</f>
        <v>Rejected</v>
      </c>
      <c r="N191" s="29" t="str">
        <f>IF(M191="","",M191-B191)</f>
        <v/>
      </c>
      <c r="O191" s="1" t="str">
        <f t="shared" si="10"/>
        <v>Starter</v>
      </c>
      <c r="P191" t="str">
        <f>TEXT(B191, "mmmm")</f>
        <v>June</v>
      </c>
      <c r="Q191" t="str">
        <f t="shared" si="11"/>
        <v>Q2</v>
      </c>
      <c r="R191" t="str">
        <f>IFERROR(VLOOKUP(TRIM(CLEAN(G191)),Sheet14!$A$2:$B$19,2,FALSE),"Not Mapped")</f>
        <v>West</v>
      </c>
    </row>
    <row r="192" spans="1:18">
      <c r="A192" t="str">
        <f t="shared" si="8"/>
        <v>EOS0191</v>
      </c>
      <c r="B192" s="35" t="s">
        <v>557</v>
      </c>
      <c r="C192" s="1" t="s">
        <v>267</v>
      </c>
      <c r="D192" s="1" t="str">
        <f t="shared" si="9"/>
        <v>FB</v>
      </c>
      <c r="E192" s="1" t="s">
        <v>566</v>
      </c>
      <c r="F192" s="1" t="s">
        <v>275</v>
      </c>
      <c r="G192" s="1" t="s">
        <v>223</v>
      </c>
      <c r="H192" s="1" t="s">
        <v>149</v>
      </c>
      <c r="I192" s="1">
        <v>177000</v>
      </c>
      <c r="J192" s="45">
        <v>107190</v>
      </c>
      <c r="K192" s="1" t="str">
        <f>TRIM(Cleaned_CRM_Data!H192)</f>
        <v>Rejected</v>
      </c>
      <c r="L192" t="str">
        <f>IFERROR(VLOOKUP(K192, Status_Mapping!A:B, 2,), "Not Found")</f>
        <v>Rejected</v>
      </c>
      <c r="N192" s="29" t="str">
        <f>IF(M192="","",M192-B192)</f>
        <v/>
      </c>
      <c r="O192" s="1" t="str">
        <f t="shared" si="10"/>
        <v>Growth</v>
      </c>
      <c r="P192" t="str">
        <f>TEXT(B192, "mmmm")</f>
        <v>June</v>
      </c>
      <c r="Q192" t="str">
        <f t="shared" si="11"/>
        <v>Q2</v>
      </c>
      <c r="R192" t="str">
        <f>IFERROR(VLOOKUP(TRIM(CLEAN(G192)),Sheet14!$A$2:$B$19,2,FALSE),"Not Mapped")</f>
        <v>West</v>
      </c>
    </row>
    <row r="193" spans="1:18">
      <c r="A193" t="str">
        <f t="shared" si="8"/>
        <v>EOS0192</v>
      </c>
      <c r="B193" s="35" t="s">
        <v>557</v>
      </c>
      <c r="C193" s="1" t="s">
        <v>267</v>
      </c>
      <c r="D193" s="1" t="str">
        <f t="shared" si="9"/>
        <v>FB</v>
      </c>
      <c r="E193" s="1" t="s">
        <v>558</v>
      </c>
      <c r="F193" s="1" t="s">
        <v>283</v>
      </c>
      <c r="G193" s="1" t="s">
        <v>223</v>
      </c>
      <c r="H193" s="1" t="s">
        <v>149</v>
      </c>
      <c r="I193" s="1">
        <v>130000</v>
      </c>
      <c r="J193" s="45">
        <v>107191</v>
      </c>
      <c r="K193" s="1" t="str">
        <f>TRIM(Cleaned_CRM_Data!H193)</f>
        <v>Rejected</v>
      </c>
      <c r="L193" t="str">
        <f>IFERROR(VLOOKUP(K193, Status_Mapping!A:B, 2,), "Not Found")</f>
        <v>Rejected</v>
      </c>
      <c r="N193" s="29" t="str">
        <f>IF(M193="","",M193-B193)</f>
        <v/>
      </c>
      <c r="O193" s="1" t="str">
        <f t="shared" si="10"/>
        <v>Starter</v>
      </c>
      <c r="P193" t="str">
        <f>TEXT(B193, "mmmm")</f>
        <v>June</v>
      </c>
      <c r="Q193" t="str">
        <f t="shared" si="11"/>
        <v>Q2</v>
      </c>
      <c r="R193" t="str">
        <f>IFERROR(VLOOKUP(TRIM(CLEAN(G193)),Sheet14!$A$2:$B$19,2,FALSE),"Not Mapped")</f>
        <v>West</v>
      </c>
    </row>
    <row r="194" spans="1:18">
      <c r="A194" t="str">
        <f t="shared" si="8"/>
        <v>EOS0193</v>
      </c>
      <c r="B194" s="35" t="s">
        <v>557</v>
      </c>
      <c r="C194" s="1" t="s">
        <v>267</v>
      </c>
      <c r="D194" s="1" t="str">
        <f t="shared" si="9"/>
        <v>FB</v>
      </c>
      <c r="E194" s="1" t="s">
        <v>567</v>
      </c>
      <c r="F194" s="1" t="s">
        <v>296</v>
      </c>
      <c r="G194" s="1" t="s">
        <v>223</v>
      </c>
      <c r="H194" s="1" t="s">
        <v>149</v>
      </c>
      <c r="I194" s="1">
        <v>130000</v>
      </c>
      <c r="J194" s="45">
        <v>107192</v>
      </c>
      <c r="K194" s="1" t="str">
        <f>TRIM(Cleaned_CRM_Data!H194)</f>
        <v>Rejected</v>
      </c>
      <c r="L194" t="str">
        <f>IFERROR(VLOOKUP(K194, Status_Mapping!A:B, 2,), "Not Found")</f>
        <v>Rejected</v>
      </c>
      <c r="N194" s="29" t="str">
        <f>IF(M194="","",M194-B194)</f>
        <v/>
      </c>
      <c r="O194" s="1" t="str">
        <f t="shared" si="10"/>
        <v>Starter</v>
      </c>
      <c r="P194" t="str">
        <f>TEXT(B194, "mmmm")</f>
        <v>June</v>
      </c>
      <c r="Q194" t="str">
        <f t="shared" si="11"/>
        <v>Q2</v>
      </c>
      <c r="R194" t="str">
        <f>IFERROR(VLOOKUP(TRIM(CLEAN(G194)),Sheet14!$A$2:$B$19,2,FALSE),"Not Mapped")</f>
        <v>West</v>
      </c>
    </row>
    <row r="195" spans="1:18">
      <c r="A195" t="str">
        <f t="shared" ref="A195:A258" si="12">"EOS"&amp;TEXT(ROW()-1,"0000")</f>
        <v>EOS0194</v>
      </c>
      <c r="B195" s="35" t="s">
        <v>557</v>
      </c>
      <c r="C195" s="1" t="s">
        <v>267</v>
      </c>
      <c r="D195" s="1" t="str">
        <f t="shared" ref="D195:D258" si="13">TRIM(CLEAN(SUBSTITUTE(C195,CHAR(160),"")))</f>
        <v>FB</v>
      </c>
      <c r="E195" s="1" t="s">
        <v>568</v>
      </c>
      <c r="F195" s="1" t="s">
        <v>569</v>
      </c>
      <c r="G195" s="1" t="s">
        <v>229</v>
      </c>
      <c r="H195" s="1" t="s">
        <v>149</v>
      </c>
      <c r="I195" s="1">
        <v>130000</v>
      </c>
      <c r="J195" s="45">
        <v>107193</v>
      </c>
      <c r="K195" s="1" t="str">
        <f>TRIM(Cleaned_CRM_Data!H195)</f>
        <v>Rejected</v>
      </c>
      <c r="L195" t="str">
        <f>IFERROR(VLOOKUP(K195, Status_Mapping!A:B, 2,), "Not Found")</f>
        <v>Rejected</v>
      </c>
      <c r="N195" s="29" t="str">
        <f>IF(M195="","",M195-B195)</f>
        <v/>
      </c>
      <c r="O195" s="1" t="str">
        <f t="shared" ref="O195:O258" si="14">IF(OR(I195=108000,I195=130000),"Starter",IF(I195=177000,"Growth","Premium"))</f>
        <v>Starter</v>
      </c>
      <c r="P195" t="str">
        <f>TEXT(B195, "mmmm")</f>
        <v>June</v>
      </c>
      <c r="Q195" t="str">
        <f t="shared" ref="Q195:Q258" si="15">"Q"&amp;ROUNDUP(MONTH(B195)/3,0)</f>
        <v>Q2</v>
      </c>
      <c r="R195" t="str">
        <f>IFERROR(VLOOKUP(TRIM(CLEAN(G195)),Sheet14!$A$2:$B$19,2,FALSE),"Not Mapped")</f>
        <v>West</v>
      </c>
    </row>
    <row r="196" spans="1:18">
      <c r="A196" t="str">
        <f t="shared" si="12"/>
        <v>EOS0195</v>
      </c>
      <c r="B196" s="35" t="s">
        <v>557</v>
      </c>
      <c r="C196" s="1" t="s">
        <v>267</v>
      </c>
      <c r="D196" s="1" t="str">
        <f t="shared" si="13"/>
        <v>FB</v>
      </c>
      <c r="E196" s="1" t="s">
        <v>570</v>
      </c>
      <c r="F196" s="1" t="s">
        <v>571</v>
      </c>
      <c r="G196" s="1" t="s">
        <v>228</v>
      </c>
      <c r="H196" s="1" t="s">
        <v>149</v>
      </c>
      <c r="I196" s="1">
        <v>177000</v>
      </c>
      <c r="J196" s="45">
        <v>107194</v>
      </c>
      <c r="K196" s="1" t="str">
        <f>TRIM(Cleaned_CRM_Data!H196)</f>
        <v>Rejected</v>
      </c>
      <c r="L196" t="str">
        <f>IFERROR(VLOOKUP(K196, Status_Mapping!A:B, 2,), "Not Found")</f>
        <v>Rejected</v>
      </c>
      <c r="N196" s="29" t="str">
        <f>IF(M196="","",M196-B196)</f>
        <v/>
      </c>
      <c r="O196" s="1" t="str">
        <f t="shared" si="14"/>
        <v>Growth</v>
      </c>
      <c r="P196" t="str">
        <f>TEXT(B196, "mmmm")</f>
        <v>June</v>
      </c>
      <c r="Q196" t="str">
        <f t="shared" si="15"/>
        <v>Q2</v>
      </c>
      <c r="R196" t="str">
        <f>IFERROR(VLOOKUP(TRIM(CLEAN(G196)),Sheet14!$A$2:$B$19,2,FALSE),"Not Mapped")</f>
        <v>Central</v>
      </c>
    </row>
    <row r="197" spans="1:18">
      <c r="A197" t="str">
        <f t="shared" si="12"/>
        <v>EOS0196</v>
      </c>
      <c r="B197" s="35">
        <v>45839</v>
      </c>
      <c r="C197" s="1" t="s">
        <v>267</v>
      </c>
      <c r="D197" s="1" t="str">
        <f t="shared" si="13"/>
        <v>FB</v>
      </c>
      <c r="E197" s="1" t="s">
        <v>572</v>
      </c>
      <c r="F197" s="1" t="s">
        <v>533</v>
      </c>
      <c r="G197" s="1" t="s">
        <v>223</v>
      </c>
      <c r="H197" s="1" t="s">
        <v>149</v>
      </c>
      <c r="I197" s="1">
        <v>108000</v>
      </c>
      <c r="J197" s="45">
        <v>107195</v>
      </c>
      <c r="K197" s="1" t="str">
        <f>TRIM(Cleaned_CRM_Data!H197)</f>
        <v>Rejected</v>
      </c>
      <c r="L197" t="str">
        <f>IFERROR(VLOOKUP(K197, Status_Mapping!A:B, 2,), "Not Found")</f>
        <v>Rejected</v>
      </c>
      <c r="N197" s="29" t="str">
        <f>IF(M197="","",M197-B197)</f>
        <v/>
      </c>
      <c r="O197" s="1" t="str">
        <f t="shared" si="14"/>
        <v>Starter</v>
      </c>
      <c r="P197" t="str">
        <f>TEXT(B197, "mmmm")</f>
        <v>July</v>
      </c>
      <c r="Q197" t="str">
        <f t="shared" si="15"/>
        <v>Q3</v>
      </c>
      <c r="R197" t="str">
        <f>IFERROR(VLOOKUP(TRIM(CLEAN(G197)),Sheet14!$A$2:$B$19,2,FALSE),"Not Mapped")</f>
        <v>West</v>
      </c>
    </row>
    <row r="198" spans="1:18">
      <c r="A198" t="str">
        <f t="shared" si="12"/>
        <v>EOS0197</v>
      </c>
      <c r="B198" s="35">
        <v>45839</v>
      </c>
      <c r="C198" s="1" t="s">
        <v>267</v>
      </c>
      <c r="D198" s="1" t="str">
        <f t="shared" si="13"/>
        <v>FB</v>
      </c>
      <c r="E198" s="1" t="s">
        <v>573</v>
      </c>
      <c r="F198" s="1" t="s">
        <v>358</v>
      </c>
      <c r="G198" s="1" t="s">
        <v>223</v>
      </c>
      <c r="H198" s="1" t="s">
        <v>149</v>
      </c>
      <c r="I198" s="1">
        <v>108000</v>
      </c>
      <c r="J198" s="45">
        <v>107196</v>
      </c>
      <c r="K198" s="1" t="str">
        <f>TRIM(Cleaned_CRM_Data!H198)</f>
        <v>Rejected</v>
      </c>
      <c r="L198" t="str">
        <f>IFERROR(VLOOKUP(K198, Status_Mapping!A:B, 2,), "Not Found")</f>
        <v>Rejected</v>
      </c>
      <c r="N198" s="29" t="str">
        <f>IF(M198="","",M198-B198)</f>
        <v/>
      </c>
      <c r="O198" s="1" t="str">
        <f t="shared" si="14"/>
        <v>Starter</v>
      </c>
      <c r="P198" t="str">
        <f>TEXT(B198, "mmmm")</f>
        <v>July</v>
      </c>
      <c r="Q198" t="str">
        <f t="shared" si="15"/>
        <v>Q3</v>
      </c>
      <c r="R198" t="str">
        <f>IFERROR(VLOOKUP(TRIM(CLEAN(G198)),Sheet14!$A$2:$B$19,2,FALSE),"Not Mapped")</f>
        <v>West</v>
      </c>
    </row>
    <row r="199" spans="1:18">
      <c r="A199" t="str">
        <f t="shared" si="12"/>
        <v>EOS0198</v>
      </c>
      <c r="B199" s="35">
        <v>45839</v>
      </c>
      <c r="C199" s="1" t="s">
        <v>267</v>
      </c>
      <c r="D199" s="1" t="str">
        <f t="shared" si="13"/>
        <v>FB</v>
      </c>
      <c r="E199" s="1" t="s">
        <v>574</v>
      </c>
      <c r="F199" s="1" t="s">
        <v>275</v>
      </c>
      <c r="G199" s="1" t="s">
        <v>223</v>
      </c>
      <c r="H199" s="1" t="s">
        <v>149</v>
      </c>
      <c r="I199" s="1">
        <v>108000</v>
      </c>
      <c r="J199" s="45">
        <v>107197</v>
      </c>
      <c r="K199" s="1" t="str">
        <f>TRIM(Cleaned_CRM_Data!H199)</f>
        <v>Rejected</v>
      </c>
      <c r="L199" t="str">
        <f>IFERROR(VLOOKUP(K199, Status_Mapping!A:B, 2,), "Not Found")</f>
        <v>Rejected</v>
      </c>
      <c r="N199" s="29" t="str">
        <f>IF(M199="","",M199-B199)</f>
        <v/>
      </c>
      <c r="O199" s="1" t="str">
        <f t="shared" si="14"/>
        <v>Starter</v>
      </c>
      <c r="P199" t="str">
        <f>TEXT(B199, "mmmm")</f>
        <v>July</v>
      </c>
      <c r="Q199" t="str">
        <f t="shared" si="15"/>
        <v>Q3</v>
      </c>
      <c r="R199" t="str">
        <f>IFERROR(VLOOKUP(TRIM(CLEAN(G199)),Sheet14!$A$2:$B$19,2,FALSE),"Not Mapped")</f>
        <v>West</v>
      </c>
    </row>
    <row r="200" spans="1:18">
      <c r="A200" t="str">
        <f t="shared" si="12"/>
        <v>EOS0199</v>
      </c>
      <c r="B200" s="35">
        <v>45839</v>
      </c>
      <c r="C200" s="1" t="s">
        <v>267</v>
      </c>
      <c r="D200" s="1" t="str">
        <f t="shared" si="13"/>
        <v>FB</v>
      </c>
      <c r="E200" s="1" t="s">
        <v>575</v>
      </c>
      <c r="F200" s="1" t="s">
        <v>300</v>
      </c>
      <c r="G200" s="1" t="s">
        <v>223</v>
      </c>
      <c r="H200" s="1" t="s">
        <v>149</v>
      </c>
      <c r="I200" s="1">
        <v>130000</v>
      </c>
      <c r="J200" s="45">
        <v>107198</v>
      </c>
      <c r="K200" s="1" t="str">
        <f>TRIM(Cleaned_CRM_Data!H200)</f>
        <v>Rejected</v>
      </c>
      <c r="L200" t="str">
        <f>IFERROR(VLOOKUP(K200, Status_Mapping!A:B, 2,), "Not Found")</f>
        <v>Rejected</v>
      </c>
      <c r="N200" s="29" t="str">
        <f>IF(M200="","",M200-B200)</f>
        <v/>
      </c>
      <c r="O200" s="1" t="str">
        <f t="shared" si="14"/>
        <v>Starter</v>
      </c>
      <c r="P200" t="str">
        <f>TEXT(B200, "mmmm")</f>
        <v>July</v>
      </c>
      <c r="Q200" t="str">
        <f t="shared" si="15"/>
        <v>Q3</v>
      </c>
      <c r="R200" t="str">
        <f>IFERROR(VLOOKUP(TRIM(CLEAN(G200)),Sheet14!$A$2:$B$19,2,FALSE),"Not Mapped")</f>
        <v>West</v>
      </c>
    </row>
    <row r="201" spans="1:18">
      <c r="A201" t="str">
        <f t="shared" si="12"/>
        <v>EOS0200</v>
      </c>
      <c r="B201" s="35">
        <v>45839</v>
      </c>
      <c r="C201" s="1" t="s">
        <v>267</v>
      </c>
      <c r="D201" s="1" t="str">
        <f t="shared" si="13"/>
        <v>FB</v>
      </c>
      <c r="E201" s="1" t="s">
        <v>576</v>
      </c>
      <c r="F201" s="1" t="s">
        <v>346</v>
      </c>
      <c r="G201" s="1" t="s">
        <v>223</v>
      </c>
      <c r="H201" s="1" t="s">
        <v>149</v>
      </c>
      <c r="I201" s="1">
        <v>130000</v>
      </c>
      <c r="J201" s="45">
        <v>107199</v>
      </c>
      <c r="K201" s="1" t="str">
        <f>TRIM(Cleaned_CRM_Data!H201)</f>
        <v>Rejected</v>
      </c>
      <c r="L201" t="str">
        <f>IFERROR(VLOOKUP(K201, Status_Mapping!A:B, 2,), "Not Found")</f>
        <v>Rejected</v>
      </c>
      <c r="N201" s="29" t="str">
        <f>IF(M201="","",M201-B201)</f>
        <v/>
      </c>
      <c r="O201" s="1" t="str">
        <f t="shared" si="14"/>
        <v>Starter</v>
      </c>
      <c r="P201" t="str">
        <f>TEXT(B201, "mmmm")</f>
        <v>July</v>
      </c>
      <c r="Q201" t="str">
        <f t="shared" si="15"/>
        <v>Q3</v>
      </c>
      <c r="R201" t="str">
        <f>IFERROR(VLOOKUP(TRIM(CLEAN(G201)),Sheet14!$A$2:$B$19,2,FALSE),"Not Mapped")</f>
        <v>West</v>
      </c>
    </row>
    <row r="202" spans="1:18">
      <c r="A202" t="str">
        <f t="shared" si="12"/>
        <v>EOS0201</v>
      </c>
      <c r="B202" s="35">
        <v>45839</v>
      </c>
      <c r="C202" s="1" t="s">
        <v>267</v>
      </c>
      <c r="D202" s="1" t="str">
        <f t="shared" si="13"/>
        <v>FB</v>
      </c>
      <c r="E202" s="1" t="s">
        <v>577</v>
      </c>
      <c r="F202" s="1" t="s">
        <v>578</v>
      </c>
      <c r="G202" s="1" t="s">
        <v>236</v>
      </c>
      <c r="H202" s="1" t="s">
        <v>149</v>
      </c>
      <c r="I202" s="1">
        <v>308000</v>
      </c>
      <c r="J202" s="45">
        <v>107200</v>
      </c>
      <c r="K202" s="1" t="str">
        <f>TRIM(Cleaned_CRM_Data!H202)</f>
        <v>Rejected</v>
      </c>
      <c r="L202" t="str">
        <f>IFERROR(VLOOKUP(K202, Status_Mapping!A:B, 2,), "Not Found")</f>
        <v>Rejected</v>
      </c>
      <c r="N202" s="29" t="str">
        <f>IF(M202="","",M202-B202)</f>
        <v/>
      </c>
      <c r="O202" s="1" t="str">
        <f t="shared" si="14"/>
        <v>Premium</v>
      </c>
      <c r="P202" t="str">
        <f>TEXT(B202, "mmmm")</f>
        <v>July</v>
      </c>
      <c r="Q202" t="str">
        <f t="shared" si="15"/>
        <v>Q3</v>
      </c>
      <c r="R202" t="str">
        <f>IFERROR(VLOOKUP(TRIM(CLEAN(G202)),Sheet14!$A$2:$B$19,2,FALSE),"Not Mapped")</f>
        <v>North</v>
      </c>
    </row>
    <row r="203" spans="1:18">
      <c r="A203" t="str">
        <f t="shared" si="12"/>
        <v>EOS0202</v>
      </c>
      <c r="B203" s="35">
        <v>45839</v>
      </c>
      <c r="C203" s="1" t="s">
        <v>267</v>
      </c>
      <c r="D203" s="1" t="str">
        <f t="shared" si="13"/>
        <v>FB</v>
      </c>
      <c r="E203" s="1" t="s">
        <v>579</v>
      </c>
      <c r="F203" s="1" t="s">
        <v>580</v>
      </c>
      <c r="G203" s="1" t="s">
        <v>238</v>
      </c>
      <c r="H203" s="1" t="s">
        <v>149</v>
      </c>
      <c r="I203" s="1">
        <v>130000</v>
      </c>
      <c r="J203" s="45">
        <v>107201</v>
      </c>
      <c r="K203" s="1" t="str">
        <f>TRIM(Cleaned_CRM_Data!H203)</f>
        <v>Rejected</v>
      </c>
      <c r="L203" t="str">
        <f>IFERROR(VLOOKUP(K203, Status_Mapping!A:B, 2,), "Not Found")</f>
        <v>Rejected</v>
      </c>
      <c r="N203" s="29" t="str">
        <f>IF(M203="","",M203-B203)</f>
        <v/>
      </c>
      <c r="O203" s="1" t="str">
        <f t="shared" si="14"/>
        <v>Starter</v>
      </c>
      <c r="P203" t="str">
        <f>TEXT(B203, "mmmm")</f>
        <v>July</v>
      </c>
      <c r="Q203" t="str">
        <f t="shared" si="15"/>
        <v>Q3</v>
      </c>
      <c r="R203" t="str">
        <f>IFERROR(VLOOKUP(TRIM(CLEAN(G203)),Sheet14!$A$2:$B$19,2,FALSE),"Not Mapped")</f>
        <v>North</v>
      </c>
    </row>
    <row r="204" spans="1:18">
      <c r="A204" t="str">
        <f t="shared" si="12"/>
        <v>EOS0203</v>
      </c>
      <c r="B204" s="35">
        <v>45839</v>
      </c>
      <c r="C204" s="1" t="s">
        <v>267</v>
      </c>
      <c r="D204" s="1" t="str">
        <f t="shared" si="13"/>
        <v>FB</v>
      </c>
      <c r="E204" s="1" t="s">
        <v>581</v>
      </c>
      <c r="F204" s="1" t="s">
        <v>582</v>
      </c>
      <c r="G204" s="1" t="s">
        <v>583</v>
      </c>
      <c r="H204" s="1" t="s">
        <v>149</v>
      </c>
      <c r="I204" s="1">
        <v>108000</v>
      </c>
      <c r="J204" s="45">
        <v>107202</v>
      </c>
      <c r="K204" s="1" t="str">
        <f>TRIM(Cleaned_CRM_Data!H204)</f>
        <v>Rejected</v>
      </c>
      <c r="L204" t="str">
        <f>IFERROR(VLOOKUP(K204, Status_Mapping!A:B, 2,), "Not Found")</f>
        <v>Rejected</v>
      </c>
      <c r="N204" s="29" t="str">
        <f>IF(M204="","",M204-B204)</f>
        <v/>
      </c>
      <c r="O204" s="1" t="str">
        <f t="shared" si="14"/>
        <v>Starter</v>
      </c>
      <c r="P204" t="str">
        <f>TEXT(B204, "mmmm")</f>
        <v>July</v>
      </c>
      <c r="Q204" t="str">
        <f t="shared" si="15"/>
        <v>Q3</v>
      </c>
      <c r="R204" t="str">
        <f>IFERROR(VLOOKUP(TRIM(CLEAN(G204)),Sheet14!$A$2:$B$19,2,FALSE),"Not Mapped")</f>
        <v>East</v>
      </c>
    </row>
    <row r="205" spans="1:18">
      <c r="A205" t="str">
        <f t="shared" si="12"/>
        <v>EOS0204</v>
      </c>
      <c r="B205" s="35">
        <v>45839</v>
      </c>
      <c r="C205" s="1" t="s">
        <v>267</v>
      </c>
      <c r="D205" s="1" t="str">
        <f t="shared" si="13"/>
        <v>FB</v>
      </c>
      <c r="E205" s="1" t="s">
        <v>584</v>
      </c>
      <c r="F205" s="1" t="s">
        <v>585</v>
      </c>
      <c r="G205" s="1" t="s">
        <v>215</v>
      </c>
      <c r="H205" s="1" t="s">
        <v>149</v>
      </c>
      <c r="I205" s="1">
        <v>177000</v>
      </c>
      <c r="J205" s="45">
        <v>107203</v>
      </c>
      <c r="K205" s="1" t="str">
        <f>TRIM(Cleaned_CRM_Data!H205)</f>
        <v>Rejected</v>
      </c>
      <c r="L205" t="str">
        <f>IFERROR(VLOOKUP(K205, Status_Mapping!A:B, 2,), "Not Found")</f>
        <v>Rejected</v>
      </c>
      <c r="N205" s="29" t="str">
        <f>IF(M205="","",M205-B205)</f>
        <v/>
      </c>
      <c r="O205" s="1" t="str">
        <f t="shared" si="14"/>
        <v>Growth</v>
      </c>
      <c r="P205" t="str">
        <f>TEXT(B205, "mmmm")</f>
        <v>July</v>
      </c>
      <c r="Q205" t="str">
        <f t="shared" si="15"/>
        <v>Q3</v>
      </c>
      <c r="R205" t="str">
        <f>IFERROR(VLOOKUP(TRIM(CLEAN(G205)),Sheet14!$A$2:$B$19,2,FALSE),"Not Mapped")</f>
        <v>East</v>
      </c>
    </row>
    <row r="206" spans="1:18">
      <c r="A206" t="str">
        <f t="shared" si="12"/>
        <v>EOS0205</v>
      </c>
      <c r="B206" s="35">
        <v>45839</v>
      </c>
      <c r="C206" s="1" t="s">
        <v>267</v>
      </c>
      <c r="D206" s="1" t="str">
        <f t="shared" si="13"/>
        <v>FB</v>
      </c>
      <c r="E206" s="1" t="s">
        <v>586</v>
      </c>
      <c r="F206" s="1" t="s">
        <v>587</v>
      </c>
      <c r="G206" s="1" t="s">
        <v>223</v>
      </c>
      <c r="H206" s="1" t="s">
        <v>149</v>
      </c>
      <c r="I206" s="1">
        <v>108000</v>
      </c>
      <c r="J206" s="45">
        <v>107204</v>
      </c>
      <c r="K206" s="1" t="str">
        <f>TRIM(Cleaned_CRM_Data!H206)</f>
        <v>Rejected</v>
      </c>
      <c r="L206" t="str">
        <f>IFERROR(VLOOKUP(K206, Status_Mapping!A:B, 2,), "Not Found")</f>
        <v>Rejected</v>
      </c>
      <c r="N206" s="29" t="str">
        <f>IF(M206="","",M206-B206)</f>
        <v/>
      </c>
      <c r="O206" s="1" t="str">
        <f t="shared" si="14"/>
        <v>Starter</v>
      </c>
      <c r="P206" t="str">
        <f>TEXT(B206, "mmmm")</f>
        <v>July</v>
      </c>
      <c r="Q206" t="str">
        <f t="shared" si="15"/>
        <v>Q3</v>
      </c>
      <c r="R206" t="str">
        <f>IFERROR(VLOOKUP(TRIM(CLEAN(G206)),Sheet14!$A$2:$B$19,2,FALSE),"Not Mapped")</f>
        <v>West</v>
      </c>
    </row>
    <row r="207" spans="1:18">
      <c r="A207" t="str">
        <f t="shared" si="12"/>
        <v>EOS0206</v>
      </c>
      <c r="B207" s="35">
        <v>45840</v>
      </c>
      <c r="C207" s="1" t="s">
        <v>267</v>
      </c>
      <c r="D207" s="1" t="str">
        <f t="shared" si="13"/>
        <v>FB</v>
      </c>
      <c r="E207" s="1" t="s">
        <v>588</v>
      </c>
      <c r="F207" s="1" t="s">
        <v>589</v>
      </c>
      <c r="G207" s="1" t="s">
        <v>223</v>
      </c>
      <c r="H207" s="1" t="s">
        <v>149</v>
      </c>
      <c r="I207" s="1">
        <v>108000</v>
      </c>
      <c r="J207" s="45">
        <v>107205</v>
      </c>
      <c r="K207" s="1" t="str">
        <f>TRIM(Cleaned_CRM_Data!H207)</f>
        <v>Rejected</v>
      </c>
      <c r="L207" t="str">
        <f>IFERROR(VLOOKUP(K207, Status_Mapping!A:B, 2,), "Not Found")</f>
        <v>Rejected</v>
      </c>
      <c r="N207" s="29" t="str">
        <f>IF(M207="","",M207-B207)</f>
        <v/>
      </c>
      <c r="O207" s="1" t="str">
        <f t="shared" si="14"/>
        <v>Starter</v>
      </c>
      <c r="P207" t="str">
        <f>TEXT(B207, "mmmm")</f>
        <v>July</v>
      </c>
      <c r="Q207" t="str">
        <f t="shared" si="15"/>
        <v>Q3</v>
      </c>
      <c r="R207" t="str">
        <f>IFERROR(VLOOKUP(TRIM(CLEAN(G207)),Sheet14!$A$2:$B$19,2,FALSE),"Not Mapped")</f>
        <v>West</v>
      </c>
    </row>
    <row r="208" spans="1:18">
      <c r="A208" t="str">
        <f t="shared" si="12"/>
        <v>EOS0207</v>
      </c>
      <c r="B208" s="35">
        <v>45840</v>
      </c>
      <c r="C208" s="1" t="s">
        <v>267</v>
      </c>
      <c r="D208" s="1" t="str">
        <f t="shared" si="13"/>
        <v>FB</v>
      </c>
      <c r="E208" s="1" t="s">
        <v>590</v>
      </c>
      <c r="F208" s="1" t="s">
        <v>533</v>
      </c>
      <c r="G208" s="1" t="s">
        <v>223</v>
      </c>
      <c r="H208" s="1" t="s">
        <v>149</v>
      </c>
      <c r="I208" s="1">
        <v>130000</v>
      </c>
      <c r="J208" s="45">
        <v>107206</v>
      </c>
      <c r="K208" s="1" t="str">
        <f>TRIM(Cleaned_CRM_Data!H208)</f>
        <v>Rejected</v>
      </c>
      <c r="L208" t="str">
        <f>IFERROR(VLOOKUP(K208, Status_Mapping!A:B, 2,), "Not Found")</f>
        <v>Rejected</v>
      </c>
      <c r="N208" s="29" t="str">
        <f>IF(M208="","",M208-B208)</f>
        <v/>
      </c>
      <c r="O208" s="1" t="str">
        <f t="shared" si="14"/>
        <v>Starter</v>
      </c>
      <c r="P208" t="str">
        <f>TEXT(B208, "mmmm")</f>
        <v>July</v>
      </c>
      <c r="Q208" t="str">
        <f t="shared" si="15"/>
        <v>Q3</v>
      </c>
      <c r="R208" t="str">
        <f>IFERROR(VLOOKUP(TRIM(CLEAN(G208)),Sheet14!$A$2:$B$19,2,FALSE),"Not Mapped")</f>
        <v>West</v>
      </c>
    </row>
    <row r="209" spans="1:18">
      <c r="A209" t="str">
        <f t="shared" si="12"/>
        <v>EOS0208</v>
      </c>
      <c r="B209" s="35">
        <v>45840</v>
      </c>
      <c r="C209" s="1" t="s">
        <v>267</v>
      </c>
      <c r="D209" s="1" t="str">
        <f t="shared" si="13"/>
        <v>FB</v>
      </c>
      <c r="E209" s="1" t="s">
        <v>591</v>
      </c>
      <c r="F209" s="1" t="s">
        <v>313</v>
      </c>
      <c r="G209" s="1" t="s">
        <v>223</v>
      </c>
      <c r="H209" s="1" t="s">
        <v>149</v>
      </c>
      <c r="I209" s="1">
        <v>108000</v>
      </c>
      <c r="J209" s="45">
        <v>107207</v>
      </c>
      <c r="K209" s="1" t="str">
        <f>TRIM(Cleaned_CRM_Data!H209)</f>
        <v>Rejected</v>
      </c>
      <c r="L209" t="str">
        <f>IFERROR(VLOOKUP(K209, Status_Mapping!A:B, 2,), "Not Found")</f>
        <v>Rejected</v>
      </c>
      <c r="N209" s="29" t="str">
        <f>IF(M209="","",M209-B209)</f>
        <v/>
      </c>
      <c r="O209" s="1" t="str">
        <f t="shared" si="14"/>
        <v>Starter</v>
      </c>
      <c r="P209" t="str">
        <f>TEXT(B209, "mmmm")</f>
        <v>July</v>
      </c>
      <c r="Q209" t="str">
        <f t="shared" si="15"/>
        <v>Q3</v>
      </c>
      <c r="R209" t="str">
        <f>IFERROR(VLOOKUP(TRIM(CLEAN(G209)),Sheet14!$A$2:$B$19,2,FALSE),"Not Mapped")</f>
        <v>West</v>
      </c>
    </row>
    <row r="210" spans="1:18">
      <c r="A210" t="str">
        <f t="shared" si="12"/>
        <v>EOS0209</v>
      </c>
      <c r="B210" s="35">
        <v>45840</v>
      </c>
      <c r="C210" s="1" t="s">
        <v>267</v>
      </c>
      <c r="D210" s="1" t="str">
        <f t="shared" si="13"/>
        <v>FB</v>
      </c>
      <c r="E210" s="1" t="s">
        <v>592</v>
      </c>
      <c r="F210" s="1" t="s">
        <v>313</v>
      </c>
      <c r="G210" s="1" t="s">
        <v>223</v>
      </c>
      <c r="H210" s="1" t="s">
        <v>149</v>
      </c>
      <c r="I210" s="1">
        <v>130000</v>
      </c>
      <c r="J210" s="45">
        <v>107208</v>
      </c>
      <c r="K210" s="1" t="str">
        <f>TRIM(Cleaned_CRM_Data!H210)</f>
        <v>Rejected</v>
      </c>
      <c r="L210" t="str">
        <f>IFERROR(VLOOKUP(K210, Status_Mapping!A:B, 2,), "Not Found")</f>
        <v>Rejected</v>
      </c>
      <c r="N210" s="29" t="str">
        <f>IF(M210="","",M210-B210)</f>
        <v/>
      </c>
      <c r="O210" s="1" t="str">
        <f t="shared" si="14"/>
        <v>Starter</v>
      </c>
      <c r="P210" t="str">
        <f>TEXT(B210, "mmmm")</f>
        <v>July</v>
      </c>
      <c r="Q210" t="str">
        <f t="shared" si="15"/>
        <v>Q3</v>
      </c>
      <c r="R210" t="str">
        <f>IFERROR(VLOOKUP(TRIM(CLEAN(G210)),Sheet14!$A$2:$B$19,2,FALSE),"Not Mapped")</f>
        <v>West</v>
      </c>
    </row>
    <row r="211" spans="1:18">
      <c r="A211" t="str">
        <f t="shared" si="12"/>
        <v>EOS0210</v>
      </c>
      <c r="B211" s="35">
        <v>45840</v>
      </c>
      <c r="C211" s="1" t="s">
        <v>267</v>
      </c>
      <c r="D211" s="1" t="str">
        <f t="shared" si="13"/>
        <v>FB</v>
      </c>
      <c r="E211" s="1" t="s">
        <v>593</v>
      </c>
      <c r="F211" s="1" t="s">
        <v>333</v>
      </c>
      <c r="G211" s="1" t="s">
        <v>223</v>
      </c>
      <c r="H211" s="1" t="s">
        <v>149</v>
      </c>
      <c r="I211" s="1">
        <v>108000</v>
      </c>
      <c r="J211" s="45">
        <v>107209</v>
      </c>
      <c r="K211" s="1" t="str">
        <f>TRIM(Cleaned_CRM_Data!H211)</f>
        <v>Rejected</v>
      </c>
      <c r="L211" t="str">
        <f>IFERROR(VLOOKUP(K211, Status_Mapping!A:B, 2,), "Not Found")</f>
        <v>Rejected</v>
      </c>
      <c r="N211" s="29" t="str">
        <f>IF(M211="","",M211-B211)</f>
        <v/>
      </c>
      <c r="O211" s="1" t="str">
        <f t="shared" si="14"/>
        <v>Starter</v>
      </c>
      <c r="P211" t="str">
        <f>TEXT(B211, "mmmm")</f>
        <v>July</v>
      </c>
      <c r="Q211" t="str">
        <f t="shared" si="15"/>
        <v>Q3</v>
      </c>
      <c r="R211" t="str">
        <f>IFERROR(VLOOKUP(TRIM(CLEAN(G211)),Sheet14!$A$2:$B$19,2,FALSE),"Not Mapped")</f>
        <v>West</v>
      </c>
    </row>
    <row r="212" spans="1:18">
      <c r="A212" t="str">
        <f t="shared" si="12"/>
        <v>EOS0211</v>
      </c>
      <c r="B212" s="35">
        <v>45840</v>
      </c>
      <c r="C212" s="1" t="s">
        <v>267</v>
      </c>
      <c r="D212" s="1" t="str">
        <f t="shared" si="13"/>
        <v>FB</v>
      </c>
      <c r="E212" s="1" t="s">
        <v>594</v>
      </c>
      <c r="F212" s="1" t="s">
        <v>275</v>
      </c>
      <c r="G212" s="1" t="s">
        <v>223</v>
      </c>
      <c r="H212" s="1" t="s">
        <v>149</v>
      </c>
      <c r="I212" s="1">
        <v>108000</v>
      </c>
      <c r="J212" s="45">
        <v>107210</v>
      </c>
      <c r="K212" s="1" t="str">
        <f>TRIM(Cleaned_CRM_Data!H212)</f>
        <v>Rejected</v>
      </c>
      <c r="L212" t="str">
        <f>IFERROR(VLOOKUP(K212, Status_Mapping!A:B, 2,), "Not Found")</f>
        <v>Rejected</v>
      </c>
      <c r="N212" s="29" t="str">
        <f>IF(M212="","",M212-B212)</f>
        <v/>
      </c>
      <c r="O212" s="1" t="str">
        <f t="shared" si="14"/>
        <v>Starter</v>
      </c>
      <c r="P212" t="str">
        <f>TEXT(B212, "mmmm")</f>
        <v>July</v>
      </c>
      <c r="Q212" t="str">
        <f t="shared" si="15"/>
        <v>Q3</v>
      </c>
      <c r="R212" t="str">
        <f>IFERROR(VLOOKUP(TRIM(CLEAN(G212)),Sheet14!$A$2:$B$19,2,FALSE),"Not Mapped")</f>
        <v>West</v>
      </c>
    </row>
    <row r="213" spans="1:18">
      <c r="A213" t="str">
        <f t="shared" si="12"/>
        <v>EOS0212</v>
      </c>
      <c r="B213" s="35">
        <v>45840</v>
      </c>
      <c r="C213" s="1" t="s">
        <v>267</v>
      </c>
      <c r="D213" s="1" t="str">
        <f t="shared" si="13"/>
        <v>FB</v>
      </c>
      <c r="E213" s="1" t="s">
        <v>595</v>
      </c>
      <c r="F213" s="1" t="s">
        <v>596</v>
      </c>
      <c r="G213" s="1" t="s">
        <v>223</v>
      </c>
      <c r="H213" s="1" t="s">
        <v>40</v>
      </c>
      <c r="I213" s="1">
        <v>108000</v>
      </c>
      <c r="J213" s="45">
        <v>107211</v>
      </c>
      <c r="K213" s="1" t="str">
        <f>TRIM(Cleaned_CRM_Data!H213)</f>
        <v>Deal</v>
      </c>
      <c r="L213" t="str">
        <f>IFERROR(VLOOKUP(K213, Status_Mapping!A:B, 2,), "Not Found")</f>
        <v>Converted</v>
      </c>
      <c r="N213" s="29" t="str">
        <f>IF(M213="","",M213-B213)</f>
        <v/>
      </c>
      <c r="O213" s="1" t="str">
        <f t="shared" si="14"/>
        <v>Starter</v>
      </c>
      <c r="P213" t="str">
        <f>TEXT(B213, "mmmm")</f>
        <v>July</v>
      </c>
      <c r="Q213" t="str">
        <f t="shared" si="15"/>
        <v>Q3</v>
      </c>
      <c r="R213" t="str">
        <f>IFERROR(VLOOKUP(TRIM(CLEAN(G213)),Sheet14!$A$2:$B$19,2,FALSE),"Not Mapped")</f>
        <v>West</v>
      </c>
    </row>
    <row r="214" spans="1:18">
      <c r="A214" t="str">
        <f t="shared" si="12"/>
        <v>EOS0213</v>
      </c>
      <c r="B214" s="35">
        <v>45840</v>
      </c>
      <c r="C214" s="1" t="s">
        <v>267</v>
      </c>
      <c r="D214" s="1" t="str">
        <f t="shared" si="13"/>
        <v>FB</v>
      </c>
      <c r="E214" s="1" t="s">
        <v>597</v>
      </c>
      <c r="F214" s="1" t="s">
        <v>300</v>
      </c>
      <c r="G214" s="1" t="s">
        <v>223</v>
      </c>
      <c r="H214" s="1" t="s">
        <v>149</v>
      </c>
      <c r="I214" s="1">
        <v>108000</v>
      </c>
      <c r="J214" s="45">
        <v>107212</v>
      </c>
      <c r="K214" s="1" t="str">
        <f>TRIM(Cleaned_CRM_Data!H214)</f>
        <v>Rejected</v>
      </c>
      <c r="L214" t="str">
        <f>IFERROR(VLOOKUP(K214, Status_Mapping!A:B, 2,), "Not Found")</f>
        <v>Rejected</v>
      </c>
      <c r="N214" s="29" t="str">
        <f>IF(M214="","",M214-B214)</f>
        <v/>
      </c>
      <c r="O214" s="1" t="str">
        <f t="shared" si="14"/>
        <v>Starter</v>
      </c>
      <c r="P214" t="str">
        <f>TEXT(B214, "mmmm")</f>
        <v>July</v>
      </c>
      <c r="Q214" t="str">
        <f t="shared" si="15"/>
        <v>Q3</v>
      </c>
      <c r="R214" t="str">
        <f>IFERROR(VLOOKUP(TRIM(CLEAN(G214)),Sheet14!$A$2:$B$19,2,FALSE),"Not Mapped")</f>
        <v>West</v>
      </c>
    </row>
    <row r="215" spans="1:18">
      <c r="A215" t="str">
        <f t="shared" si="12"/>
        <v>EOS0214</v>
      </c>
      <c r="B215" s="35">
        <v>45840</v>
      </c>
      <c r="C215" s="1" t="s">
        <v>267</v>
      </c>
      <c r="D215" s="1" t="str">
        <f t="shared" si="13"/>
        <v>FB</v>
      </c>
      <c r="E215" s="1" t="s">
        <v>598</v>
      </c>
      <c r="F215" s="1" t="s">
        <v>599</v>
      </c>
      <c r="G215" s="1" t="s">
        <v>223</v>
      </c>
      <c r="H215" s="1" t="s">
        <v>149</v>
      </c>
      <c r="I215" s="1">
        <v>177000</v>
      </c>
      <c r="J215" s="45">
        <v>107213</v>
      </c>
      <c r="K215" s="1" t="str">
        <f>TRIM(Cleaned_CRM_Data!H215)</f>
        <v>Rejected</v>
      </c>
      <c r="L215" t="str">
        <f>IFERROR(VLOOKUP(K215, Status_Mapping!A:B, 2,), "Not Found")</f>
        <v>Rejected</v>
      </c>
      <c r="N215" s="29" t="str">
        <f>IF(M215="","",M215-B215)</f>
        <v/>
      </c>
      <c r="O215" s="1" t="str">
        <f t="shared" si="14"/>
        <v>Growth</v>
      </c>
      <c r="P215" t="str">
        <f>TEXT(B215, "mmmm")</f>
        <v>July</v>
      </c>
      <c r="Q215" t="str">
        <f t="shared" si="15"/>
        <v>Q3</v>
      </c>
      <c r="R215" t="str">
        <f>IFERROR(VLOOKUP(TRIM(CLEAN(G215)),Sheet14!$A$2:$B$19,2,FALSE),"Not Mapped")</f>
        <v>West</v>
      </c>
    </row>
    <row r="216" spans="1:18">
      <c r="A216" t="str">
        <f t="shared" si="12"/>
        <v>EOS0215</v>
      </c>
      <c r="B216" s="35">
        <v>45840</v>
      </c>
      <c r="C216" s="1" t="s">
        <v>267</v>
      </c>
      <c r="D216" s="1" t="str">
        <f t="shared" si="13"/>
        <v>FB</v>
      </c>
      <c r="E216" s="1" t="s">
        <v>600</v>
      </c>
      <c r="F216" s="1" t="s">
        <v>601</v>
      </c>
      <c r="G216" s="1" t="s">
        <v>223</v>
      </c>
      <c r="H216" s="1" t="s">
        <v>149</v>
      </c>
      <c r="I216" s="1">
        <v>177000</v>
      </c>
      <c r="J216" s="45">
        <v>107214</v>
      </c>
      <c r="K216" s="1" t="str">
        <f>TRIM(Cleaned_CRM_Data!H216)</f>
        <v>Rejected</v>
      </c>
      <c r="L216" t="str">
        <f>IFERROR(VLOOKUP(K216, Status_Mapping!A:B, 2,), "Not Found")</f>
        <v>Rejected</v>
      </c>
      <c r="N216" s="29" t="str">
        <f>IF(M216="","",M216-B216)</f>
        <v/>
      </c>
      <c r="O216" s="1" t="str">
        <f t="shared" si="14"/>
        <v>Growth</v>
      </c>
      <c r="P216" t="str">
        <f>TEXT(B216, "mmmm")</f>
        <v>July</v>
      </c>
      <c r="Q216" t="str">
        <f t="shared" si="15"/>
        <v>Q3</v>
      </c>
      <c r="R216" t="str">
        <f>IFERROR(VLOOKUP(TRIM(CLEAN(G216)),Sheet14!$A$2:$B$19,2,FALSE),"Not Mapped")</f>
        <v>West</v>
      </c>
    </row>
    <row r="217" spans="1:18">
      <c r="A217" t="str">
        <f t="shared" si="12"/>
        <v>EOS0216</v>
      </c>
      <c r="B217" s="35">
        <v>45840</v>
      </c>
      <c r="C217" s="1" t="s">
        <v>267</v>
      </c>
      <c r="D217" s="1" t="str">
        <f t="shared" si="13"/>
        <v>FB</v>
      </c>
      <c r="E217" s="1" t="s">
        <v>602</v>
      </c>
      <c r="F217" s="1" t="s">
        <v>603</v>
      </c>
      <c r="G217" s="1" t="s">
        <v>236</v>
      </c>
      <c r="H217" s="1" t="s">
        <v>149</v>
      </c>
      <c r="I217" s="1">
        <v>108000</v>
      </c>
      <c r="J217" s="45">
        <v>107215</v>
      </c>
      <c r="K217" s="1" t="str">
        <f>TRIM(Cleaned_CRM_Data!H217)</f>
        <v>Rejected</v>
      </c>
      <c r="L217" t="str">
        <f>IFERROR(VLOOKUP(K217, Status_Mapping!A:B, 2,), "Not Found")</f>
        <v>Rejected</v>
      </c>
      <c r="N217" s="29" t="str">
        <f>IF(M217="","",M217-B217)</f>
        <v/>
      </c>
      <c r="O217" s="1" t="str">
        <f t="shared" si="14"/>
        <v>Starter</v>
      </c>
      <c r="P217" t="str">
        <f>TEXT(B217, "mmmm")</f>
        <v>July</v>
      </c>
      <c r="Q217" t="str">
        <f t="shared" si="15"/>
        <v>Q3</v>
      </c>
      <c r="R217" t="str">
        <f>IFERROR(VLOOKUP(TRIM(CLEAN(G217)),Sheet14!$A$2:$B$19,2,FALSE),"Not Mapped")</f>
        <v>North</v>
      </c>
    </row>
    <row r="218" spans="1:18">
      <c r="A218" t="str">
        <f t="shared" si="12"/>
        <v>EOS0217</v>
      </c>
      <c r="B218" s="35">
        <v>45840</v>
      </c>
      <c r="C218" s="1" t="s">
        <v>267</v>
      </c>
      <c r="D218" s="1" t="str">
        <f t="shared" si="13"/>
        <v>FB</v>
      </c>
      <c r="E218" s="1" t="s">
        <v>604</v>
      </c>
      <c r="F218" s="1" t="s">
        <v>605</v>
      </c>
      <c r="G218" s="1" t="s">
        <v>228</v>
      </c>
      <c r="H218" s="1" t="s">
        <v>149</v>
      </c>
      <c r="I218" s="1">
        <v>177000</v>
      </c>
      <c r="J218" s="45">
        <v>107216</v>
      </c>
      <c r="K218" s="1" t="str">
        <f>TRIM(Cleaned_CRM_Data!H218)</f>
        <v>Rejected</v>
      </c>
      <c r="L218" t="str">
        <f>IFERROR(VLOOKUP(K218, Status_Mapping!A:B, 2,), "Not Found")</f>
        <v>Rejected</v>
      </c>
      <c r="N218" s="29" t="str">
        <f>IF(M218="","",M218-B218)</f>
        <v/>
      </c>
      <c r="O218" s="1" t="str">
        <f t="shared" si="14"/>
        <v>Growth</v>
      </c>
      <c r="P218" t="str">
        <f>TEXT(B218, "mmmm")</f>
        <v>July</v>
      </c>
      <c r="Q218" t="str">
        <f t="shared" si="15"/>
        <v>Q3</v>
      </c>
      <c r="R218" t="str">
        <f>IFERROR(VLOOKUP(TRIM(CLEAN(G218)),Sheet14!$A$2:$B$19,2,FALSE),"Not Mapped")</f>
        <v>Central</v>
      </c>
    </row>
    <row r="219" spans="1:18">
      <c r="A219" t="str">
        <f t="shared" si="12"/>
        <v>EOS0218</v>
      </c>
      <c r="B219" s="35">
        <v>45840</v>
      </c>
      <c r="C219" s="1" t="s">
        <v>267</v>
      </c>
      <c r="D219" s="1" t="str">
        <f t="shared" si="13"/>
        <v>FB</v>
      </c>
      <c r="E219" s="1" t="s">
        <v>606</v>
      </c>
      <c r="F219" s="1" t="s">
        <v>607</v>
      </c>
      <c r="G219" s="1" t="s">
        <v>235</v>
      </c>
      <c r="H219" s="1" t="s">
        <v>149</v>
      </c>
      <c r="I219" s="1">
        <v>108000</v>
      </c>
      <c r="J219" s="45">
        <v>107217</v>
      </c>
      <c r="K219" s="1" t="str">
        <f>TRIM(Cleaned_CRM_Data!H219)</f>
        <v>Rejected</v>
      </c>
      <c r="L219" t="str">
        <f>IFERROR(VLOOKUP(K219, Status_Mapping!A:B, 2,), "Not Found")</f>
        <v>Rejected</v>
      </c>
      <c r="N219" s="29" t="str">
        <f>IF(M219="","",M219-B219)</f>
        <v/>
      </c>
      <c r="O219" s="1" t="str">
        <f t="shared" si="14"/>
        <v>Starter</v>
      </c>
      <c r="P219" t="str">
        <f>TEXT(B219, "mmmm")</f>
        <v>July</v>
      </c>
      <c r="Q219" t="str">
        <f t="shared" si="15"/>
        <v>Q3</v>
      </c>
      <c r="R219" t="str">
        <f>IFERROR(VLOOKUP(TRIM(CLEAN(G219)),Sheet14!$A$2:$B$19,2,FALSE),"Not Mapped")</f>
        <v>West</v>
      </c>
    </row>
    <row r="220" spans="1:18">
      <c r="A220" t="str">
        <f t="shared" si="12"/>
        <v>EOS0219</v>
      </c>
      <c r="B220" s="35">
        <v>45840</v>
      </c>
      <c r="C220" s="1" t="s">
        <v>267</v>
      </c>
      <c r="D220" s="1" t="str">
        <f t="shared" si="13"/>
        <v>FB</v>
      </c>
      <c r="E220" s="1" t="s">
        <v>608</v>
      </c>
      <c r="F220" s="1" t="s">
        <v>609</v>
      </c>
      <c r="G220" s="1" t="s">
        <v>610</v>
      </c>
      <c r="H220" s="1" t="s">
        <v>149</v>
      </c>
      <c r="I220" s="1">
        <v>130000</v>
      </c>
      <c r="J220" s="45">
        <v>107218</v>
      </c>
      <c r="K220" s="1" t="str">
        <f>TRIM(Cleaned_CRM_Data!H220)</f>
        <v>Rejected</v>
      </c>
      <c r="L220" t="str">
        <f>IFERROR(VLOOKUP(K220, Status_Mapping!A:B, 2,), "Not Found")</f>
        <v>Rejected</v>
      </c>
      <c r="N220" s="29" t="str">
        <f>IF(M220="","",M220-B220)</f>
        <v/>
      </c>
      <c r="O220" s="1" t="str">
        <f t="shared" si="14"/>
        <v>Starter</v>
      </c>
      <c r="P220" t="str">
        <f>TEXT(B220, "mmmm")</f>
        <v>July</v>
      </c>
      <c r="Q220" t="str">
        <f t="shared" si="15"/>
        <v>Q3</v>
      </c>
      <c r="R220" t="str">
        <f>IFERROR(VLOOKUP(TRIM(CLEAN(G220)),Sheet14!$A$2:$B$19,2,FALSE),"Not Mapped")</f>
        <v>East</v>
      </c>
    </row>
    <row r="221" spans="1:18">
      <c r="A221" t="str">
        <f t="shared" si="12"/>
        <v>EOS0220</v>
      </c>
      <c r="B221" s="35">
        <v>45840</v>
      </c>
      <c r="C221" s="1" t="s">
        <v>267</v>
      </c>
      <c r="D221" s="1" t="str">
        <f t="shared" si="13"/>
        <v>FB</v>
      </c>
      <c r="E221" s="1" t="s">
        <v>611</v>
      </c>
      <c r="F221" s="1" t="s">
        <v>612</v>
      </c>
      <c r="G221" s="1" t="s">
        <v>236</v>
      </c>
      <c r="H221" s="1" t="s">
        <v>149</v>
      </c>
      <c r="I221" s="1">
        <v>108000</v>
      </c>
      <c r="J221" s="45">
        <v>107219</v>
      </c>
      <c r="K221" s="1" t="str">
        <f>TRIM(Cleaned_CRM_Data!H221)</f>
        <v>Rejected</v>
      </c>
      <c r="L221" t="str">
        <f>IFERROR(VLOOKUP(K221, Status_Mapping!A:B, 2,), "Not Found")</f>
        <v>Rejected</v>
      </c>
      <c r="N221" s="29" t="str">
        <f>IF(M221="","",M221-B221)</f>
        <v/>
      </c>
      <c r="O221" s="1" t="str">
        <f t="shared" si="14"/>
        <v>Starter</v>
      </c>
      <c r="P221" t="str">
        <f>TEXT(B221, "mmmm")</f>
        <v>July</v>
      </c>
      <c r="Q221" t="str">
        <f t="shared" si="15"/>
        <v>Q3</v>
      </c>
      <c r="R221" t="str">
        <f>IFERROR(VLOOKUP(TRIM(CLEAN(G221)),Sheet14!$A$2:$B$19,2,FALSE),"Not Mapped")</f>
        <v>North</v>
      </c>
    </row>
    <row r="222" spans="1:18">
      <c r="A222" t="str">
        <f t="shared" si="12"/>
        <v>EOS0221</v>
      </c>
      <c r="B222" s="35">
        <v>45840</v>
      </c>
      <c r="C222" s="1" t="s">
        <v>267</v>
      </c>
      <c r="D222" s="1" t="str">
        <f t="shared" si="13"/>
        <v>FB</v>
      </c>
      <c r="E222" s="1" t="s">
        <v>613</v>
      </c>
      <c r="F222" s="1" t="s">
        <v>614</v>
      </c>
      <c r="G222" s="1" t="s">
        <v>239</v>
      </c>
      <c r="H222" s="1" t="s">
        <v>149</v>
      </c>
      <c r="I222" s="1">
        <v>130000</v>
      </c>
      <c r="J222" s="45">
        <v>107220</v>
      </c>
      <c r="K222" s="1" t="str">
        <f>TRIM(Cleaned_CRM_Data!H222)</f>
        <v>Rejected</v>
      </c>
      <c r="L222" t="str">
        <f>IFERROR(VLOOKUP(K222, Status_Mapping!A:B, 2,), "Not Found")</f>
        <v>Rejected</v>
      </c>
      <c r="N222" s="29" t="str">
        <f>IF(M222="","",M222-B222)</f>
        <v/>
      </c>
      <c r="O222" s="1" t="str">
        <f t="shared" si="14"/>
        <v>Starter</v>
      </c>
      <c r="P222" t="str">
        <f>TEXT(B222, "mmmm")</f>
        <v>July</v>
      </c>
      <c r="Q222" t="str">
        <f t="shared" si="15"/>
        <v>Q3</v>
      </c>
      <c r="R222" t="str">
        <f>IFERROR(VLOOKUP(TRIM(CLEAN(G222)),Sheet14!$A$2:$B$19,2,FALSE),"Not Mapped")</f>
        <v>East</v>
      </c>
    </row>
    <row r="223" spans="1:18">
      <c r="A223" t="str">
        <f t="shared" si="12"/>
        <v>EOS0222</v>
      </c>
      <c r="B223" s="35">
        <v>45840</v>
      </c>
      <c r="C223" s="1" t="s">
        <v>267</v>
      </c>
      <c r="D223" s="1" t="str">
        <f t="shared" si="13"/>
        <v>FB</v>
      </c>
      <c r="E223" s="1" t="s">
        <v>615</v>
      </c>
      <c r="F223" s="1" t="s">
        <v>616</v>
      </c>
      <c r="G223" s="1" t="s">
        <v>235</v>
      </c>
      <c r="H223" s="1" t="s">
        <v>149</v>
      </c>
      <c r="I223" s="1">
        <v>108000</v>
      </c>
      <c r="J223" s="45">
        <v>107221</v>
      </c>
      <c r="K223" s="1" t="str">
        <f>TRIM(Cleaned_CRM_Data!H223)</f>
        <v>Rejected</v>
      </c>
      <c r="L223" t="str">
        <f>IFERROR(VLOOKUP(K223, Status_Mapping!A:B, 2,), "Not Found")</f>
        <v>Rejected</v>
      </c>
      <c r="N223" s="29" t="str">
        <f>IF(M223="","",M223-B223)</f>
        <v/>
      </c>
      <c r="O223" s="1" t="str">
        <f t="shared" si="14"/>
        <v>Starter</v>
      </c>
      <c r="P223" t="str">
        <f>TEXT(B223, "mmmm")</f>
        <v>July</v>
      </c>
      <c r="Q223" t="str">
        <f t="shared" si="15"/>
        <v>Q3</v>
      </c>
      <c r="R223" t="str">
        <f>IFERROR(VLOOKUP(TRIM(CLEAN(G223)),Sheet14!$A$2:$B$19,2,FALSE),"Not Mapped")</f>
        <v>West</v>
      </c>
    </row>
    <row r="224" spans="1:18">
      <c r="A224" t="str">
        <f t="shared" si="12"/>
        <v>EOS0223</v>
      </c>
      <c r="B224" s="35">
        <v>45841</v>
      </c>
      <c r="C224" s="1" t="s">
        <v>267</v>
      </c>
      <c r="D224" s="1" t="str">
        <f t="shared" si="13"/>
        <v>FB</v>
      </c>
      <c r="E224" s="1" t="s">
        <v>617</v>
      </c>
      <c r="F224" s="1" t="s">
        <v>275</v>
      </c>
      <c r="G224" s="1" t="s">
        <v>223</v>
      </c>
      <c r="H224" s="1" t="s">
        <v>149</v>
      </c>
      <c r="I224" s="1">
        <v>108000</v>
      </c>
      <c r="J224" s="45">
        <v>107222</v>
      </c>
      <c r="K224" s="1" t="s">
        <v>40</v>
      </c>
      <c r="L224" t="str">
        <f>IFERROR(VLOOKUP(K224, Status_Mapping!A:B, 2,), "Not Found")</f>
        <v>Converted</v>
      </c>
      <c r="N224" s="29" t="str">
        <f>IF(M224="","",M224-B224)</f>
        <v/>
      </c>
      <c r="O224" s="1" t="str">
        <f t="shared" si="14"/>
        <v>Starter</v>
      </c>
      <c r="P224" t="str">
        <f>TEXT(B224, "mmmm")</f>
        <v>July</v>
      </c>
      <c r="Q224" t="str">
        <f t="shared" si="15"/>
        <v>Q3</v>
      </c>
      <c r="R224" t="str">
        <f>IFERROR(VLOOKUP(TRIM(CLEAN(G224)),Sheet14!$A$2:$B$19,2,FALSE),"Not Mapped")</f>
        <v>West</v>
      </c>
    </row>
    <row r="225" spans="1:18">
      <c r="A225" t="str">
        <f t="shared" si="12"/>
        <v>EOS0224</v>
      </c>
      <c r="B225" s="35">
        <v>45841</v>
      </c>
      <c r="C225" s="1" t="s">
        <v>267</v>
      </c>
      <c r="D225" s="1" t="str">
        <f t="shared" si="13"/>
        <v>FB</v>
      </c>
      <c r="E225" s="1" t="s">
        <v>618</v>
      </c>
      <c r="F225" s="1" t="s">
        <v>619</v>
      </c>
      <c r="G225" s="1" t="s">
        <v>223</v>
      </c>
      <c r="H225" s="1" t="s">
        <v>149</v>
      </c>
      <c r="I225" s="1">
        <v>108000</v>
      </c>
      <c r="J225" s="45">
        <v>107223</v>
      </c>
      <c r="K225" s="1" t="str">
        <f>TRIM(Cleaned_CRM_Data!H225)</f>
        <v>Rejected</v>
      </c>
      <c r="L225" t="str">
        <f>IFERROR(VLOOKUP(K225, Status_Mapping!A:B, 2,), "Not Found")</f>
        <v>Rejected</v>
      </c>
      <c r="N225" s="29" t="str">
        <f>IF(M225="","",M225-B225)</f>
        <v/>
      </c>
      <c r="O225" s="1" t="str">
        <f t="shared" si="14"/>
        <v>Starter</v>
      </c>
      <c r="P225" t="str">
        <f>TEXT(B225, "mmmm")</f>
        <v>July</v>
      </c>
      <c r="Q225" t="str">
        <f t="shared" si="15"/>
        <v>Q3</v>
      </c>
      <c r="R225" t="str">
        <f>IFERROR(VLOOKUP(TRIM(CLEAN(G225)),Sheet14!$A$2:$B$19,2,FALSE),"Not Mapped")</f>
        <v>West</v>
      </c>
    </row>
    <row r="226" spans="1:18">
      <c r="A226" t="str">
        <f t="shared" si="12"/>
        <v>EOS0225</v>
      </c>
      <c r="B226" s="35">
        <v>45841</v>
      </c>
      <c r="C226" s="1" t="s">
        <v>267</v>
      </c>
      <c r="D226" s="1" t="str">
        <f t="shared" si="13"/>
        <v>FB</v>
      </c>
      <c r="E226" s="1" t="s">
        <v>620</v>
      </c>
      <c r="F226" s="1" t="s">
        <v>300</v>
      </c>
      <c r="G226" s="1" t="s">
        <v>223</v>
      </c>
      <c r="H226" s="1" t="s">
        <v>149</v>
      </c>
      <c r="I226" s="1">
        <v>130000</v>
      </c>
      <c r="J226" s="45">
        <v>107224</v>
      </c>
      <c r="K226" s="1" t="str">
        <f>TRIM(Cleaned_CRM_Data!H226)</f>
        <v>Rejected</v>
      </c>
      <c r="L226" t="str">
        <f>IFERROR(VLOOKUP(K226, Status_Mapping!A:B, 2,), "Not Found")</f>
        <v>Rejected</v>
      </c>
      <c r="N226" s="29" t="str">
        <f>IF(M226="","",M226-B226)</f>
        <v/>
      </c>
      <c r="O226" s="1" t="str">
        <f t="shared" si="14"/>
        <v>Starter</v>
      </c>
      <c r="P226" t="str">
        <f>TEXT(B226, "mmmm")</f>
        <v>July</v>
      </c>
      <c r="Q226" t="str">
        <f t="shared" si="15"/>
        <v>Q3</v>
      </c>
      <c r="R226" t="str">
        <f>IFERROR(VLOOKUP(TRIM(CLEAN(G226)),Sheet14!$A$2:$B$19,2,FALSE),"Not Mapped")</f>
        <v>West</v>
      </c>
    </row>
    <row r="227" spans="1:18">
      <c r="A227" t="str">
        <f t="shared" si="12"/>
        <v>EOS0226</v>
      </c>
      <c r="B227" s="35">
        <v>45841</v>
      </c>
      <c r="C227" s="1" t="s">
        <v>267</v>
      </c>
      <c r="D227" s="1" t="str">
        <f t="shared" si="13"/>
        <v>FB</v>
      </c>
      <c r="E227" s="1" t="s">
        <v>621</v>
      </c>
      <c r="F227" s="1" t="s">
        <v>324</v>
      </c>
      <c r="G227" s="1" t="s">
        <v>223</v>
      </c>
      <c r="H227" s="1" t="s">
        <v>149</v>
      </c>
      <c r="I227" s="1">
        <v>108000</v>
      </c>
      <c r="J227" s="45">
        <v>107225</v>
      </c>
      <c r="K227" s="1" t="str">
        <f>TRIM(Cleaned_CRM_Data!H227)</f>
        <v>Rejected</v>
      </c>
      <c r="L227" t="str">
        <f>IFERROR(VLOOKUP(K227, Status_Mapping!A:B, 2,), "Not Found")</f>
        <v>Rejected</v>
      </c>
      <c r="N227" s="29" t="str">
        <f>IF(M227="","",M227-B227)</f>
        <v/>
      </c>
      <c r="O227" s="1" t="str">
        <f t="shared" si="14"/>
        <v>Starter</v>
      </c>
      <c r="P227" t="str">
        <f>TEXT(B227, "mmmm")</f>
        <v>July</v>
      </c>
      <c r="Q227" t="str">
        <f t="shared" si="15"/>
        <v>Q3</v>
      </c>
      <c r="R227" t="str">
        <f>IFERROR(VLOOKUP(TRIM(CLEAN(G227)),Sheet14!$A$2:$B$19,2,FALSE),"Not Mapped")</f>
        <v>West</v>
      </c>
    </row>
    <row r="228" spans="1:18">
      <c r="A228" t="str">
        <f t="shared" si="12"/>
        <v>EOS0227</v>
      </c>
      <c r="B228" s="35">
        <v>45841</v>
      </c>
      <c r="C228" s="1" t="s">
        <v>267</v>
      </c>
      <c r="D228" s="1" t="str">
        <f t="shared" si="13"/>
        <v>FB</v>
      </c>
      <c r="E228" s="1" t="s">
        <v>622</v>
      </c>
      <c r="F228" s="1" t="s">
        <v>271</v>
      </c>
      <c r="G228" s="1" t="s">
        <v>223</v>
      </c>
      <c r="H228" s="1" t="s">
        <v>149</v>
      </c>
      <c r="I228" s="1">
        <v>108000</v>
      </c>
      <c r="J228" s="45">
        <v>107226</v>
      </c>
      <c r="K228" s="1" t="str">
        <f>TRIM(Cleaned_CRM_Data!H228)</f>
        <v>Rejected</v>
      </c>
      <c r="L228" t="str">
        <f>IFERROR(VLOOKUP(K228, Status_Mapping!A:B, 2,), "Not Found")</f>
        <v>Rejected</v>
      </c>
      <c r="N228" s="29" t="str">
        <f>IF(M228="","",M228-B228)</f>
        <v/>
      </c>
      <c r="O228" s="1" t="str">
        <f t="shared" si="14"/>
        <v>Starter</v>
      </c>
      <c r="P228" t="str">
        <f>TEXT(B228, "mmmm")</f>
        <v>July</v>
      </c>
      <c r="Q228" t="str">
        <f t="shared" si="15"/>
        <v>Q3</v>
      </c>
      <c r="R228" t="str">
        <f>IFERROR(VLOOKUP(TRIM(CLEAN(G228)),Sheet14!$A$2:$B$19,2,FALSE),"Not Mapped")</f>
        <v>West</v>
      </c>
    </row>
    <row r="229" spans="1:18">
      <c r="A229" t="str">
        <f t="shared" si="12"/>
        <v>EOS0228</v>
      </c>
      <c r="B229" s="35">
        <v>45841</v>
      </c>
      <c r="C229" s="1" t="s">
        <v>267</v>
      </c>
      <c r="D229" s="1" t="str">
        <f t="shared" si="13"/>
        <v>FB</v>
      </c>
      <c r="E229" s="1" t="s">
        <v>623</v>
      </c>
      <c r="F229" s="1" t="s">
        <v>412</v>
      </c>
      <c r="G229" s="1" t="s">
        <v>223</v>
      </c>
      <c r="H229" s="1" t="s">
        <v>149</v>
      </c>
      <c r="I229" s="1">
        <v>130000</v>
      </c>
      <c r="J229" s="45">
        <v>107227</v>
      </c>
      <c r="K229" s="1" t="str">
        <f>TRIM(Cleaned_CRM_Data!H229)</f>
        <v>Rejected</v>
      </c>
      <c r="L229" t="str">
        <f>IFERROR(VLOOKUP(K229, Status_Mapping!A:B, 2,), "Not Found")</f>
        <v>Rejected</v>
      </c>
      <c r="N229" s="29" t="str">
        <f>IF(M229="","",M229-B229)</f>
        <v/>
      </c>
      <c r="O229" s="1" t="str">
        <f t="shared" si="14"/>
        <v>Starter</v>
      </c>
      <c r="P229" t="str">
        <f>TEXT(B229, "mmmm")</f>
        <v>July</v>
      </c>
      <c r="Q229" t="str">
        <f t="shared" si="15"/>
        <v>Q3</v>
      </c>
      <c r="R229" t="str">
        <f>IFERROR(VLOOKUP(TRIM(CLEAN(G229)),Sheet14!$A$2:$B$19,2,FALSE),"Not Mapped")</f>
        <v>West</v>
      </c>
    </row>
    <row r="230" spans="1:18">
      <c r="A230" t="str">
        <f t="shared" si="12"/>
        <v>EOS0229</v>
      </c>
      <c r="B230" s="35">
        <v>45841</v>
      </c>
      <c r="C230" s="1" t="s">
        <v>267</v>
      </c>
      <c r="D230" s="1" t="str">
        <f t="shared" si="13"/>
        <v>FB</v>
      </c>
      <c r="E230" s="1" t="s">
        <v>624</v>
      </c>
      <c r="F230" s="1" t="s">
        <v>422</v>
      </c>
      <c r="G230" s="1" t="s">
        <v>223</v>
      </c>
      <c r="H230" s="1" t="s">
        <v>149</v>
      </c>
      <c r="I230" s="1">
        <v>108000</v>
      </c>
      <c r="J230" s="45">
        <v>107228</v>
      </c>
      <c r="K230" s="1" t="str">
        <f>TRIM(Cleaned_CRM_Data!H230)</f>
        <v>Rejected</v>
      </c>
      <c r="L230" t="str">
        <f>IFERROR(VLOOKUP(K230, Status_Mapping!A:B, 2,), "Not Found")</f>
        <v>Rejected</v>
      </c>
      <c r="N230" s="29" t="str">
        <f>IF(M230="","",M230-B230)</f>
        <v/>
      </c>
      <c r="O230" s="1" t="str">
        <f t="shared" si="14"/>
        <v>Starter</v>
      </c>
      <c r="P230" t="str">
        <f>TEXT(B230, "mmmm")</f>
        <v>July</v>
      </c>
      <c r="Q230" t="str">
        <f t="shared" si="15"/>
        <v>Q3</v>
      </c>
      <c r="R230" t="str">
        <f>IFERROR(VLOOKUP(TRIM(CLEAN(G230)),Sheet14!$A$2:$B$19,2,FALSE),"Not Mapped")</f>
        <v>West</v>
      </c>
    </row>
    <row r="231" spans="1:18">
      <c r="A231" t="str">
        <f t="shared" si="12"/>
        <v>EOS0230</v>
      </c>
      <c r="B231" s="35">
        <v>45841</v>
      </c>
      <c r="C231" s="1" t="s">
        <v>267</v>
      </c>
      <c r="D231" s="1" t="str">
        <f t="shared" si="13"/>
        <v>FB</v>
      </c>
      <c r="E231" s="1" t="s">
        <v>625</v>
      </c>
      <c r="F231" s="1" t="s">
        <v>626</v>
      </c>
      <c r="G231" s="1" t="s">
        <v>223</v>
      </c>
      <c r="H231" s="1" t="s">
        <v>149</v>
      </c>
      <c r="I231" s="1">
        <v>108000</v>
      </c>
      <c r="J231" s="45">
        <v>107229</v>
      </c>
      <c r="K231" s="1" t="str">
        <f>TRIM(Cleaned_CRM_Data!H231)</f>
        <v>Rejected</v>
      </c>
      <c r="L231" t="str">
        <f>IFERROR(VLOOKUP(K231, Status_Mapping!A:B, 2,), "Not Found")</f>
        <v>Rejected</v>
      </c>
      <c r="N231" s="29" t="str">
        <f>IF(M231="","",M231-B231)</f>
        <v/>
      </c>
      <c r="O231" s="1" t="str">
        <f t="shared" si="14"/>
        <v>Starter</v>
      </c>
      <c r="P231" t="str">
        <f>TEXT(B231, "mmmm")</f>
        <v>July</v>
      </c>
      <c r="Q231" t="str">
        <f t="shared" si="15"/>
        <v>Q3</v>
      </c>
      <c r="R231" t="str">
        <f>IFERROR(VLOOKUP(TRIM(CLEAN(G231)),Sheet14!$A$2:$B$19,2,FALSE),"Not Mapped")</f>
        <v>West</v>
      </c>
    </row>
    <row r="232" spans="1:18">
      <c r="A232" t="str">
        <f t="shared" si="12"/>
        <v>EOS0231</v>
      </c>
      <c r="B232" s="35">
        <v>45841</v>
      </c>
      <c r="C232" s="1" t="s">
        <v>267</v>
      </c>
      <c r="D232" s="1" t="str">
        <f t="shared" si="13"/>
        <v>FB</v>
      </c>
      <c r="E232" s="1" t="s">
        <v>627</v>
      </c>
      <c r="F232" s="1" t="s">
        <v>300</v>
      </c>
      <c r="G232" s="1" t="s">
        <v>223</v>
      </c>
      <c r="H232" s="1" t="s">
        <v>149</v>
      </c>
      <c r="I232" s="1">
        <v>108000</v>
      </c>
      <c r="J232" s="45">
        <v>107230</v>
      </c>
      <c r="K232" s="1" t="str">
        <f>TRIM(Cleaned_CRM_Data!H232)</f>
        <v>Rejected</v>
      </c>
      <c r="L232" t="str">
        <f>IFERROR(VLOOKUP(K232, Status_Mapping!A:B, 2,), "Not Found")</f>
        <v>Rejected</v>
      </c>
      <c r="N232" s="29" t="str">
        <f>IF(M232="","",M232-B232)</f>
        <v/>
      </c>
      <c r="O232" s="1" t="str">
        <f t="shared" si="14"/>
        <v>Starter</v>
      </c>
      <c r="P232" t="str">
        <f>TEXT(B232, "mmmm")</f>
        <v>July</v>
      </c>
      <c r="Q232" t="str">
        <f t="shared" si="15"/>
        <v>Q3</v>
      </c>
      <c r="R232" t="str">
        <f>IFERROR(VLOOKUP(TRIM(CLEAN(G232)),Sheet14!$A$2:$B$19,2,FALSE),"Not Mapped")</f>
        <v>West</v>
      </c>
    </row>
    <row r="233" spans="1:18">
      <c r="A233" t="str">
        <f t="shared" si="12"/>
        <v>EOS0232</v>
      </c>
      <c r="B233" s="35">
        <v>45841</v>
      </c>
      <c r="C233" s="1" t="s">
        <v>267</v>
      </c>
      <c r="D233" s="1" t="str">
        <f t="shared" si="13"/>
        <v>FB</v>
      </c>
      <c r="E233" s="1" t="s">
        <v>628</v>
      </c>
      <c r="F233" s="1" t="s">
        <v>629</v>
      </c>
      <c r="G233" s="1" t="s">
        <v>229</v>
      </c>
      <c r="H233" s="1" t="s">
        <v>149</v>
      </c>
      <c r="I233" s="1">
        <v>108000</v>
      </c>
      <c r="J233" s="45">
        <v>107231</v>
      </c>
      <c r="K233" s="1" t="str">
        <f>TRIM(Cleaned_CRM_Data!H233)</f>
        <v>Rejected</v>
      </c>
      <c r="L233" t="str">
        <f>IFERROR(VLOOKUP(K233, Status_Mapping!A:B, 2,), "Not Found")</f>
        <v>Rejected</v>
      </c>
      <c r="N233" s="29" t="str">
        <f>IF(M233="","",M233-B233)</f>
        <v/>
      </c>
      <c r="O233" s="1" t="str">
        <f t="shared" si="14"/>
        <v>Starter</v>
      </c>
      <c r="P233" t="str">
        <f>TEXT(B233, "mmmm")</f>
        <v>July</v>
      </c>
      <c r="Q233" t="str">
        <f t="shared" si="15"/>
        <v>Q3</v>
      </c>
      <c r="R233" t="str">
        <f>IFERROR(VLOOKUP(TRIM(CLEAN(G233)),Sheet14!$A$2:$B$19,2,FALSE),"Not Mapped")</f>
        <v>West</v>
      </c>
    </row>
    <row r="234" spans="1:18">
      <c r="A234" t="str">
        <f t="shared" si="12"/>
        <v>EOS0233</v>
      </c>
      <c r="B234" s="35">
        <v>45841</v>
      </c>
      <c r="C234" s="1" t="s">
        <v>267</v>
      </c>
      <c r="D234" s="1" t="str">
        <f t="shared" si="13"/>
        <v>FB</v>
      </c>
      <c r="E234" s="1" t="s">
        <v>630</v>
      </c>
      <c r="F234" s="1" t="s">
        <v>467</v>
      </c>
      <c r="G234" s="1" t="s">
        <v>236</v>
      </c>
      <c r="H234" s="1" t="s">
        <v>149</v>
      </c>
      <c r="I234" s="1">
        <v>130000</v>
      </c>
      <c r="J234" s="45">
        <v>107232</v>
      </c>
      <c r="K234" s="1" t="str">
        <f>TRIM(Cleaned_CRM_Data!H234)</f>
        <v>Rejected</v>
      </c>
      <c r="L234" t="str">
        <f>IFERROR(VLOOKUP(K234, Status_Mapping!A:B, 2,), "Not Found")</f>
        <v>Rejected</v>
      </c>
      <c r="N234" s="29" t="str">
        <f>IF(M234="","",M234-B234)</f>
        <v/>
      </c>
      <c r="O234" s="1" t="str">
        <f t="shared" si="14"/>
        <v>Starter</v>
      </c>
      <c r="P234" t="str">
        <f>TEXT(B234, "mmmm")</f>
        <v>July</v>
      </c>
      <c r="Q234" t="str">
        <f t="shared" si="15"/>
        <v>Q3</v>
      </c>
      <c r="R234" t="str">
        <f>IFERROR(VLOOKUP(TRIM(CLEAN(G234)),Sheet14!$A$2:$B$19,2,FALSE),"Not Mapped")</f>
        <v>North</v>
      </c>
    </row>
    <row r="235" spans="1:18">
      <c r="A235" t="str">
        <f t="shared" si="12"/>
        <v>EOS0234</v>
      </c>
      <c r="B235" s="35">
        <v>45842</v>
      </c>
      <c r="C235" s="1" t="s">
        <v>267</v>
      </c>
      <c r="D235" s="1" t="str">
        <f t="shared" si="13"/>
        <v>FB</v>
      </c>
      <c r="E235" s="1" t="s">
        <v>631</v>
      </c>
      <c r="F235" s="1" t="s">
        <v>275</v>
      </c>
      <c r="G235" s="1" t="s">
        <v>223</v>
      </c>
      <c r="H235" s="1" t="s">
        <v>149</v>
      </c>
      <c r="I235" s="1">
        <v>108000</v>
      </c>
      <c r="J235" s="45">
        <v>107233</v>
      </c>
      <c r="K235" s="1" t="str">
        <f>TRIM(Cleaned_CRM_Data!H235)</f>
        <v>Rejected</v>
      </c>
      <c r="L235" t="str">
        <f>IFERROR(VLOOKUP(K235, Status_Mapping!A:B, 2,), "Not Found")</f>
        <v>Rejected</v>
      </c>
      <c r="N235" s="29" t="str">
        <f>IF(M235="","",M235-B235)</f>
        <v/>
      </c>
      <c r="O235" s="1" t="str">
        <f t="shared" si="14"/>
        <v>Starter</v>
      </c>
      <c r="P235" t="str">
        <f>TEXT(B235, "mmmm")</f>
        <v>July</v>
      </c>
      <c r="Q235" t="str">
        <f t="shared" si="15"/>
        <v>Q3</v>
      </c>
      <c r="R235" t="str">
        <f>IFERROR(VLOOKUP(TRIM(CLEAN(G235)),Sheet14!$A$2:$B$19,2,FALSE),"Not Mapped")</f>
        <v>West</v>
      </c>
    </row>
    <row r="236" spans="1:18">
      <c r="A236" t="str">
        <f t="shared" si="12"/>
        <v>EOS0235</v>
      </c>
      <c r="B236" s="35">
        <v>45842</v>
      </c>
      <c r="C236" s="1" t="s">
        <v>267</v>
      </c>
      <c r="D236" s="1" t="str">
        <f t="shared" si="13"/>
        <v>FB</v>
      </c>
      <c r="E236" s="1" t="s">
        <v>632</v>
      </c>
      <c r="F236" s="1" t="s">
        <v>275</v>
      </c>
      <c r="G236" s="1" t="s">
        <v>223</v>
      </c>
      <c r="H236" s="1" t="s">
        <v>149</v>
      </c>
      <c r="I236" s="1">
        <v>177000</v>
      </c>
      <c r="J236" s="45">
        <v>107234</v>
      </c>
      <c r="K236" s="1" t="str">
        <f>TRIM(Cleaned_CRM_Data!H236)</f>
        <v>Rejected</v>
      </c>
      <c r="L236" t="str">
        <f>IFERROR(VLOOKUP(K236, Status_Mapping!A:B, 2,), "Not Found")</f>
        <v>Rejected</v>
      </c>
      <c r="N236" s="29" t="str">
        <f>IF(M236="","",M236-B236)</f>
        <v/>
      </c>
      <c r="O236" s="1" t="str">
        <f t="shared" si="14"/>
        <v>Growth</v>
      </c>
      <c r="P236" t="str">
        <f>TEXT(B236, "mmmm")</f>
        <v>July</v>
      </c>
      <c r="Q236" t="str">
        <f t="shared" si="15"/>
        <v>Q3</v>
      </c>
      <c r="R236" t="str">
        <f>IFERROR(VLOOKUP(TRIM(CLEAN(G236)),Sheet14!$A$2:$B$19,2,FALSE),"Not Mapped")</f>
        <v>West</v>
      </c>
    </row>
    <row r="237" spans="1:18">
      <c r="A237" t="str">
        <f t="shared" si="12"/>
        <v>EOS0236</v>
      </c>
      <c r="B237" s="35">
        <v>45842</v>
      </c>
      <c r="C237" s="1" t="s">
        <v>267</v>
      </c>
      <c r="D237" s="1" t="str">
        <f t="shared" si="13"/>
        <v>FB</v>
      </c>
      <c r="E237" s="1" t="s">
        <v>633</v>
      </c>
      <c r="F237" s="1" t="s">
        <v>275</v>
      </c>
      <c r="G237" s="1" t="s">
        <v>223</v>
      </c>
      <c r="H237" s="1" t="s">
        <v>149</v>
      </c>
      <c r="I237" s="1">
        <v>108000</v>
      </c>
      <c r="J237" s="45">
        <v>107235</v>
      </c>
      <c r="K237" s="1" t="str">
        <f>TRIM(Cleaned_CRM_Data!H237)</f>
        <v>Rejected</v>
      </c>
      <c r="L237" t="str">
        <f>IFERROR(VLOOKUP(K237, Status_Mapping!A:B, 2,), "Not Found")</f>
        <v>Rejected</v>
      </c>
      <c r="N237" s="29" t="str">
        <f>IF(M237="","",M237-B237)</f>
        <v/>
      </c>
      <c r="O237" s="1" t="str">
        <f t="shared" si="14"/>
        <v>Starter</v>
      </c>
      <c r="P237" t="str">
        <f>TEXT(B237, "mmmm")</f>
        <v>July</v>
      </c>
      <c r="Q237" t="str">
        <f t="shared" si="15"/>
        <v>Q3</v>
      </c>
      <c r="R237" t="str">
        <f>IFERROR(VLOOKUP(TRIM(CLEAN(G237)),Sheet14!$A$2:$B$19,2,FALSE),"Not Mapped")</f>
        <v>West</v>
      </c>
    </row>
    <row r="238" spans="1:18">
      <c r="A238" t="str">
        <f t="shared" si="12"/>
        <v>EOS0237</v>
      </c>
      <c r="B238" s="35">
        <v>45842</v>
      </c>
      <c r="C238" s="1" t="s">
        <v>267</v>
      </c>
      <c r="D238" s="1" t="str">
        <f t="shared" si="13"/>
        <v>FB</v>
      </c>
      <c r="E238" s="1" t="s">
        <v>634</v>
      </c>
      <c r="F238" s="1" t="s">
        <v>300</v>
      </c>
      <c r="G238" s="1" t="s">
        <v>223</v>
      </c>
      <c r="H238" s="1" t="s">
        <v>149</v>
      </c>
      <c r="I238" s="1">
        <v>130000</v>
      </c>
      <c r="J238" s="45">
        <v>107236</v>
      </c>
      <c r="K238" s="1" t="str">
        <f>TRIM(Cleaned_CRM_Data!H238)</f>
        <v>Rejected</v>
      </c>
      <c r="L238" t="str">
        <f>IFERROR(VLOOKUP(K238, Status_Mapping!A:B, 2,), "Not Found")</f>
        <v>Rejected</v>
      </c>
      <c r="N238" s="29" t="str">
        <f>IF(M238="","",M238-B238)</f>
        <v/>
      </c>
      <c r="O238" s="1" t="str">
        <f t="shared" si="14"/>
        <v>Starter</v>
      </c>
      <c r="P238" t="str">
        <f>TEXT(B238, "mmmm")</f>
        <v>July</v>
      </c>
      <c r="Q238" t="str">
        <f t="shared" si="15"/>
        <v>Q3</v>
      </c>
      <c r="R238" t="str">
        <f>IFERROR(VLOOKUP(TRIM(CLEAN(G238)),Sheet14!$A$2:$B$19,2,FALSE),"Not Mapped")</f>
        <v>West</v>
      </c>
    </row>
    <row r="239" spans="1:18">
      <c r="A239" t="str">
        <f t="shared" si="12"/>
        <v>EOS0238</v>
      </c>
      <c r="B239" s="35">
        <v>45842</v>
      </c>
      <c r="C239" s="1" t="s">
        <v>267</v>
      </c>
      <c r="D239" s="1" t="str">
        <f t="shared" si="13"/>
        <v>FB</v>
      </c>
      <c r="E239" s="1" t="s">
        <v>635</v>
      </c>
      <c r="F239" s="1" t="s">
        <v>275</v>
      </c>
      <c r="G239" s="1" t="s">
        <v>223</v>
      </c>
      <c r="H239" s="1" t="s">
        <v>149</v>
      </c>
      <c r="I239" s="1">
        <v>108000</v>
      </c>
      <c r="J239" s="45">
        <v>107237</v>
      </c>
      <c r="K239" s="1" t="str">
        <f>TRIM(Cleaned_CRM_Data!H239)</f>
        <v>Rejected</v>
      </c>
      <c r="L239" t="str">
        <f>IFERROR(VLOOKUP(K239, Status_Mapping!A:B, 2,), "Not Found")</f>
        <v>Rejected</v>
      </c>
      <c r="N239" s="29" t="str">
        <f>IF(M239="","",M239-B239)</f>
        <v/>
      </c>
      <c r="O239" s="1" t="str">
        <f t="shared" si="14"/>
        <v>Starter</v>
      </c>
      <c r="P239" t="str">
        <f>TEXT(B239, "mmmm")</f>
        <v>July</v>
      </c>
      <c r="Q239" t="str">
        <f t="shared" si="15"/>
        <v>Q3</v>
      </c>
      <c r="R239" t="str">
        <f>IFERROR(VLOOKUP(TRIM(CLEAN(G239)),Sheet14!$A$2:$B$19,2,FALSE),"Not Mapped")</f>
        <v>West</v>
      </c>
    </row>
    <row r="240" spans="1:18">
      <c r="A240" t="str">
        <f t="shared" si="12"/>
        <v>EOS0239</v>
      </c>
      <c r="B240" s="35">
        <v>45842</v>
      </c>
      <c r="C240" s="1" t="s">
        <v>267</v>
      </c>
      <c r="D240" s="1" t="str">
        <f t="shared" si="13"/>
        <v>FB</v>
      </c>
      <c r="E240" s="1" t="s">
        <v>636</v>
      </c>
      <c r="F240" s="1" t="s">
        <v>304</v>
      </c>
      <c r="G240" s="1" t="s">
        <v>223</v>
      </c>
      <c r="H240" s="1" t="s">
        <v>149</v>
      </c>
      <c r="I240" s="1">
        <v>108000</v>
      </c>
      <c r="J240" s="45">
        <v>107238</v>
      </c>
      <c r="K240" s="1" t="str">
        <f>TRIM(Cleaned_CRM_Data!H240)</f>
        <v>Rejected</v>
      </c>
      <c r="L240" t="str">
        <f>IFERROR(VLOOKUP(K240, Status_Mapping!A:B, 2,), "Not Found")</f>
        <v>Rejected</v>
      </c>
      <c r="N240" s="29" t="str">
        <f>IF(M240="","",M240-B240)</f>
        <v/>
      </c>
      <c r="O240" s="1" t="str">
        <f t="shared" si="14"/>
        <v>Starter</v>
      </c>
      <c r="P240" t="str">
        <f>TEXT(B240, "mmmm")</f>
        <v>July</v>
      </c>
      <c r="Q240" t="str">
        <f t="shared" si="15"/>
        <v>Q3</v>
      </c>
      <c r="R240" t="str">
        <f>IFERROR(VLOOKUP(TRIM(CLEAN(G240)),Sheet14!$A$2:$B$19,2,FALSE),"Not Mapped")</f>
        <v>West</v>
      </c>
    </row>
    <row r="241" spans="1:18">
      <c r="A241" t="str">
        <f t="shared" si="12"/>
        <v>EOS0240</v>
      </c>
      <c r="B241" s="35">
        <v>45842</v>
      </c>
      <c r="C241" s="1" t="s">
        <v>267</v>
      </c>
      <c r="D241" s="1" t="str">
        <f t="shared" si="13"/>
        <v>FB</v>
      </c>
      <c r="E241" s="1" t="s">
        <v>637</v>
      </c>
      <c r="F241" s="1" t="s">
        <v>397</v>
      </c>
      <c r="G241" s="1" t="s">
        <v>223</v>
      </c>
      <c r="H241" s="1" t="s">
        <v>149</v>
      </c>
      <c r="I241" s="1">
        <v>130000</v>
      </c>
      <c r="J241" s="45">
        <v>107239</v>
      </c>
      <c r="K241" s="1" t="str">
        <f>TRIM(Cleaned_CRM_Data!H241)</f>
        <v>Rejected</v>
      </c>
      <c r="L241" t="str">
        <f>IFERROR(VLOOKUP(K241, Status_Mapping!A:B, 2,), "Not Found")</f>
        <v>Rejected</v>
      </c>
      <c r="N241" s="29" t="str">
        <f>IF(M241="","",M241-B241)</f>
        <v/>
      </c>
      <c r="O241" s="1" t="str">
        <f t="shared" si="14"/>
        <v>Starter</v>
      </c>
      <c r="P241" t="str">
        <f>TEXT(B241, "mmmm")</f>
        <v>July</v>
      </c>
      <c r="Q241" t="str">
        <f t="shared" si="15"/>
        <v>Q3</v>
      </c>
      <c r="R241" t="str">
        <f>IFERROR(VLOOKUP(TRIM(CLEAN(G241)),Sheet14!$A$2:$B$19,2,FALSE),"Not Mapped")</f>
        <v>West</v>
      </c>
    </row>
    <row r="242" spans="1:18">
      <c r="A242" t="str">
        <f t="shared" si="12"/>
        <v>EOS0241</v>
      </c>
      <c r="B242" s="35" t="s">
        <v>638</v>
      </c>
      <c r="C242" s="1" t="s">
        <v>267</v>
      </c>
      <c r="D242" s="1" t="str">
        <f t="shared" si="13"/>
        <v>FB</v>
      </c>
      <c r="E242" s="1" t="s">
        <v>639</v>
      </c>
      <c r="F242" s="1"/>
      <c r="G242" s="1" t="s">
        <v>223</v>
      </c>
      <c r="H242" s="1" t="s">
        <v>149</v>
      </c>
      <c r="I242" s="1">
        <v>108000</v>
      </c>
      <c r="J242" s="45">
        <v>107240</v>
      </c>
      <c r="K242" s="1" t="str">
        <f>TRIM(Cleaned_CRM_Data!H242)</f>
        <v>Rejected</v>
      </c>
      <c r="L242" t="str">
        <f>IFERROR(VLOOKUP(K242, Status_Mapping!A:B, 2,), "Not Found")</f>
        <v>Rejected</v>
      </c>
      <c r="N242" s="29" t="str">
        <f>IF(M242="","",M242-B242)</f>
        <v/>
      </c>
      <c r="O242" s="1" t="str">
        <f t="shared" si="14"/>
        <v>Starter</v>
      </c>
      <c r="P242" t="str">
        <f>TEXT(B242, "mmmm")</f>
        <v>July</v>
      </c>
      <c r="Q242" t="str">
        <f t="shared" si="15"/>
        <v>Q3</v>
      </c>
      <c r="R242" t="str">
        <f>IFERROR(VLOOKUP(TRIM(CLEAN(G242)),Sheet14!$A$2:$B$19,2,FALSE),"Not Mapped")</f>
        <v>West</v>
      </c>
    </row>
    <row r="243" spans="1:18">
      <c r="A243" t="str">
        <f t="shared" si="12"/>
        <v>EOS0242</v>
      </c>
      <c r="B243" s="35">
        <v>45843</v>
      </c>
      <c r="C243" s="1" t="s">
        <v>267</v>
      </c>
      <c r="D243" s="1" t="str">
        <f t="shared" si="13"/>
        <v>FB</v>
      </c>
      <c r="E243" s="1" t="s">
        <v>640</v>
      </c>
      <c r="F243" s="1" t="s">
        <v>275</v>
      </c>
      <c r="G243" s="1" t="s">
        <v>223</v>
      </c>
      <c r="H243" s="1" t="s">
        <v>149</v>
      </c>
      <c r="I243" s="1">
        <v>108000</v>
      </c>
      <c r="J243" s="45">
        <v>107241</v>
      </c>
      <c r="K243" s="1" t="str">
        <f>TRIM(Cleaned_CRM_Data!H243)</f>
        <v>Rejected</v>
      </c>
      <c r="L243" t="str">
        <f>IFERROR(VLOOKUP(K243, Status_Mapping!A:B, 2,), "Not Found")</f>
        <v>Rejected</v>
      </c>
      <c r="N243" s="29" t="str">
        <f>IF(M243="","",M243-B243)</f>
        <v/>
      </c>
      <c r="O243" s="1" t="str">
        <f t="shared" si="14"/>
        <v>Starter</v>
      </c>
      <c r="P243" t="str">
        <f>TEXT(B243, "mmmm")</f>
        <v>July</v>
      </c>
      <c r="Q243" t="str">
        <f t="shared" si="15"/>
        <v>Q3</v>
      </c>
      <c r="R243" t="str">
        <f>IFERROR(VLOOKUP(TRIM(CLEAN(G243)),Sheet14!$A$2:$B$19,2,FALSE),"Not Mapped")</f>
        <v>West</v>
      </c>
    </row>
    <row r="244" spans="1:18">
      <c r="A244" t="str">
        <f t="shared" si="12"/>
        <v>EOS0243</v>
      </c>
      <c r="B244" s="35">
        <v>45843</v>
      </c>
      <c r="C244" s="1" t="s">
        <v>267</v>
      </c>
      <c r="D244" s="1" t="str">
        <f t="shared" si="13"/>
        <v>FB</v>
      </c>
      <c r="E244" s="1" t="s">
        <v>641</v>
      </c>
      <c r="F244" s="1" t="s">
        <v>333</v>
      </c>
      <c r="G244" s="1" t="s">
        <v>223</v>
      </c>
      <c r="H244" s="1" t="s">
        <v>149</v>
      </c>
      <c r="I244" s="1">
        <v>130000</v>
      </c>
      <c r="J244" s="45">
        <v>107242</v>
      </c>
      <c r="K244" s="1" t="str">
        <f>TRIM(Cleaned_CRM_Data!H244)</f>
        <v>Rejected</v>
      </c>
      <c r="L244" t="str">
        <f>IFERROR(VLOOKUP(K244, Status_Mapping!A:B, 2,), "Not Found")</f>
        <v>Rejected</v>
      </c>
      <c r="N244" s="29" t="str">
        <f>IF(M244="","",M244-B244)</f>
        <v/>
      </c>
      <c r="O244" s="1" t="str">
        <f t="shared" si="14"/>
        <v>Starter</v>
      </c>
      <c r="P244" t="str">
        <f>TEXT(B244, "mmmm")</f>
        <v>July</v>
      </c>
      <c r="Q244" t="str">
        <f t="shared" si="15"/>
        <v>Q3</v>
      </c>
      <c r="R244" t="str">
        <f>IFERROR(VLOOKUP(TRIM(CLEAN(G244)),Sheet14!$A$2:$B$19,2,FALSE),"Not Mapped")</f>
        <v>West</v>
      </c>
    </row>
    <row r="245" spans="1:18">
      <c r="A245" t="str">
        <f t="shared" si="12"/>
        <v>EOS0244</v>
      </c>
      <c r="B245" s="35">
        <v>45843</v>
      </c>
      <c r="C245" s="1" t="s">
        <v>267</v>
      </c>
      <c r="D245" s="1" t="str">
        <f t="shared" si="13"/>
        <v>FB</v>
      </c>
      <c r="E245" s="1" t="s">
        <v>642</v>
      </c>
      <c r="F245" s="1" t="s">
        <v>643</v>
      </c>
      <c r="G245" s="1" t="s">
        <v>223</v>
      </c>
      <c r="H245" s="1" t="s">
        <v>149</v>
      </c>
      <c r="I245" s="1">
        <v>130000</v>
      </c>
      <c r="J245" s="45">
        <v>107243</v>
      </c>
      <c r="K245" s="1" t="str">
        <f>TRIM(Cleaned_CRM_Data!H245)</f>
        <v>Rejected</v>
      </c>
      <c r="L245" t="str">
        <f>IFERROR(VLOOKUP(K245, Status_Mapping!A:B, 2,), "Not Found")</f>
        <v>Rejected</v>
      </c>
      <c r="N245" s="29" t="str">
        <f>IF(M245="","",M245-B245)</f>
        <v/>
      </c>
      <c r="O245" s="1" t="str">
        <f t="shared" si="14"/>
        <v>Starter</v>
      </c>
      <c r="P245" t="str">
        <f>TEXT(B245, "mmmm")</f>
        <v>July</v>
      </c>
      <c r="Q245" t="str">
        <f t="shared" si="15"/>
        <v>Q3</v>
      </c>
      <c r="R245" t="str">
        <f>IFERROR(VLOOKUP(TRIM(CLEAN(G245)),Sheet14!$A$2:$B$19,2,FALSE),"Not Mapped")</f>
        <v>West</v>
      </c>
    </row>
    <row r="246" spans="1:18">
      <c r="A246" t="str">
        <f t="shared" si="12"/>
        <v>EOS0245</v>
      </c>
      <c r="B246" s="35">
        <v>45843</v>
      </c>
      <c r="C246" s="1" t="s">
        <v>267</v>
      </c>
      <c r="D246" s="1" t="str">
        <f t="shared" si="13"/>
        <v>FB</v>
      </c>
      <c r="E246" s="1" t="s">
        <v>644</v>
      </c>
      <c r="F246" s="1" t="s">
        <v>645</v>
      </c>
      <c r="G246" s="1" t="s">
        <v>223</v>
      </c>
      <c r="H246" s="1" t="s">
        <v>149</v>
      </c>
      <c r="I246" s="1">
        <v>130000</v>
      </c>
      <c r="J246" s="45">
        <v>107244</v>
      </c>
      <c r="K246" s="1" t="str">
        <f>TRIM(Cleaned_CRM_Data!H246)</f>
        <v>Rejected</v>
      </c>
      <c r="L246" t="str">
        <f>IFERROR(VLOOKUP(K246, Status_Mapping!A:B, 2,), "Not Found")</f>
        <v>Rejected</v>
      </c>
      <c r="N246" s="29" t="str">
        <f>IF(M246="","",M246-B246)</f>
        <v/>
      </c>
      <c r="O246" s="1" t="str">
        <f t="shared" si="14"/>
        <v>Starter</v>
      </c>
      <c r="P246" t="str">
        <f>TEXT(B246, "mmmm")</f>
        <v>July</v>
      </c>
      <c r="Q246" t="str">
        <f t="shared" si="15"/>
        <v>Q3</v>
      </c>
      <c r="R246" t="str">
        <f>IFERROR(VLOOKUP(TRIM(CLEAN(G246)),Sheet14!$A$2:$B$19,2,FALSE),"Not Mapped")</f>
        <v>West</v>
      </c>
    </row>
    <row r="247" spans="1:18">
      <c r="A247" t="str">
        <f t="shared" si="12"/>
        <v>EOS0246</v>
      </c>
      <c r="B247" s="35">
        <v>45843</v>
      </c>
      <c r="C247" s="1" t="s">
        <v>267</v>
      </c>
      <c r="D247" s="1" t="str">
        <f t="shared" si="13"/>
        <v>FB</v>
      </c>
      <c r="E247" s="1" t="s">
        <v>646</v>
      </c>
      <c r="F247" s="1" t="s">
        <v>647</v>
      </c>
      <c r="G247" s="1" t="s">
        <v>236</v>
      </c>
      <c r="H247" s="1" t="s">
        <v>149</v>
      </c>
      <c r="I247" s="1">
        <v>177000</v>
      </c>
      <c r="J247" s="45">
        <v>107245</v>
      </c>
      <c r="K247" s="1" t="str">
        <f>TRIM(Cleaned_CRM_Data!H247)</f>
        <v>Rejected</v>
      </c>
      <c r="L247" t="str">
        <f>IFERROR(VLOOKUP(K247, Status_Mapping!A:B, 2,), "Not Found")</f>
        <v>Rejected</v>
      </c>
      <c r="N247" s="29" t="str">
        <f>IF(M247="","",M247-B247)</f>
        <v/>
      </c>
      <c r="O247" s="1" t="str">
        <f t="shared" si="14"/>
        <v>Growth</v>
      </c>
      <c r="P247" t="str">
        <f>TEXT(B247, "mmmm")</f>
        <v>July</v>
      </c>
      <c r="Q247" t="str">
        <f t="shared" si="15"/>
        <v>Q3</v>
      </c>
      <c r="R247" t="str">
        <f>IFERROR(VLOOKUP(TRIM(CLEAN(G247)),Sheet14!$A$2:$B$19,2,FALSE),"Not Mapped")</f>
        <v>North</v>
      </c>
    </row>
    <row r="248" spans="1:18">
      <c r="A248" t="str">
        <f t="shared" si="12"/>
        <v>EOS0247</v>
      </c>
      <c r="B248" s="35">
        <v>45845</v>
      </c>
      <c r="C248" s="1" t="s">
        <v>267</v>
      </c>
      <c r="D248" s="1" t="str">
        <f t="shared" si="13"/>
        <v>FB</v>
      </c>
      <c r="E248" s="1" t="s">
        <v>648</v>
      </c>
      <c r="F248" s="1" t="s">
        <v>358</v>
      </c>
      <c r="G248" s="1" t="s">
        <v>223</v>
      </c>
      <c r="H248" s="1" t="s">
        <v>149</v>
      </c>
      <c r="I248" s="1">
        <v>177000</v>
      </c>
      <c r="J248" s="45">
        <v>107246</v>
      </c>
      <c r="K248" s="1" t="str">
        <f>TRIM(Cleaned_CRM_Data!H248)</f>
        <v>Rejected</v>
      </c>
      <c r="L248" t="str">
        <f>IFERROR(VLOOKUP(K248, Status_Mapping!A:B, 2,), "Not Found")</f>
        <v>Rejected</v>
      </c>
      <c r="N248" s="29" t="str">
        <f>IF(M248="","",M248-B248)</f>
        <v/>
      </c>
      <c r="O248" s="1" t="str">
        <f t="shared" si="14"/>
        <v>Growth</v>
      </c>
      <c r="P248" t="str">
        <f>TEXT(B248, "mmmm")</f>
        <v>July</v>
      </c>
      <c r="Q248" t="str">
        <f t="shared" si="15"/>
        <v>Q3</v>
      </c>
      <c r="R248" t="str">
        <f>IFERROR(VLOOKUP(TRIM(CLEAN(G248)),Sheet14!$A$2:$B$19,2,FALSE),"Not Mapped")</f>
        <v>West</v>
      </c>
    </row>
    <row r="249" spans="1:18">
      <c r="A249" t="str">
        <f t="shared" si="12"/>
        <v>EOS0248</v>
      </c>
      <c r="B249" s="35">
        <v>45845</v>
      </c>
      <c r="C249" s="1" t="s">
        <v>267</v>
      </c>
      <c r="D249" s="1" t="str">
        <f t="shared" si="13"/>
        <v>FB</v>
      </c>
      <c r="E249" s="1" t="s">
        <v>649</v>
      </c>
      <c r="F249" s="1" t="s">
        <v>321</v>
      </c>
      <c r="G249" s="1" t="s">
        <v>223</v>
      </c>
      <c r="H249" s="1" t="s">
        <v>149</v>
      </c>
      <c r="I249" s="1">
        <v>108000</v>
      </c>
      <c r="J249" s="45">
        <v>107247</v>
      </c>
      <c r="K249" s="1" t="str">
        <f>TRIM(Cleaned_CRM_Data!H249)</f>
        <v>Rejected</v>
      </c>
      <c r="L249" t="str">
        <f>IFERROR(VLOOKUP(K249, Status_Mapping!A:B, 2,), "Not Found")</f>
        <v>Rejected</v>
      </c>
      <c r="N249" s="29" t="str">
        <f>IF(M249="","",M249-B249)</f>
        <v/>
      </c>
      <c r="O249" s="1" t="str">
        <f t="shared" si="14"/>
        <v>Starter</v>
      </c>
      <c r="P249" t="str">
        <f>TEXT(B249, "mmmm")</f>
        <v>July</v>
      </c>
      <c r="Q249" t="str">
        <f t="shared" si="15"/>
        <v>Q3</v>
      </c>
      <c r="R249" t="str">
        <f>IFERROR(VLOOKUP(TRIM(CLEAN(G249)),Sheet14!$A$2:$B$19,2,FALSE),"Not Mapped")</f>
        <v>West</v>
      </c>
    </row>
    <row r="250" spans="1:18">
      <c r="A250" t="str">
        <f t="shared" si="12"/>
        <v>EOS0249</v>
      </c>
      <c r="B250" s="35">
        <v>45845</v>
      </c>
      <c r="C250" s="1" t="s">
        <v>267</v>
      </c>
      <c r="D250" s="1" t="str">
        <f t="shared" si="13"/>
        <v>FB</v>
      </c>
      <c r="E250" s="1" t="s">
        <v>650</v>
      </c>
      <c r="F250" s="1" t="s">
        <v>651</v>
      </c>
      <c r="G250" s="1" t="s">
        <v>223</v>
      </c>
      <c r="H250" s="1" t="s">
        <v>149</v>
      </c>
      <c r="I250" s="1">
        <v>130000</v>
      </c>
      <c r="J250" s="45">
        <v>107248</v>
      </c>
      <c r="K250" s="1" t="str">
        <f>TRIM(Cleaned_CRM_Data!H250)</f>
        <v>Rejected</v>
      </c>
      <c r="L250" t="str">
        <f>IFERROR(VLOOKUP(K250, Status_Mapping!A:B, 2,), "Not Found")</f>
        <v>Rejected</v>
      </c>
      <c r="N250" s="29" t="str">
        <f>IF(M250="","",M250-B250)</f>
        <v/>
      </c>
      <c r="O250" s="1" t="str">
        <f t="shared" si="14"/>
        <v>Starter</v>
      </c>
      <c r="P250" t="str">
        <f>TEXT(B250, "mmmm")</f>
        <v>July</v>
      </c>
      <c r="Q250" t="str">
        <f t="shared" si="15"/>
        <v>Q3</v>
      </c>
      <c r="R250" t="str">
        <f>IFERROR(VLOOKUP(TRIM(CLEAN(G250)),Sheet14!$A$2:$B$19,2,FALSE),"Not Mapped")</f>
        <v>West</v>
      </c>
    </row>
    <row r="251" spans="1:18">
      <c r="A251" t="str">
        <f t="shared" si="12"/>
        <v>EOS0250</v>
      </c>
      <c r="B251" s="35">
        <v>45845</v>
      </c>
      <c r="C251" s="1" t="s">
        <v>267</v>
      </c>
      <c r="D251" s="1" t="str">
        <f t="shared" si="13"/>
        <v>FB</v>
      </c>
      <c r="E251" s="1" t="s">
        <v>652</v>
      </c>
      <c r="F251" s="1" t="s">
        <v>300</v>
      </c>
      <c r="G251" s="1" t="s">
        <v>223</v>
      </c>
      <c r="H251" s="1" t="s">
        <v>40</v>
      </c>
      <c r="I251" s="1">
        <v>130000</v>
      </c>
      <c r="J251" s="45">
        <v>107249</v>
      </c>
      <c r="K251" s="1" t="str">
        <f>TRIM(Cleaned_CRM_Data!H251)</f>
        <v>Deal</v>
      </c>
      <c r="L251" t="str">
        <f>IFERROR(VLOOKUP(K251, Status_Mapping!A:B, 2,), "Not Found")</f>
        <v>Converted</v>
      </c>
      <c r="N251" s="29" t="str">
        <f>IF(M251="","",M251-B251)</f>
        <v/>
      </c>
      <c r="O251" s="1" t="str">
        <f t="shared" si="14"/>
        <v>Starter</v>
      </c>
      <c r="P251" t="str">
        <f>TEXT(B251, "mmmm")</f>
        <v>July</v>
      </c>
      <c r="Q251" t="str">
        <f t="shared" si="15"/>
        <v>Q3</v>
      </c>
      <c r="R251" t="str">
        <f>IFERROR(VLOOKUP(TRIM(CLEAN(G251)),Sheet14!$A$2:$B$19,2,FALSE),"Not Mapped")</f>
        <v>West</v>
      </c>
    </row>
    <row r="252" spans="1:18">
      <c r="A252" t="str">
        <f t="shared" si="12"/>
        <v>EOS0251</v>
      </c>
      <c r="B252" s="35">
        <v>45845</v>
      </c>
      <c r="C252" s="1" t="s">
        <v>267</v>
      </c>
      <c r="D252" s="1" t="str">
        <f t="shared" si="13"/>
        <v>FB</v>
      </c>
      <c r="E252" s="1" t="s">
        <v>653</v>
      </c>
      <c r="F252" s="1" t="s">
        <v>654</v>
      </c>
      <c r="G252" s="1" t="s">
        <v>223</v>
      </c>
      <c r="H252" s="1" t="s">
        <v>149</v>
      </c>
      <c r="I252" s="1">
        <v>108000</v>
      </c>
      <c r="J252" s="45">
        <v>107250</v>
      </c>
      <c r="K252" s="1" t="str">
        <f>TRIM(Cleaned_CRM_Data!H252)</f>
        <v>Rejected</v>
      </c>
      <c r="L252" t="str">
        <f>IFERROR(VLOOKUP(K252, Status_Mapping!A:B, 2,), "Not Found")</f>
        <v>Rejected</v>
      </c>
      <c r="N252" s="29" t="str">
        <f>IF(M252="","",M252-B252)</f>
        <v/>
      </c>
      <c r="O252" s="1" t="str">
        <f t="shared" si="14"/>
        <v>Starter</v>
      </c>
      <c r="P252" t="str">
        <f>TEXT(B252, "mmmm")</f>
        <v>July</v>
      </c>
      <c r="Q252" t="str">
        <f t="shared" si="15"/>
        <v>Q3</v>
      </c>
      <c r="R252" t="str">
        <f>IFERROR(VLOOKUP(TRIM(CLEAN(G252)),Sheet14!$A$2:$B$19,2,FALSE),"Not Mapped")</f>
        <v>West</v>
      </c>
    </row>
    <row r="253" spans="1:18">
      <c r="A253" t="str">
        <f t="shared" si="12"/>
        <v>EOS0252</v>
      </c>
      <c r="B253" s="35">
        <v>45845</v>
      </c>
      <c r="C253" s="1" t="s">
        <v>267</v>
      </c>
      <c r="D253" s="1" t="str">
        <f t="shared" si="13"/>
        <v>FB</v>
      </c>
      <c r="E253" s="1" t="s">
        <v>655</v>
      </c>
      <c r="F253" s="1" t="s">
        <v>304</v>
      </c>
      <c r="G253" s="1" t="s">
        <v>223</v>
      </c>
      <c r="H253" s="1" t="s">
        <v>149</v>
      </c>
      <c r="I253" s="1">
        <v>108000</v>
      </c>
      <c r="J253" s="45">
        <v>107251</v>
      </c>
      <c r="K253" s="1" t="str">
        <f>TRIM(Cleaned_CRM_Data!H253)</f>
        <v>Rejected</v>
      </c>
      <c r="L253" t="str">
        <f>IFERROR(VLOOKUP(K253, Status_Mapping!A:B, 2,), "Not Found")</f>
        <v>Rejected</v>
      </c>
      <c r="N253" s="29" t="str">
        <f>IF(M253="","",M253-B253)</f>
        <v/>
      </c>
      <c r="O253" s="1" t="str">
        <f t="shared" si="14"/>
        <v>Starter</v>
      </c>
      <c r="P253" t="str">
        <f>TEXT(B253, "mmmm")</f>
        <v>July</v>
      </c>
      <c r="Q253" t="str">
        <f t="shared" si="15"/>
        <v>Q3</v>
      </c>
      <c r="R253" t="str">
        <f>IFERROR(VLOOKUP(TRIM(CLEAN(G253)),Sheet14!$A$2:$B$19,2,FALSE),"Not Mapped")</f>
        <v>West</v>
      </c>
    </row>
    <row r="254" spans="1:18">
      <c r="A254" t="str">
        <f t="shared" si="12"/>
        <v>EOS0253</v>
      </c>
      <c r="B254" s="35">
        <v>45845</v>
      </c>
      <c r="C254" s="1" t="s">
        <v>267</v>
      </c>
      <c r="D254" s="1" t="str">
        <f t="shared" si="13"/>
        <v>FB</v>
      </c>
      <c r="E254" s="1" t="s">
        <v>656</v>
      </c>
      <c r="F254" s="1" t="s">
        <v>657</v>
      </c>
      <c r="G254" s="1" t="s">
        <v>223</v>
      </c>
      <c r="H254" s="1" t="s">
        <v>149</v>
      </c>
      <c r="I254" s="1">
        <v>108000</v>
      </c>
      <c r="J254" s="45">
        <v>107252</v>
      </c>
      <c r="K254" s="1" t="str">
        <f>TRIM(Cleaned_CRM_Data!H254)</f>
        <v>Rejected</v>
      </c>
      <c r="L254" t="str">
        <f>IFERROR(VLOOKUP(K254, Status_Mapping!A:B, 2,), "Not Found")</f>
        <v>Rejected</v>
      </c>
      <c r="N254" s="29" t="str">
        <f>IF(M254="","",M254-B254)</f>
        <v/>
      </c>
      <c r="O254" s="1" t="str">
        <f t="shared" si="14"/>
        <v>Starter</v>
      </c>
      <c r="P254" t="str">
        <f>TEXT(B254, "mmmm")</f>
        <v>July</v>
      </c>
      <c r="Q254" t="str">
        <f t="shared" si="15"/>
        <v>Q3</v>
      </c>
      <c r="R254" t="str">
        <f>IFERROR(VLOOKUP(TRIM(CLEAN(G254)),Sheet14!$A$2:$B$19,2,FALSE),"Not Mapped")</f>
        <v>West</v>
      </c>
    </row>
    <row r="255" spans="1:18">
      <c r="A255" t="str">
        <f t="shared" si="12"/>
        <v>EOS0254</v>
      </c>
      <c r="B255" s="35">
        <v>45845</v>
      </c>
      <c r="C255" s="1" t="s">
        <v>267</v>
      </c>
      <c r="D255" s="1" t="str">
        <f t="shared" si="13"/>
        <v>FB</v>
      </c>
      <c r="E255" s="1" t="s">
        <v>658</v>
      </c>
      <c r="F255" s="1" t="s">
        <v>659</v>
      </c>
      <c r="G255" s="1" t="s">
        <v>223</v>
      </c>
      <c r="H255" s="1" t="s">
        <v>149</v>
      </c>
      <c r="I255" s="1">
        <v>108000</v>
      </c>
      <c r="J255" s="45">
        <v>107253</v>
      </c>
      <c r="K255" s="1" t="str">
        <f>TRIM(Cleaned_CRM_Data!H255)</f>
        <v>Rejected</v>
      </c>
      <c r="L255" t="str">
        <f>IFERROR(VLOOKUP(K255, Status_Mapping!A:B, 2,), "Not Found")</f>
        <v>Rejected</v>
      </c>
      <c r="N255" s="29" t="str">
        <f>IF(M255="","",M255-B255)</f>
        <v/>
      </c>
      <c r="O255" s="1" t="str">
        <f t="shared" si="14"/>
        <v>Starter</v>
      </c>
      <c r="P255" t="str">
        <f>TEXT(B255, "mmmm")</f>
        <v>July</v>
      </c>
      <c r="Q255" t="str">
        <f t="shared" si="15"/>
        <v>Q3</v>
      </c>
      <c r="R255" t="str">
        <f>IFERROR(VLOOKUP(TRIM(CLEAN(G255)),Sheet14!$A$2:$B$19,2,FALSE),"Not Mapped")</f>
        <v>West</v>
      </c>
    </row>
    <row r="256" spans="1:18">
      <c r="A256" t="str">
        <f t="shared" si="12"/>
        <v>EOS0255</v>
      </c>
      <c r="B256" s="35">
        <v>45845</v>
      </c>
      <c r="C256" s="1" t="s">
        <v>267</v>
      </c>
      <c r="D256" s="1" t="str">
        <f t="shared" si="13"/>
        <v>FB</v>
      </c>
      <c r="E256" s="1" t="s">
        <v>660</v>
      </c>
      <c r="F256" s="1" t="s">
        <v>661</v>
      </c>
      <c r="G256" s="1" t="s">
        <v>223</v>
      </c>
      <c r="H256" s="1" t="s">
        <v>149</v>
      </c>
      <c r="I256" s="1">
        <v>108000</v>
      </c>
      <c r="J256" s="45">
        <v>107254</v>
      </c>
      <c r="K256" s="1" t="str">
        <f>TRIM(Cleaned_CRM_Data!H256)</f>
        <v>Rejected</v>
      </c>
      <c r="L256" t="str">
        <f>IFERROR(VLOOKUP(K256, Status_Mapping!A:B, 2,), "Not Found")</f>
        <v>Rejected</v>
      </c>
      <c r="N256" s="29" t="str">
        <f>IF(M256="","",M256-B256)</f>
        <v/>
      </c>
      <c r="O256" s="1" t="str">
        <f t="shared" si="14"/>
        <v>Starter</v>
      </c>
      <c r="P256" t="str">
        <f>TEXT(B256, "mmmm")</f>
        <v>July</v>
      </c>
      <c r="Q256" t="str">
        <f t="shared" si="15"/>
        <v>Q3</v>
      </c>
      <c r="R256" t="str">
        <f>IFERROR(VLOOKUP(TRIM(CLEAN(G256)),Sheet14!$A$2:$B$19,2,FALSE),"Not Mapped")</f>
        <v>West</v>
      </c>
    </row>
    <row r="257" spans="1:18">
      <c r="A257" t="str">
        <f t="shared" si="12"/>
        <v>EOS0256</v>
      </c>
      <c r="B257" s="35">
        <v>45845</v>
      </c>
      <c r="C257" s="1" t="s">
        <v>267</v>
      </c>
      <c r="D257" s="1" t="str">
        <f t="shared" si="13"/>
        <v>FB</v>
      </c>
      <c r="E257" s="1" t="s">
        <v>662</v>
      </c>
      <c r="F257" s="1" t="s">
        <v>271</v>
      </c>
      <c r="G257" s="1" t="s">
        <v>223</v>
      </c>
      <c r="H257" s="1" t="s">
        <v>149</v>
      </c>
      <c r="I257" s="1">
        <v>108000</v>
      </c>
      <c r="J257" s="45">
        <v>107255</v>
      </c>
      <c r="K257" s="1" t="str">
        <f>TRIM(Cleaned_CRM_Data!H257)</f>
        <v>Rejected</v>
      </c>
      <c r="L257" t="str">
        <f>IFERROR(VLOOKUP(K257, Status_Mapping!A:B, 2,), "Not Found")</f>
        <v>Rejected</v>
      </c>
      <c r="N257" s="29" t="str">
        <f>IF(M257="","",M257-B257)</f>
        <v/>
      </c>
      <c r="O257" s="1" t="str">
        <f t="shared" si="14"/>
        <v>Starter</v>
      </c>
      <c r="P257" t="str">
        <f>TEXT(B257, "mmmm")</f>
        <v>July</v>
      </c>
      <c r="Q257" t="str">
        <f t="shared" si="15"/>
        <v>Q3</v>
      </c>
      <c r="R257" t="str">
        <f>IFERROR(VLOOKUP(TRIM(CLEAN(G257)),Sheet14!$A$2:$B$19,2,FALSE),"Not Mapped")</f>
        <v>West</v>
      </c>
    </row>
    <row r="258" spans="1:18">
      <c r="A258" t="str">
        <f t="shared" si="12"/>
        <v>EOS0257</v>
      </c>
      <c r="B258" s="35">
        <v>45845</v>
      </c>
      <c r="C258" s="1" t="s">
        <v>267</v>
      </c>
      <c r="D258" s="1" t="str">
        <f t="shared" si="13"/>
        <v>FB</v>
      </c>
      <c r="E258" s="1" t="s">
        <v>663</v>
      </c>
      <c r="F258" s="1" t="s">
        <v>664</v>
      </c>
      <c r="G258" s="1" t="s">
        <v>236</v>
      </c>
      <c r="H258" s="1" t="s">
        <v>149</v>
      </c>
      <c r="I258" s="1">
        <v>130000</v>
      </c>
      <c r="J258" s="45">
        <v>107256</v>
      </c>
      <c r="K258" s="1" t="str">
        <f>TRIM(Cleaned_CRM_Data!H258)</f>
        <v>Rejected</v>
      </c>
      <c r="L258" t="str">
        <f>IFERROR(VLOOKUP(K258, Status_Mapping!A:B, 2,), "Not Found")</f>
        <v>Rejected</v>
      </c>
      <c r="N258" s="29" t="str">
        <f>IF(M258="","",M258-B258)</f>
        <v/>
      </c>
      <c r="O258" s="1" t="str">
        <f t="shared" si="14"/>
        <v>Starter</v>
      </c>
      <c r="P258" t="str">
        <f>TEXT(B258, "mmmm")</f>
        <v>July</v>
      </c>
      <c r="Q258" t="str">
        <f t="shared" si="15"/>
        <v>Q3</v>
      </c>
      <c r="R258" t="str">
        <f>IFERROR(VLOOKUP(TRIM(CLEAN(G258)),Sheet14!$A$2:$B$19,2,FALSE),"Not Mapped")</f>
        <v>North</v>
      </c>
    </row>
    <row r="259" spans="1:18">
      <c r="A259" t="str">
        <f t="shared" ref="A259:A322" si="16">"EOS"&amp;TEXT(ROW()-1,"0000")</f>
        <v>EOS0258</v>
      </c>
      <c r="B259" s="35">
        <v>45845</v>
      </c>
      <c r="C259" s="1" t="s">
        <v>267</v>
      </c>
      <c r="D259" s="1" t="str">
        <f t="shared" ref="D259:D322" si="17">TRIM(CLEAN(SUBSTITUTE(C259,CHAR(160),"")))</f>
        <v>FB</v>
      </c>
      <c r="E259" s="1" t="s">
        <v>665</v>
      </c>
      <c r="F259" s="1" t="s">
        <v>666</v>
      </c>
      <c r="G259" s="1" t="s">
        <v>229</v>
      </c>
      <c r="H259" s="1" t="s">
        <v>149</v>
      </c>
      <c r="I259" s="1">
        <v>108000</v>
      </c>
      <c r="J259" s="45">
        <v>107257</v>
      </c>
      <c r="K259" s="1" t="str">
        <f>TRIM(Cleaned_CRM_Data!H259)</f>
        <v>Rejected</v>
      </c>
      <c r="L259" t="str">
        <f>IFERROR(VLOOKUP(K259, Status_Mapping!A:B, 2,), "Not Found")</f>
        <v>Rejected</v>
      </c>
      <c r="N259" s="29" t="str">
        <f>IF(M259="","",M259-B259)</f>
        <v/>
      </c>
      <c r="O259" s="1" t="str">
        <f t="shared" ref="O259:O322" si="18">IF(OR(I259=108000,I259=130000),"Starter",IF(I259=177000,"Growth","Premium"))</f>
        <v>Starter</v>
      </c>
      <c r="P259" t="str">
        <f>TEXT(B259, "mmmm")</f>
        <v>July</v>
      </c>
      <c r="Q259" t="str">
        <f t="shared" ref="Q259:Q322" si="19">"Q"&amp;ROUNDUP(MONTH(B259)/3,0)</f>
        <v>Q3</v>
      </c>
      <c r="R259" t="str">
        <f>IFERROR(VLOOKUP(TRIM(CLEAN(G259)),Sheet14!$A$2:$B$19,2,FALSE),"Not Mapped")</f>
        <v>West</v>
      </c>
    </row>
    <row r="260" spans="1:18">
      <c r="A260" t="str">
        <f t="shared" si="16"/>
        <v>EOS0259</v>
      </c>
      <c r="B260" s="35">
        <v>45846</v>
      </c>
      <c r="C260" s="1" t="s">
        <v>267</v>
      </c>
      <c r="D260" s="1" t="str">
        <f t="shared" si="17"/>
        <v>FB</v>
      </c>
      <c r="E260" s="1" t="s">
        <v>667</v>
      </c>
      <c r="F260" s="1" t="s">
        <v>271</v>
      </c>
      <c r="G260" s="1" t="s">
        <v>223</v>
      </c>
      <c r="H260" s="1" t="s">
        <v>149</v>
      </c>
      <c r="I260" s="1">
        <v>130000</v>
      </c>
      <c r="J260" s="45">
        <v>107258</v>
      </c>
      <c r="K260" s="1" t="str">
        <f>TRIM(Cleaned_CRM_Data!H260)</f>
        <v>Rejected</v>
      </c>
      <c r="L260" t="str">
        <f>IFERROR(VLOOKUP(K260, Status_Mapping!A:B, 2,), "Not Found")</f>
        <v>Rejected</v>
      </c>
      <c r="N260" s="29" t="str">
        <f>IF(M260="","",M260-B260)</f>
        <v/>
      </c>
      <c r="O260" s="1" t="str">
        <f t="shared" si="18"/>
        <v>Starter</v>
      </c>
      <c r="P260" t="str">
        <f>TEXT(B260, "mmmm")</f>
        <v>July</v>
      </c>
      <c r="Q260" t="str">
        <f t="shared" si="19"/>
        <v>Q3</v>
      </c>
      <c r="R260" t="str">
        <f>IFERROR(VLOOKUP(TRIM(CLEAN(G260)),Sheet14!$A$2:$B$19,2,FALSE),"Not Mapped")</f>
        <v>West</v>
      </c>
    </row>
    <row r="261" spans="1:18">
      <c r="A261" t="str">
        <f t="shared" si="16"/>
        <v>EOS0260</v>
      </c>
      <c r="B261" s="35">
        <v>45846</v>
      </c>
      <c r="C261" s="1" t="s">
        <v>267</v>
      </c>
      <c r="D261" s="1" t="str">
        <f t="shared" si="17"/>
        <v>FB</v>
      </c>
      <c r="E261" s="1" t="s">
        <v>668</v>
      </c>
      <c r="F261" s="1" t="s">
        <v>275</v>
      </c>
      <c r="G261" s="1" t="s">
        <v>223</v>
      </c>
      <c r="H261" s="1" t="s">
        <v>149</v>
      </c>
      <c r="I261" s="1">
        <v>108000</v>
      </c>
      <c r="J261" s="45">
        <v>107259</v>
      </c>
      <c r="K261" s="1" t="str">
        <f>TRIM(Cleaned_CRM_Data!H261)</f>
        <v>Rejected</v>
      </c>
      <c r="L261" t="str">
        <f>IFERROR(VLOOKUP(K261, Status_Mapping!A:B, 2,), "Not Found")</f>
        <v>Rejected</v>
      </c>
      <c r="N261" s="29" t="str">
        <f>IF(M261="","",M261-B261)</f>
        <v/>
      </c>
      <c r="O261" s="1" t="str">
        <f t="shared" si="18"/>
        <v>Starter</v>
      </c>
      <c r="P261" t="str">
        <f>TEXT(B261, "mmmm")</f>
        <v>July</v>
      </c>
      <c r="Q261" t="str">
        <f t="shared" si="19"/>
        <v>Q3</v>
      </c>
      <c r="R261" t="str">
        <f>IFERROR(VLOOKUP(TRIM(CLEAN(G261)),Sheet14!$A$2:$B$19,2,FALSE),"Not Mapped")</f>
        <v>West</v>
      </c>
    </row>
    <row r="262" spans="1:18">
      <c r="A262" t="str">
        <f t="shared" si="16"/>
        <v>EOS0261</v>
      </c>
      <c r="B262" s="35">
        <v>45846</v>
      </c>
      <c r="C262" s="1" t="s">
        <v>267</v>
      </c>
      <c r="D262" s="1" t="str">
        <f t="shared" si="17"/>
        <v>FB</v>
      </c>
      <c r="E262" s="1" t="s">
        <v>669</v>
      </c>
      <c r="F262" s="1" t="s">
        <v>326</v>
      </c>
      <c r="G262" s="1" t="s">
        <v>223</v>
      </c>
      <c r="H262" s="1" t="s">
        <v>149</v>
      </c>
      <c r="I262" s="1">
        <v>177000</v>
      </c>
      <c r="J262" s="45">
        <v>107260</v>
      </c>
      <c r="K262" s="1" t="str">
        <f>TRIM(Cleaned_CRM_Data!H262)</f>
        <v>Rejected</v>
      </c>
      <c r="L262" t="str">
        <f>IFERROR(VLOOKUP(K262, Status_Mapping!A:B, 2,), "Not Found")</f>
        <v>Rejected</v>
      </c>
      <c r="N262" s="29" t="str">
        <f>IF(M262="","",M262-B262)</f>
        <v/>
      </c>
      <c r="O262" s="1" t="str">
        <f t="shared" si="18"/>
        <v>Growth</v>
      </c>
      <c r="P262" t="str">
        <f>TEXT(B262, "mmmm")</f>
        <v>July</v>
      </c>
      <c r="Q262" t="str">
        <f t="shared" si="19"/>
        <v>Q3</v>
      </c>
      <c r="R262" t="str">
        <f>IFERROR(VLOOKUP(TRIM(CLEAN(G262)),Sheet14!$A$2:$B$19,2,FALSE),"Not Mapped")</f>
        <v>West</v>
      </c>
    </row>
    <row r="263" spans="1:18">
      <c r="A263" t="str">
        <f t="shared" si="16"/>
        <v>EOS0262</v>
      </c>
      <c r="B263" s="35">
        <v>45846</v>
      </c>
      <c r="C263" s="1" t="s">
        <v>267</v>
      </c>
      <c r="D263" s="1" t="str">
        <f t="shared" si="17"/>
        <v>FB</v>
      </c>
      <c r="E263" s="1" t="s">
        <v>670</v>
      </c>
      <c r="F263" s="1" t="s">
        <v>275</v>
      </c>
      <c r="G263" s="1" t="s">
        <v>223</v>
      </c>
      <c r="H263" s="1" t="s">
        <v>149</v>
      </c>
      <c r="I263" s="1">
        <v>108000</v>
      </c>
      <c r="J263" s="45">
        <v>107261</v>
      </c>
      <c r="K263" s="1" t="str">
        <f>TRIM(Cleaned_CRM_Data!H263)</f>
        <v>Rejected</v>
      </c>
      <c r="L263" t="str">
        <f>IFERROR(VLOOKUP(K263, Status_Mapping!A:B, 2,), "Not Found")</f>
        <v>Rejected</v>
      </c>
      <c r="N263" s="29" t="str">
        <f>IF(M263="","",M263-B263)</f>
        <v/>
      </c>
      <c r="O263" s="1" t="str">
        <f t="shared" si="18"/>
        <v>Starter</v>
      </c>
      <c r="P263" t="str">
        <f>TEXT(B263, "mmmm")</f>
        <v>July</v>
      </c>
      <c r="Q263" t="str">
        <f t="shared" si="19"/>
        <v>Q3</v>
      </c>
      <c r="R263" t="str">
        <f>IFERROR(VLOOKUP(TRIM(CLEAN(G263)),Sheet14!$A$2:$B$19,2,FALSE),"Not Mapped")</f>
        <v>West</v>
      </c>
    </row>
    <row r="264" spans="1:18">
      <c r="A264" t="str">
        <f t="shared" si="16"/>
        <v>EOS0263</v>
      </c>
      <c r="B264" s="35">
        <v>45846</v>
      </c>
      <c r="C264" s="1" t="s">
        <v>267</v>
      </c>
      <c r="D264" s="1" t="str">
        <f t="shared" si="17"/>
        <v>FB</v>
      </c>
      <c r="E264" s="1" t="s">
        <v>671</v>
      </c>
      <c r="F264" s="1" t="s">
        <v>304</v>
      </c>
      <c r="G264" s="1" t="s">
        <v>223</v>
      </c>
      <c r="H264" s="1" t="s">
        <v>149</v>
      </c>
      <c r="I264" s="1">
        <v>130000</v>
      </c>
      <c r="J264" s="45">
        <v>107262</v>
      </c>
      <c r="K264" s="1" t="str">
        <f>TRIM(Cleaned_CRM_Data!H264)</f>
        <v>Rejected</v>
      </c>
      <c r="L264" t="str">
        <f>IFERROR(VLOOKUP(K264, Status_Mapping!A:B, 2,), "Not Found")</f>
        <v>Rejected</v>
      </c>
      <c r="N264" s="29" t="str">
        <f>IF(M264="","",M264-B264)</f>
        <v/>
      </c>
      <c r="O264" s="1" t="str">
        <f t="shared" si="18"/>
        <v>Starter</v>
      </c>
      <c r="P264" t="str">
        <f>TEXT(B264, "mmmm")</f>
        <v>July</v>
      </c>
      <c r="Q264" t="str">
        <f t="shared" si="19"/>
        <v>Q3</v>
      </c>
      <c r="R264" t="str">
        <f>IFERROR(VLOOKUP(TRIM(CLEAN(G264)),Sheet14!$A$2:$B$19,2,FALSE),"Not Mapped")</f>
        <v>West</v>
      </c>
    </row>
    <row r="265" spans="1:18">
      <c r="A265" t="str">
        <f t="shared" si="16"/>
        <v>EOS0264</v>
      </c>
      <c r="B265" s="35">
        <v>45846</v>
      </c>
      <c r="C265" s="1" t="s">
        <v>267</v>
      </c>
      <c r="D265" s="1" t="str">
        <f t="shared" si="17"/>
        <v>FB</v>
      </c>
      <c r="E265" s="1" t="s">
        <v>672</v>
      </c>
      <c r="F265" s="1" t="s">
        <v>275</v>
      </c>
      <c r="G265" s="1" t="s">
        <v>223</v>
      </c>
      <c r="H265" s="1" t="s">
        <v>149</v>
      </c>
      <c r="I265" s="1">
        <v>108000</v>
      </c>
      <c r="J265" s="45">
        <v>107263</v>
      </c>
      <c r="K265" s="1" t="str">
        <f>TRIM(Cleaned_CRM_Data!H265)</f>
        <v>Rejected</v>
      </c>
      <c r="L265" t="str">
        <f>IFERROR(VLOOKUP(K265, Status_Mapping!A:B, 2,), "Not Found")</f>
        <v>Rejected</v>
      </c>
      <c r="N265" s="29" t="str">
        <f>IF(M265="","",M265-B265)</f>
        <v/>
      </c>
      <c r="O265" s="1" t="str">
        <f t="shared" si="18"/>
        <v>Starter</v>
      </c>
      <c r="P265" t="str">
        <f>TEXT(B265, "mmmm")</f>
        <v>July</v>
      </c>
      <c r="Q265" t="str">
        <f t="shared" si="19"/>
        <v>Q3</v>
      </c>
      <c r="R265" t="str">
        <f>IFERROR(VLOOKUP(TRIM(CLEAN(G265)),Sheet14!$A$2:$B$19,2,FALSE),"Not Mapped")</f>
        <v>West</v>
      </c>
    </row>
    <row r="266" spans="1:18">
      <c r="A266" t="str">
        <f t="shared" si="16"/>
        <v>EOS0265</v>
      </c>
      <c r="B266" s="35">
        <v>45846</v>
      </c>
      <c r="C266" s="1" t="s">
        <v>267</v>
      </c>
      <c r="D266" s="1" t="str">
        <f t="shared" si="17"/>
        <v>FB</v>
      </c>
      <c r="E266" s="1" t="s">
        <v>673</v>
      </c>
      <c r="F266" s="1" t="s">
        <v>643</v>
      </c>
      <c r="G266" s="1" t="s">
        <v>223</v>
      </c>
      <c r="H266" s="1" t="s">
        <v>149</v>
      </c>
      <c r="I266" s="1">
        <v>130000</v>
      </c>
      <c r="J266" s="45">
        <v>107264</v>
      </c>
      <c r="K266" s="1" t="str">
        <f>TRIM(Cleaned_CRM_Data!H266)</f>
        <v>Rejected</v>
      </c>
      <c r="L266" t="str">
        <f>IFERROR(VLOOKUP(K266, Status_Mapping!A:B, 2,), "Not Found")</f>
        <v>Rejected</v>
      </c>
      <c r="N266" s="29" t="str">
        <f>IF(M266="","",M266-B266)</f>
        <v/>
      </c>
      <c r="O266" s="1" t="str">
        <f t="shared" si="18"/>
        <v>Starter</v>
      </c>
      <c r="P266" t="str">
        <f>TEXT(B266, "mmmm")</f>
        <v>July</v>
      </c>
      <c r="Q266" t="str">
        <f t="shared" si="19"/>
        <v>Q3</v>
      </c>
      <c r="R266" t="str">
        <f>IFERROR(VLOOKUP(TRIM(CLEAN(G266)),Sheet14!$A$2:$B$19,2,FALSE),"Not Mapped")</f>
        <v>West</v>
      </c>
    </row>
    <row r="267" spans="1:18">
      <c r="A267" t="str">
        <f t="shared" si="16"/>
        <v>EOS0266</v>
      </c>
      <c r="B267" s="35">
        <v>45846</v>
      </c>
      <c r="C267" s="1" t="s">
        <v>267</v>
      </c>
      <c r="D267" s="1" t="str">
        <f t="shared" si="17"/>
        <v>FB</v>
      </c>
      <c r="E267" s="1" t="s">
        <v>674</v>
      </c>
      <c r="F267" s="1" t="s">
        <v>675</v>
      </c>
      <c r="G267" s="1" t="s">
        <v>223</v>
      </c>
      <c r="H267" s="1" t="s">
        <v>149</v>
      </c>
      <c r="I267" s="1">
        <v>177000</v>
      </c>
      <c r="J267" s="45">
        <v>107265</v>
      </c>
      <c r="K267" s="1" t="str">
        <f>TRIM(Cleaned_CRM_Data!H267)</f>
        <v>Rejected</v>
      </c>
      <c r="L267" t="str">
        <f>IFERROR(VLOOKUP(K267, Status_Mapping!A:B, 2,), "Not Found")</f>
        <v>Rejected</v>
      </c>
      <c r="N267" s="29" t="str">
        <f>IF(M267="","",M267-B267)</f>
        <v/>
      </c>
      <c r="O267" s="1" t="str">
        <f t="shared" si="18"/>
        <v>Growth</v>
      </c>
      <c r="P267" t="str">
        <f>TEXT(B267, "mmmm")</f>
        <v>July</v>
      </c>
      <c r="Q267" t="str">
        <f t="shared" si="19"/>
        <v>Q3</v>
      </c>
      <c r="R267" t="str">
        <f>IFERROR(VLOOKUP(TRIM(CLEAN(G267)),Sheet14!$A$2:$B$19,2,FALSE),"Not Mapped")</f>
        <v>West</v>
      </c>
    </row>
    <row r="268" spans="1:18">
      <c r="A268" t="str">
        <f t="shared" si="16"/>
        <v>EOS0267</v>
      </c>
      <c r="B268" s="35">
        <v>45847</v>
      </c>
      <c r="C268" s="1" t="s">
        <v>267</v>
      </c>
      <c r="D268" s="1" t="str">
        <f t="shared" si="17"/>
        <v>FB</v>
      </c>
      <c r="E268" s="1" t="s">
        <v>676</v>
      </c>
      <c r="F268" s="1" t="s">
        <v>677</v>
      </c>
      <c r="G268" s="1" t="s">
        <v>223</v>
      </c>
      <c r="H268" s="1" t="s">
        <v>149</v>
      </c>
      <c r="I268" s="1">
        <v>130000</v>
      </c>
      <c r="J268" s="45">
        <v>107266</v>
      </c>
      <c r="K268" s="1" t="str">
        <f>TRIM(Cleaned_CRM_Data!H268)</f>
        <v>Rejected</v>
      </c>
      <c r="L268" t="str">
        <f>IFERROR(VLOOKUP(K268, Status_Mapping!A:B, 2,), "Not Found")</f>
        <v>Rejected</v>
      </c>
      <c r="N268" s="29" t="str">
        <f>IF(M268="","",M268-B268)</f>
        <v/>
      </c>
      <c r="O268" s="1" t="str">
        <f t="shared" si="18"/>
        <v>Starter</v>
      </c>
      <c r="P268" t="str">
        <f>TEXT(B268, "mmmm")</f>
        <v>July</v>
      </c>
      <c r="Q268" t="str">
        <f t="shared" si="19"/>
        <v>Q3</v>
      </c>
      <c r="R268" t="str">
        <f>IFERROR(VLOOKUP(TRIM(CLEAN(G268)),Sheet14!$A$2:$B$19,2,FALSE),"Not Mapped")</f>
        <v>West</v>
      </c>
    </row>
    <row r="269" spans="1:18">
      <c r="A269" t="str">
        <f t="shared" si="16"/>
        <v>EOS0268</v>
      </c>
      <c r="B269" s="35">
        <v>45847</v>
      </c>
      <c r="C269" s="1" t="s">
        <v>267</v>
      </c>
      <c r="D269" s="1" t="str">
        <f t="shared" si="17"/>
        <v>FB</v>
      </c>
      <c r="E269" s="1" t="s">
        <v>678</v>
      </c>
      <c r="F269" s="1" t="s">
        <v>304</v>
      </c>
      <c r="G269" s="1" t="s">
        <v>223</v>
      </c>
      <c r="H269" s="1" t="s">
        <v>149</v>
      </c>
      <c r="I269" s="1">
        <v>108000</v>
      </c>
      <c r="J269" s="45">
        <v>107267</v>
      </c>
      <c r="K269" s="1" t="str">
        <f>TRIM(Cleaned_CRM_Data!H269)</f>
        <v>Rejected</v>
      </c>
      <c r="L269" t="str">
        <f>IFERROR(VLOOKUP(K269, Status_Mapping!A:B, 2,), "Not Found")</f>
        <v>Rejected</v>
      </c>
      <c r="N269" s="29" t="str">
        <f>IF(M269="","",M269-B269)</f>
        <v/>
      </c>
      <c r="O269" s="1" t="str">
        <f t="shared" si="18"/>
        <v>Starter</v>
      </c>
      <c r="P269" t="str">
        <f>TEXT(B269, "mmmm")</f>
        <v>July</v>
      </c>
      <c r="Q269" t="str">
        <f t="shared" si="19"/>
        <v>Q3</v>
      </c>
      <c r="R269" t="str">
        <f>IFERROR(VLOOKUP(TRIM(CLEAN(G269)),Sheet14!$A$2:$B$19,2,FALSE),"Not Mapped")</f>
        <v>West</v>
      </c>
    </row>
    <row r="270" spans="1:18">
      <c r="A270" t="str">
        <f t="shared" si="16"/>
        <v>EOS0269</v>
      </c>
      <c r="B270" s="35">
        <v>45847</v>
      </c>
      <c r="C270" s="1" t="s">
        <v>267</v>
      </c>
      <c r="D270" s="1" t="str">
        <f t="shared" si="17"/>
        <v>FB</v>
      </c>
      <c r="E270" s="1" t="s">
        <v>679</v>
      </c>
      <c r="F270" s="1" t="s">
        <v>300</v>
      </c>
      <c r="G270" s="1" t="s">
        <v>223</v>
      </c>
      <c r="H270" s="1" t="s">
        <v>149</v>
      </c>
      <c r="I270" s="1">
        <v>130000</v>
      </c>
      <c r="J270" s="45">
        <v>107268</v>
      </c>
      <c r="K270" s="1" t="str">
        <f>TRIM(Cleaned_CRM_Data!H270)</f>
        <v>Rejected</v>
      </c>
      <c r="L270" t="str">
        <f>IFERROR(VLOOKUP(K270, Status_Mapping!A:B, 2,), "Not Found")</f>
        <v>Rejected</v>
      </c>
      <c r="N270" s="29" t="str">
        <f>IF(M270="","",M270-B270)</f>
        <v/>
      </c>
      <c r="O270" s="1" t="str">
        <f t="shared" si="18"/>
        <v>Starter</v>
      </c>
      <c r="P270" t="str">
        <f>TEXT(B270, "mmmm")</f>
        <v>July</v>
      </c>
      <c r="Q270" t="str">
        <f t="shared" si="19"/>
        <v>Q3</v>
      </c>
      <c r="R270" t="str">
        <f>IFERROR(VLOOKUP(TRIM(CLEAN(G270)),Sheet14!$A$2:$B$19,2,FALSE),"Not Mapped")</f>
        <v>West</v>
      </c>
    </row>
    <row r="271" spans="1:18">
      <c r="A271" t="str">
        <f t="shared" si="16"/>
        <v>EOS0270</v>
      </c>
      <c r="B271" s="35">
        <v>45847</v>
      </c>
      <c r="C271" s="1" t="s">
        <v>267</v>
      </c>
      <c r="D271" s="1" t="str">
        <f t="shared" si="17"/>
        <v>FB</v>
      </c>
      <c r="E271" s="1" t="s">
        <v>680</v>
      </c>
      <c r="F271" s="1" t="s">
        <v>643</v>
      </c>
      <c r="G271" s="1" t="s">
        <v>223</v>
      </c>
      <c r="H271" s="1" t="s">
        <v>149</v>
      </c>
      <c r="I271" s="1">
        <v>130000</v>
      </c>
      <c r="J271" s="45">
        <v>107269</v>
      </c>
      <c r="K271" s="1" t="str">
        <f>TRIM(Cleaned_CRM_Data!H271)</f>
        <v>Rejected</v>
      </c>
      <c r="L271" t="str">
        <f>IFERROR(VLOOKUP(K271, Status_Mapping!A:B, 2,), "Not Found")</f>
        <v>Rejected</v>
      </c>
      <c r="N271" s="29" t="str">
        <f>IF(M271="","",M271-B271)</f>
        <v/>
      </c>
      <c r="O271" s="1" t="str">
        <f t="shared" si="18"/>
        <v>Starter</v>
      </c>
      <c r="P271" t="str">
        <f>TEXT(B271, "mmmm")</f>
        <v>July</v>
      </c>
      <c r="Q271" t="str">
        <f t="shared" si="19"/>
        <v>Q3</v>
      </c>
      <c r="R271" t="str">
        <f>IFERROR(VLOOKUP(TRIM(CLEAN(G271)),Sheet14!$A$2:$B$19,2,FALSE),"Not Mapped")</f>
        <v>West</v>
      </c>
    </row>
    <row r="272" spans="1:18">
      <c r="A272" t="str">
        <f t="shared" si="16"/>
        <v>EOS0271</v>
      </c>
      <c r="B272" s="35">
        <v>23</v>
      </c>
      <c r="C272" s="1" t="s">
        <v>267</v>
      </c>
      <c r="D272" s="1" t="str">
        <f t="shared" si="17"/>
        <v>FB</v>
      </c>
      <c r="E272" s="1" t="s">
        <v>681</v>
      </c>
      <c r="F272" s="1" t="s">
        <v>275</v>
      </c>
      <c r="G272" s="1" t="s">
        <v>223</v>
      </c>
      <c r="H272" s="1" t="s">
        <v>149</v>
      </c>
      <c r="I272" s="1">
        <v>130000</v>
      </c>
      <c r="J272" s="45">
        <v>107270</v>
      </c>
      <c r="K272" s="1" t="str">
        <f>TRIM(Cleaned_CRM_Data!H272)</f>
        <v>Rejected</v>
      </c>
      <c r="L272" t="str">
        <f>IFERROR(VLOOKUP(K272, Status_Mapping!A:B, 2,), "Not Found")</f>
        <v>Rejected</v>
      </c>
      <c r="N272" s="29" t="str">
        <f>IF(M272="","",M272-B272)</f>
        <v/>
      </c>
      <c r="O272" s="1" t="str">
        <f t="shared" si="18"/>
        <v>Starter</v>
      </c>
      <c r="P272" t="str">
        <f>TEXT(B272, "mmmm")</f>
        <v>January</v>
      </c>
      <c r="Q272" t="str">
        <f t="shared" si="19"/>
        <v>Q1</v>
      </c>
      <c r="R272" t="str">
        <f>IFERROR(VLOOKUP(TRIM(CLEAN(G272)),Sheet14!$A$2:$B$19,2,FALSE),"Not Mapped")</f>
        <v>West</v>
      </c>
    </row>
    <row r="273" spans="1:18">
      <c r="A273" t="str">
        <f t="shared" si="16"/>
        <v>EOS0272</v>
      </c>
      <c r="B273" s="35">
        <v>45848</v>
      </c>
      <c r="C273" s="1" t="s">
        <v>267</v>
      </c>
      <c r="D273" s="1" t="str">
        <f t="shared" si="17"/>
        <v>FB</v>
      </c>
      <c r="E273" s="1" t="s">
        <v>682</v>
      </c>
      <c r="F273" s="1" t="s">
        <v>326</v>
      </c>
      <c r="G273" s="1" t="s">
        <v>223</v>
      </c>
      <c r="H273" s="1" t="s">
        <v>149</v>
      </c>
      <c r="I273" s="1">
        <v>130000</v>
      </c>
      <c r="J273" s="45">
        <v>107271</v>
      </c>
      <c r="K273" s="1" t="str">
        <f>TRIM(Cleaned_CRM_Data!H273)</f>
        <v>Rejected</v>
      </c>
      <c r="L273" t="str">
        <f>IFERROR(VLOOKUP(K273, Status_Mapping!A:B, 2,), "Not Found")</f>
        <v>Rejected</v>
      </c>
      <c r="N273" s="29" t="str">
        <f>IF(M273="","",M273-B273)</f>
        <v/>
      </c>
      <c r="O273" s="1" t="str">
        <f t="shared" si="18"/>
        <v>Starter</v>
      </c>
      <c r="P273" t="str">
        <f>TEXT(B273, "mmmm")</f>
        <v>July</v>
      </c>
      <c r="Q273" t="str">
        <f t="shared" si="19"/>
        <v>Q3</v>
      </c>
      <c r="R273" t="str">
        <f>IFERROR(VLOOKUP(TRIM(CLEAN(G273)),Sheet14!$A$2:$B$19,2,FALSE),"Not Mapped")</f>
        <v>West</v>
      </c>
    </row>
    <row r="274" spans="1:18">
      <c r="A274" t="str">
        <f t="shared" si="16"/>
        <v>EOS0273</v>
      </c>
      <c r="B274" s="35">
        <v>45848</v>
      </c>
      <c r="C274" s="1" t="s">
        <v>267</v>
      </c>
      <c r="D274" s="1" t="str">
        <f t="shared" si="17"/>
        <v>FB</v>
      </c>
      <c r="E274" s="1" t="s">
        <v>683</v>
      </c>
      <c r="F274" s="1" t="s">
        <v>304</v>
      </c>
      <c r="G274" s="1" t="s">
        <v>223</v>
      </c>
      <c r="H274" s="1" t="s">
        <v>149</v>
      </c>
      <c r="I274" s="1">
        <v>177000</v>
      </c>
      <c r="J274" s="45">
        <v>107272</v>
      </c>
      <c r="K274" s="1" t="str">
        <f>TRIM(Cleaned_CRM_Data!H274)</f>
        <v>Rejected</v>
      </c>
      <c r="L274" t="str">
        <f>IFERROR(VLOOKUP(K274, Status_Mapping!A:B, 2,), "Not Found")</f>
        <v>Rejected</v>
      </c>
      <c r="N274" s="29" t="str">
        <f>IF(M274="","",M274-B274)</f>
        <v/>
      </c>
      <c r="O274" s="1" t="str">
        <f t="shared" si="18"/>
        <v>Growth</v>
      </c>
      <c r="P274" t="str">
        <f>TEXT(B274, "mmmm")</f>
        <v>July</v>
      </c>
      <c r="Q274" t="str">
        <f t="shared" si="19"/>
        <v>Q3</v>
      </c>
      <c r="R274" t="str">
        <f>IFERROR(VLOOKUP(TRIM(CLEAN(G274)),Sheet14!$A$2:$B$19,2,FALSE),"Not Mapped")</f>
        <v>West</v>
      </c>
    </row>
    <row r="275" spans="1:18">
      <c r="A275" t="str">
        <f t="shared" si="16"/>
        <v>EOS0274</v>
      </c>
      <c r="B275" s="35">
        <v>45848</v>
      </c>
      <c r="C275" s="1" t="s">
        <v>267</v>
      </c>
      <c r="D275" s="1" t="str">
        <f t="shared" si="17"/>
        <v>FB</v>
      </c>
      <c r="E275" s="1" t="s">
        <v>684</v>
      </c>
      <c r="F275" s="1" t="s">
        <v>685</v>
      </c>
      <c r="G275" s="1" t="s">
        <v>686</v>
      </c>
      <c r="H275" s="1" t="s">
        <v>149</v>
      </c>
      <c r="I275" s="1">
        <v>130000</v>
      </c>
      <c r="J275" s="45">
        <v>107273</v>
      </c>
      <c r="K275" s="1" t="str">
        <f>TRIM(Cleaned_CRM_Data!H275)</f>
        <v>Rejected</v>
      </c>
      <c r="L275" t="str">
        <f>IFERROR(VLOOKUP(K275, Status_Mapping!A:B, 2,), "Not Found")</f>
        <v>Rejected</v>
      </c>
      <c r="N275" s="29" t="str">
        <f>IF(M275="","",M275-B275)</f>
        <v/>
      </c>
      <c r="O275" s="1" t="str">
        <f t="shared" si="18"/>
        <v>Starter</v>
      </c>
      <c r="P275" t="str">
        <f>TEXT(B275, "mmmm")</f>
        <v>July</v>
      </c>
      <c r="Q275" t="str">
        <f t="shared" si="19"/>
        <v>Q3</v>
      </c>
      <c r="R275" t="str">
        <f>IFERROR(VLOOKUP(TRIM(CLEAN(G275)),Sheet14!$A$2:$B$19,2,FALSE),"Not Mapped")</f>
        <v>North</v>
      </c>
    </row>
    <row r="276" spans="1:18">
      <c r="A276" t="str">
        <f t="shared" si="16"/>
        <v>EOS0275</v>
      </c>
      <c r="B276" s="35">
        <v>45848</v>
      </c>
      <c r="C276" s="1" t="s">
        <v>267</v>
      </c>
      <c r="D276" s="1" t="str">
        <f t="shared" si="17"/>
        <v>FB</v>
      </c>
      <c r="E276" s="1" t="s">
        <v>687</v>
      </c>
      <c r="F276" s="1" t="s">
        <v>688</v>
      </c>
      <c r="G276" s="1" t="s">
        <v>236</v>
      </c>
      <c r="H276" s="1" t="s">
        <v>149</v>
      </c>
      <c r="I276" s="1">
        <v>130000</v>
      </c>
      <c r="J276" s="45">
        <v>107274</v>
      </c>
      <c r="K276" s="1" t="str">
        <f>TRIM(Cleaned_CRM_Data!H276)</f>
        <v>Rejected</v>
      </c>
      <c r="L276" t="str">
        <f>IFERROR(VLOOKUP(K276, Status_Mapping!A:B, 2,), "Not Found")</f>
        <v>Rejected</v>
      </c>
      <c r="N276" s="29" t="str">
        <f>IF(M276="","",M276-B276)</f>
        <v/>
      </c>
      <c r="O276" s="1" t="str">
        <f t="shared" si="18"/>
        <v>Starter</v>
      </c>
      <c r="P276" t="str">
        <f>TEXT(B276, "mmmm")</f>
        <v>July</v>
      </c>
      <c r="Q276" t="str">
        <f t="shared" si="19"/>
        <v>Q3</v>
      </c>
      <c r="R276" t="str">
        <f>IFERROR(VLOOKUP(TRIM(CLEAN(G276)),Sheet14!$A$2:$B$19,2,FALSE),"Not Mapped")</f>
        <v>North</v>
      </c>
    </row>
    <row r="277" spans="1:18">
      <c r="A277" t="str">
        <f t="shared" si="16"/>
        <v>EOS0276</v>
      </c>
      <c r="B277" s="35">
        <v>45848</v>
      </c>
      <c r="C277" s="1" t="s">
        <v>267</v>
      </c>
      <c r="D277" s="1" t="str">
        <f t="shared" si="17"/>
        <v>FB</v>
      </c>
      <c r="E277" s="1" t="s">
        <v>689</v>
      </c>
      <c r="F277" s="1" t="s">
        <v>690</v>
      </c>
      <c r="G277" s="1" t="s">
        <v>236</v>
      </c>
      <c r="H277" s="1" t="s">
        <v>149</v>
      </c>
      <c r="I277" s="1">
        <v>108000</v>
      </c>
      <c r="J277" s="45">
        <v>107275</v>
      </c>
      <c r="K277" s="1" t="str">
        <f>TRIM(Cleaned_CRM_Data!H277)</f>
        <v>Rejected</v>
      </c>
      <c r="L277" t="str">
        <f>IFERROR(VLOOKUP(K277, Status_Mapping!A:B, 2,), "Not Found")</f>
        <v>Rejected</v>
      </c>
      <c r="N277" s="29" t="str">
        <f>IF(M277="","",M277-B277)</f>
        <v/>
      </c>
      <c r="O277" s="1" t="str">
        <f t="shared" si="18"/>
        <v>Starter</v>
      </c>
      <c r="P277" t="str">
        <f>TEXT(B277, "mmmm")</f>
        <v>July</v>
      </c>
      <c r="Q277" t="str">
        <f t="shared" si="19"/>
        <v>Q3</v>
      </c>
      <c r="R277" t="str">
        <f>IFERROR(VLOOKUP(TRIM(CLEAN(G277)),Sheet14!$A$2:$B$19,2,FALSE),"Not Mapped")</f>
        <v>North</v>
      </c>
    </row>
    <row r="278" spans="1:18">
      <c r="A278" t="str">
        <f t="shared" si="16"/>
        <v>EOS0277</v>
      </c>
      <c r="B278" s="35">
        <v>45848</v>
      </c>
      <c r="C278" s="1" t="s">
        <v>267</v>
      </c>
      <c r="D278" s="1" t="str">
        <f t="shared" si="17"/>
        <v>FB</v>
      </c>
      <c r="E278" s="1" t="s">
        <v>691</v>
      </c>
      <c r="F278" s="1" t="s">
        <v>692</v>
      </c>
      <c r="G278" s="1" t="s">
        <v>238</v>
      </c>
      <c r="H278" s="1" t="s">
        <v>149</v>
      </c>
      <c r="I278" s="1">
        <v>177000</v>
      </c>
      <c r="J278" s="45">
        <v>107276</v>
      </c>
      <c r="K278" s="1" t="str">
        <f>TRIM(Cleaned_CRM_Data!H278)</f>
        <v>Rejected</v>
      </c>
      <c r="L278" t="str">
        <f>IFERROR(VLOOKUP(K278, Status_Mapping!A:B, 2,), "Not Found")</f>
        <v>Rejected</v>
      </c>
      <c r="N278" s="29" t="str">
        <f>IF(M278="","",M278-B278)</f>
        <v/>
      </c>
      <c r="O278" s="1" t="str">
        <f t="shared" si="18"/>
        <v>Growth</v>
      </c>
      <c r="P278" t="str">
        <f>TEXT(B278, "mmmm")</f>
        <v>July</v>
      </c>
      <c r="Q278" t="str">
        <f t="shared" si="19"/>
        <v>Q3</v>
      </c>
      <c r="R278" t="str">
        <f>IFERROR(VLOOKUP(TRIM(CLEAN(G278)),Sheet14!$A$2:$B$19,2,FALSE),"Not Mapped")</f>
        <v>North</v>
      </c>
    </row>
    <row r="279" spans="1:18">
      <c r="A279" t="str">
        <f t="shared" si="16"/>
        <v>EOS0278</v>
      </c>
      <c r="B279" s="35">
        <v>45848</v>
      </c>
      <c r="C279" s="1" t="s">
        <v>267</v>
      </c>
      <c r="D279" s="1" t="str">
        <f t="shared" si="17"/>
        <v>FB</v>
      </c>
      <c r="E279" s="1" t="s">
        <v>693</v>
      </c>
      <c r="F279" s="1" t="s">
        <v>694</v>
      </c>
      <c r="G279" s="1" t="s">
        <v>229</v>
      </c>
      <c r="H279" s="1" t="s">
        <v>149</v>
      </c>
      <c r="I279" s="1">
        <v>130000</v>
      </c>
      <c r="J279" s="45">
        <v>107277</v>
      </c>
      <c r="K279" s="1" t="str">
        <f>TRIM(Cleaned_CRM_Data!H279)</f>
        <v>Rejected</v>
      </c>
      <c r="L279" t="str">
        <f>IFERROR(VLOOKUP(K279, Status_Mapping!A:B, 2,), "Not Found")</f>
        <v>Rejected</v>
      </c>
      <c r="N279" s="29" t="str">
        <f>IF(M279="","",M279-B279)</f>
        <v/>
      </c>
      <c r="O279" s="1" t="str">
        <f t="shared" si="18"/>
        <v>Starter</v>
      </c>
      <c r="P279" t="str">
        <f>TEXT(B279, "mmmm")</f>
        <v>July</v>
      </c>
      <c r="Q279" t="str">
        <f t="shared" si="19"/>
        <v>Q3</v>
      </c>
      <c r="R279" t="str">
        <f>IFERROR(VLOOKUP(TRIM(CLEAN(G279)),Sheet14!$A$2:$B$19,2,FALSE),"Not Mapped")</f>
        <v>West</v>
      </c>
    </row>
    <row r="280" spans="1:18">
      <c r="A280" t="str">
        <f t="shared" si="16"/>
        <v>EOS0279</v>
      </c>
      <c r="B280" s="35">
        <v>45848</v>
      </c>
      <c r="C280" s="1" t="s">
        <v>267</v>
      </c>
      <c r="D280" s="1" t="str">
        <f t="shared" si="17"/>
        <v>FB</v>
      </c>
      <c r="E280" s="1" t="s">
        <v>695</v>
      </c>
      <c r="F280" s="1" t="s">
        <v>696</v>
      </c>
      <c r="G280" s="1" t="s">
        <v>236</v>
      </c>
      <c r="H280" s="1" t="s">
        <v>149</v>
      </c>
      <c r="I280" s="1">
        <v>108000</v>
      </c>
      <c r="J280" s="45">
        <v>107278</v>
      </c>
      <c r="K280" s="1" t="str">
        <f>TRIM(Cleaned_CRM_Data!H280)</f>
        <v>Rejected</v>
      </c>
      <c r="L280" t="str">
        <f>IFERROR(VLOOKUP(K280, Status_Mapping!A:B, 2,), "Not Found")</f>
        <v>Rejected</v>
      </c>
      <c r="N280" s="29" t="str">
        <f>IF(M280="","",M280-B280)</f>
        <v/>
      </c>
      <c r="O280" s="1" t="str">
        <f t="shared" si="18"/>
        <v>Starter</v>
      </c>
      <c r="P280" t="str">
        <f>TEXT(B280, "mmmm")</f>
        <v>July</v>
      </c>
      <c r="Q280" t="str">
        <f t="shared" si="19"/>
        <v>Q3</v>
      </c>
      <c r="R280" t="str">
        <f>IFERROR(VLOOKUP(TRIM(CLEAN(G280)),Sheet14!$A$2:$B$19,2,FALSE),"Not Mapped")</f>
        <v>North</v>
      </c>
    </row>
    <row r="281" spans="1:18">
      <c r="A281" t="str">
        <f t="shared" si="16"/>
        <v>EOS0280</v>
      </c>
      <c r="B281" s="35">
        <v>45848</v>
      </c>
      <c r="C281" s="1" t="s">
        <v>267</v>
      </c>
      <c r="D281" s="1" t="str">
        <f t="shared" si="17"/>
        <v>FB</v>
      </c>
      <c r="E281" s="1" t="s">
        <v>697</v>
      </c>
      <c r="F281" s="1" t="s">
        <v>698</v>
      </c>
      <c r="G281" s="1" t="s">
        <v>239</v>
      </c>
      <c r="H281" s="1" t="s">
        <v>149</v>
      </c>
      <c r="I281" s="1">
        <v>177000</v>
      </c>
      <c r="J281" s="45">
        <v>107279</v>
      </c>
      <c r="K281" s="1" t="str">
        <f>TRIM(Cleaned_CRM_Data!H281)</f>
        <v>Rejected</v>
      </c>
      <c r="L281" t="str">
        <f>IFERROR(VLOOKUP(K281, Status_Mapping!A:B, 2,), "Not Found")</f>
        <v>Rejected</v>
      </c>
      <c r="N281" s="29" t="str">
        <f>IF(M281="","",M281-B281)</f>
        <v/>
      </c>
      <c r="O281" s="1" t="str">
        <f t="shared" si="18"/>
        <v>Growth</v>
      </c>
      <c r="P281" t="str">
        <f>TEXT(B281, "mmmm")</f>
        <v>July</v>
      </c>
      <c r="Q281" t="str">
        <f t="shared" si="19"/>
        <v>Q3</v>
      </c>
      <c r="R281" t="str">
        <f>IFERROR(VLOOKUP(TRIM(CLEAN(G281)),Sheet14!$A$2:$B$19,2,FALSE),"Not Mapped")</f>
        <v>East</v>
      </c>
    </row>
    <row r="282" spans="1:18">
      <c r="A282" t="str">
        <f t="shared" si="16"/>
        <v>EOS0281</v>
      </c>
      <c r="B282" s="35">
        <v>45848</v>
      </c>
      <c r="C282" s="1" t="s">
        <v>267</v>
      </c>
      <c r="D282" s="1" t="str">
        <f t="shared" si="17"/>
        <v>FB</v>
      </c>
      <c r="E282" s="1" t="s">
        <v>699</v>
      </c>
      <c r="F282" s="1" t="s">
        <v>700</v>
      </c>
      <c r="G282" s="1" t="s">
        <v>440</v>
      </c>
      <c r="H282" s="1" t="s">
        <v>149</v>
      </c>
      <c r="I282" s="1">
        <v>108000</v>
      </c>
      <c r="J282" s="45">
        <v>107280</v>
      </c>
      <c r="K282" s="1" t="str">
        <f>TRIM(Cleaned_CRM_Data!H282)</f>
        <v>Rejected</v>
      </c>
      <c r="L282" t="str">
        <f>IFERROR(VLOOKUP(K282, Status_Mapping!A:B, 2,), "Not Found")</f>
        <v>Rejected</v>
      </c>
      <c r="N282" s="29" t="str">
        <f>IF(M282="","",M282-B282)</f>
        <v/>
      </c>
      <c r="O282" s="1" t="str">
        <f t="shared" si="18"/>
        <v>Starter</v>
      </c>
      <c r="P282" t="str">
        <f>TEXT(B282, "mmmm")</f>
        <v>July</v>
      </c>
      <c r="Q282" t="str">
        <f t="shared" si="19"/>
        <v>Q3</v>
      </c>
      <c r="R282" t="str">
        <f>IFERROR(VLOOKUP(TRIM(CLEAN(G282)),Sheet14!$A$2:$B$19,2,FALSE),"Not Mapped")</f>
        <v>North</v>
      </c>
    </row>
    <row r="283" spans="1:18">
      <c r="A283" t="str">
        <f t="shared" si="16"/>
        <v>EOS0282</v>
      </c>
      <c r="B283" s="35">
        <v>45848</v>
      </c>
      <c r="C283" s="1" t="s">
        <v>267</v>
      </c>
      <c r="D283" s="1" t="str">
        <f t="shared" si="17"/>
        <v>FB</v>
      </c>
      <c r="E283" s="1" t="s">
        <v>701</v>
      </c>
      <c r="F283" s="1" t="s">
        <v>702</v>
      </c>
      <c r="G283" s="1" t="s">
        <v>215</v>
      </c>
      <c r="H283" s="1" t="s">
        <v>149</v>
      </c>
      <c r="I283" s="1">
        <v>130000</v>
      </c>
      <c r="J283" s="45">
        <v>107281</v>
      </c>
      <c r="K283" s="1" t="str">
        <f>TRIM(Cleaned_CRM_Data!H283)</f>
        <v>Rejected</v>
      </c>
      <c r="L283" t="str">
        <f>IFERROR(VLOOKUP(K283, Status_Mapping!A:B, 2,), "Not Found")</f>
        <v>Rejected</v>
      </c>
      <c r="N283" s="29" t="str">
        <f>IF(M283="","",M283-B283)</f>
        <v/>
      </c>
      <c r="O283" s="1" t="str">
        <f t="shared" si="18"/>
        <v>Starter</v>
      </c>
      <c r="P283" t="str">
        <f>TEXT(B283, "mmmm")</f>
        <v>July</v>
      </c>
      <c r="Q283" t="str">
        <f t="shared" si="19"/>
        <v>Q3</v>
      </c>
      <c r="R283" t="str">
        <f>IFERROR(VLOOKUP(TRIM(CLEAN(G283)),Sheet14!$A$2:$B$19,2,FALSE),"Not Mapped")</f>
        <v>East</v>
      </c>
    </row>
    <row r="284" spans="1:18">
      <c r="A284" t="str">
        <f t="shared" si="16"/>
        <v>EOS0283</v>
      </c>
      <c r="B284" s="35">
        <v>45848</v>
      </c>
      <c r="C284" s="1" t="s">
        <v>267</v>
      </c>
      <c r="D284" s="1" t="str">
        <f t="shared" si="17"/>
        <v>FB</v>
      </c>
      <c r="E284" s="1" t="s">
        <v>703</v>
      </c>
      <c r="F284" s="1" t="s">
        <v>704</v>
      </c>
      <c r="G284" s="1" t="s">
        <v>686</v>
      </c>
      <c r="H284" s="1" t="s">
        <v>149</v>
      </c>
      <c r="I284" s="1">
        <v>108000</v>
      </c>
      <c r="J284" s="45">
        <v>107282</v>
      </c>
      <c r="K284" s="1" t="str">
        <f>TRIM(Cleaned_CRM_Data!H284)</f>
        <v>Rejected</v>
      </c>
      <c r="L284" t="str">
        <f>IFERROR(VLOOKUP(K284, Status_Mapping!A:B, 2,), "Not Found")</f>
        <v>Rejected</v>
      </c>
      <c r="N284" s="29" t="str">
        <f>IF(M284="","",M284-B284)</f>
        <v/>
      </c>
      <c r="O284" s="1" t="str">
        <f t="shared" si="18"/>
        <v>Starter</v>
      </c>
      <c r="P284" t="str">
        <f>TEXT(B284, "mmmm")</f>
        <v>July</v>
      </c>
      <c r="Q284" t="str">
        <f t="shared" si="19"/>
        <v>Q3</v>
      </c>
      <c r="R284" t="str">
        <f>IFERROR(VLOOKUP(TRIM(CLEAN(G284)),Sheet14!$A$2:$B$19,2,FALSE),"Not Mapped")</f>
        <v>North</v>
      </c>
    </row>
    <row r="285" spans="1:18">
      <c r="A285" t="str">
        <f t="shared" si="16"/>
        <v>EOS0284</v>
      </c>
      <c r="B285" s="35">
        <v>45848</v>
      </c>
      <c r="C285" s="1" t="s">
        <v>267</v>
      </c>
      <c r="D285" s="1" t="str">
        <f t="shared" si="17"/>
        <v>FB</v>
      </c>
      <c r="E285" s="1" t="s">
        <v>558</v>
      </c>
      <c r="F285" s="1" t="s">
        <v>705</v>
      </c>
      <c r="G285" s="1" t="s">
        <v>215</v>
      </c>
      <c r="H285" s="1" t="s">
        <v>149</v>
      </c>
      <c r="I285" s="1">
        <v>177000</v>
      </c>
      <c r="J285" s="45">
        <v>107283</v>
      </c>
      <c r="K285" s="1" t="str">
        <f>TRIM(Cleaned_CRM_Data!H285)</f>
        <v>Rejected</v>
      </c>
      <c r="L285" t="str">
        <f>IFERROR(VLOOKUP(K285, Status_Mapping!A:B, 2,), "Not Found")</f>
        <v>Rejected</v>
      </c>
      <c r="N285" s="29" t="str">
        <f>IF(M285="","",M285-B285)</f>
        <v/>
      </c>
      <c r="O285" s="1" t="str">
        <f t="shared" si="18"/>
        <v>Growth</v>
      </c>
      <c r="P285" t="str">
        <f>TEXT(B285, "mmmm")</f>
        <v>July</v>
      </c>
      <c r="Q285" t="str">
        <f t="shared" si="19"/>
        <v>Q3</v>
      </c>
      <c r="R285" t="str">
        <f>IFERROR(VLOOKUP(TRIM(CLEAN(G285)),Sheet14!$A$2:$B$19,2,FALSE),"Not Mapped")</f>
        <v>East</v>
      </c>
    </row>
    <row r="286" spans="1:18">
      <c r="A286" t="str">
        <f t="shared" si="16"/>
        <v>EOS0285</v>
      </c>
      <c r="B286" s="35">
        <v>45848</v>
      </c>
      <c r="C286" s="1" t="s">
        <v>267</v>
      </c>
      <c r="D286" s="1" t="str">
        <f t="shared" si="17"/>
        <v>FB</v>
      </c>
      <c r="E286" s="1" t="s">
        <v>706</v>
      </c>
      <c r="F286" s="1" t="s">
        <v>271</v>
      </c>
      <c r="G286" s="1" t="s">
        <v>223</v>
      </c>
      <c r="H286" s="1" t="s">
        <v>149</v>
      </c>
      <c r="I286" s="1">
        <v>130000</v>
      </c>
      <c r="J286" s="45">
        <v>107284</v>
      </c>
      <c r="K286" s="1" t="str">
        <f>TRIM(Cleaned_CRM_Data!H286)</f>
        <v>Rejected</v>
      </c>
      <c r="L286" t="str">
        <f>IFERROR(VLOOKUP(K286, Status_Mapping!A:B, 2,), "Not Found")</f>
        <v>Rejected</v>
      </c>
      <c r="N286" s="29" t="str">
        <f>IF(M286="","",M286-B286)</f>
        <v/>
      </c>
      <c r="O286" s="1" t="str">
        <f t="shared" si="18"/>
        <v>Starter</v>
      </c>
      <c r="P286" t="str">
        <f>TEXT(B286, "mmmm")</f>
        <v>July</v>
      </c>
      <c r="Q286" t="str">
        <f t="shared" si="19"/>
        <v>Q3</v>
      </c>
      <c r="R286" t="str">
        <f>IFERROR(VLOOKUP(TRIM(CLEAN(G286)),Sheet14!$A$2:$B$19,2,FALSE),"Not Mapped")</f>
        <v>West</v>
      </c>
    </row>
    <row r="287" spans="1:18">
      <c r="A287" t="str">
        <f t="shared" si="16"/>
        <v>EOS0286</v>
      </c>
      <c r="B287" s="35">
        <v>45848</v>
      </c>
      <c r="C287" s="1" t="s">
        <v>267</v>
      </c>
      <c r="D287" s="1" t="str">
        <f t="shared" si="17"/>
        <v>FB</v>
      </c>
      <c r="E287" s="1" t="s">
        <v>707</v>
      </c>
      <c r="F287" s="1" t="s">
        <v>336</v>
      </c>
      <c r="G287" s="1" t="s">
        <v>223</v>
      </c>
      <c r="H287" s="1" t="s">
        <v>149</v>
      </c>
      <c r="I287" s="1">
        <v>108000</v>
      </c>
      <c r="J287" s="45">
        <v>107285</v>
      </c>
      <c r="K287" s="1" t="str">
        <f>TRIM(Cleaned_CRM_Data!H287)</f>
        <v>Rejected</v>
      </c>
      <c r="L287" t="str">
        <f>IFERROR(VLOOKUP(K287, Status_Mapping!A:B, 2,), "Not Found")</f>
        <v>Rejected</v>
      </c>
      <c r="N287" s="29" t="str">
        <f>IF(M287="","",M287-B287)</f>
        <v/>
      </c>
      <c r="O287" s="1" t="str">
        <f t="shared" si="18"/>
        <v>Starter</v>
      </c>
      <c r="P287" t="str">
        <f>TEXT(B287, "mmmm")</f>
        <v>July</v>
      </c>
      <c r="Q287" t="str">
        <f t="shared" si="19"/>
        <v>Q3</v>
      </c>
      <c r="R287" t="str">
        <f>IFERROR(VLOOKUP(TRIM(CLEAN(G287)),Sheet14!$A$2:$B$19,2,FALSE),"Not Mapped")</f>
        <v>West</v>
      </c>
    </row>
    <row r="288" spans="1:18">
      <c r="A288" t="str">
        <f t="shared" si="16"/>
        <v>EOS0287</v>
      </c>
      <c r="B288" s="35">
        <v>45849</v>
      </c>
      <c r="C288" s="1" t="s">
        <v>267</v>
      </c>
      <c r="D288" s="1" t="str">
        <f t="shared" si="17"/>
        <v>FB</v>
      </c>
      <c r="E288" s="1" t="s">
        <v>708</v>
      </c>
      <c r="F288" s="1" t="s">
        <v>324</v>
      </c>
      <c r="G288" s="1" t="s">
        <v>223</v>
      </c>
      <c r="H288" s="1" t="s">
        <v>149</v>
      </c>
      <c r="I288" s="1">
        <v>108000</v>
      </c>
      <c r="J288" s="45">
        <v>107286</v>
      </c>
      <c r="K288" s="1" t="str">
        <f>TRIM(Cleaned_CRM_Data!H288)</f>
        <v>Rejected</v>
      </c>
      <c r="L288" t="str">
        <f>IFERROR(VLOOKUP(K288, Status_Mapping!A:B, 2,), "Not Found")</f>
        <v>Rejected</v>
      </c>
      <c r="N288" s="29" t="str">
        <f>IF(M288="","",M288-B288)</f>
        <v/>
      </c>
      <c r="O288" s="1" t="str">
        <f t="shared" si="18"/>
        <v>Starter</v>
      </c>
      <c r="P288" t="str">
        <f>TEXT(B288, "mmmm")</f>
        <v>July</v>
      </c>
      <c r="Q288" t="str">
        <f t="shared" si="19"/>
        <v>Q3</v>
      </c>
      <c r="R288" t="str">
        <f>IFERROR(VLOOKUP(TRIM(CLEAN(G288)),Sheet14!$A$2:$B$19,2,FALSE),"Not Mapped")</f>
        <v>West</v>
      </c>
    </row>
    <row r="289" spans="1:18">
      <c r="A289" t="str">
        <f t="shared" si="16"/>
        <v>EOS0288</v>
      </c>
      <c r="B289" s="35">
        <v>45849</v>
      </c>
      <c r="C289" s="1" t="s">
        <v>267</v>
      </c>
      <c r="D289" s="1" t="str">
        <f t="shared" si="17"/>
        <v>FB</v>
      </c>
      <c r="E289" s="1" t="s">
        <v>709</v>
      </c>
      <c r="F289" s="1" t="s">
        <v>412</v>
      </c>
      <c r="G289" s="1" t="s">
        <v>223</v>
      </c>
      <c r="H289" s="1" t="s">
        <v>149</v>
      </c>
      <c r="I289" s="1">
        <v>130000</v>
      </c>
      <c r="J289" s="45">
        <v>107287</v>
      </c>
      <c r="K289" s="1" t="str">
        <f>TRIM(Cleaned_CRM_Data!H289)</f>
        <v>Rejected</v>
      </c>
      <c r="L289" t="str">
        <f>IFERROR(VLOOKUP(K289, Status_Mapping!A:B, 2,), "Not Found")</f>
        <v>Rejected</v>
      </c>
      <c r="N289" s="29" t="str">
        <f>IF(M289="","",M289-B289)</f>
        <v/>
      </c>
      <c r="O289" s="1" t="str">
        <f t="shared" si="18"/>
        <v>Starter</v>
      </c>
      <c r="P289" t="str">
        <f>TEXT(B289, "mmmm")</f>
        <v>July</v>
      </c>
      <c r="Q289" t="str">
        <f t="shared" si="19"/>
        <v>Q3</v>
      </c>
      <c r="R289" t="str">
        <f>IFERROR(VLOOKUP(TRIM(CLEAN(G289)),Sheet14!$A$2:$B$19,2,FALSE),"Not Mapped")</f>
        <v>West</v>
      </c>
    </row>
    <row r="290" spans="1:18">
      <c r="A290" t="str">
        <f t="shared" si="16"/>
        <v>EOS0289</v>
      </c>
      <c r="B290" s="35">
        <v>45849</v>
      </c>
      <c r="C290" s="1" t="s">
        <v>267</v>
      </c>
      <c r="D290" s="1" t="str">
        <f t="shared" si="17"/>
        <v>FB</v>
      </c>
      <c r="E290" s="1" t="s">
        <v>710</v>
      </c>
      <c r="F290" s="1" t="s">
        <v>275</v>
      </c>
      <c r="G290" s="1" t="s">
        <v>223</v>
      </c>
      <c r="H290" s="1" t="s">
        <v>149</v>
      </c>
      <c r="I290" s="1">
        <v>108000</v>
      </c>
      <c r="J290" s="45">
        <v>107288</v>
      </c>
      <c r="K290" s="1" t="str">
        <f>TRIM(Cleaned_CRM_Data!H290)</f>
        <v>Rejected</v>
      </c>
      <c r="L290" t="str">
        <f>IFERROR(VLOOKUP(K290, Status_Mapping!A:B, 2,), "Not Found")</f>
        <v>Rejected</v>
      </c>
      <c r="N290" s="29" t="str">
        <f>IF(M290="","",M290-B290)</f>
        <v/>
      </c>
      <c r="O290" s="1" t="str">
        <f t="shared" si="18"/>
        <v>Starter</v>
      </c>
      <c r="P290" t="str">
        <f>TEXT(B290, "mmmm")</f>
        <v>July</v>
      </c>
      <c r="Q290" t="str">
        <f t="shared" si="19"/>
        <v>Q3</v>
      </c>
      <c r="R290" t="str">
        <f>IFERROR(VLOOKUP(TRIM(CLEAN(G290)),Sheet14!$A$2:$B$19,2,FALSE),"Not Mapped")</f>
        <v>West</v>
      </c>
    </row>
    <row r="291" spans="1:18">
      <c r="A291" t="str">
        <f t="shared" si="16"/>
        <v>EOS0290</v>
      </c>
      <c r="B291" s="35">
        <v>45849</v>
      </c>
      <c r="C291" s="1" t="s">
        <v>267</v>
      </c>
      <c r="D291" s="1" t="str">
        <f t="shared" si="17"/>
        <v>FB</v>
      </c>
      <c r="E291" s="1" t="s">
        <v>711</v>
      </c>
      <c r="F291" s="1" t="s">
        <v>712</v>
      </c>
      <c r="G291" s="1" t="s">
        <v>223</v>
      </c>
      <c r="H291" s="1" t="s">
        <v>149</v>
      </c>
      <c r="I291" s="1">
        <v>130000</v>
      </c>
      <c r="J291" s="45">
        <v>107289</v>
      </c>
      <c r="K291" s="1" t="str">
        <f>TRIM(Cleaned_CRM_Data!H291)</f>
        <v>Rejected</v>
      </c>
      <c r="L291" t="str">
        <f>IFERROR(VLOOKUP(K291, Status_Mapping!A:B, 2,), "Not Found")</f>
        <v>Rejected</v>
      </c>
      <c r="N291" s="29" t="str">
        <f>IF(M291="","",M291-B291)</f>
        <v/>
      </c>
      <c r="O291" s="1" t="str">
        <f t="shared" si="18"/>
        <v>Starter</v>
      </c>
      <c r="P291" t="str">
        <f>TEXT(B291, "mmmm")</f>
        <v>July</v>
      </c>
      <c r="Q291" t="str">
        <f t="shared" si="19"/>
        <v>Q3</v>
      </c>
      <c r="R291" t="str">
        <f>IFERROR(VLOOKUP(TRIM(CLEAN(G291)),Sheet14!$A$2:$B$19,2,FALSE),"Not Mapped")</f>
        <v>West</v>
      </c>
    </row>
    <row r="292" spans="1:18">
      <c r="A292" t="str">
        <f t="shared" si="16"/>
        <v>EOS0291</v>
      </c>
      <c r="B292" s="35">
        <v>45849</v>
      </c>
      <c r="C292" s="1" t="s">
        <v>267</v>
      </c>
      <c r="D292" s="1" t="str">
        <f t="shared" si="17"/>
        <v>FB</v>
      </c>
      <c r="E292" s="1" t="s">
        <v>713</v>
      </c>
      <c r="F292" s="1" t="s">
        <v>271</v>
      </c>
      <c r="G292" s="1" t="s">
        <v>223</v>
      </c>
      <c r="H292" s="1" t="s">
        <v>149</v>
      </c>
      <c r="I292" s="1">
        <v>108000</v>
      </c>
      <c r="J292" s="45">
        <v>107290</v>
      </c>
      <c r="K292" s="1" t="str">
        <f>TRIM(Cleaned_CRM_Data!H292)</f>
        <v>Rejected</v>
      </c>
      <c r="L292" t="str">
        <f>IFERROR(VLOOKUP(K292, Status_Mapping!A:B, 2,), "Not Found")</f>
        <v>Rejected</v>
      </c>
      <c r="N292" s="29" t="str">
        <f>IF(M292="","",M292-B292)</f>
        <v/>
      </c>
      <c r="O292" s="1" t="str">
        <f t="shared" si="18"/>
        <v>Starter</v>
      </c>
      <c r="P292" t="str">
        <f>TEXT(B292, "mmmm")</f>
        <v>July</v>
      </c>
      <c r="Q292" t="str">
        <f t="shared" si="19"/>
        <v>Q3</v>
      </c>
      <c r="R292" t="str">
        <f>IFERROR(VLOOKUP(TRIM(CLEAN(G292)),Sheet14!$A$2:$B$19,2,FALSE),"Not Mapped")</f>
        <v>West</v>
      </c>
    </row>
    <row r="293" spans="1:18">
      <c r="A293" t="str">
        <f t="shared" si="16"/>
        <v>EOS0292</v>
      </c>
      <c r="B293" s="35">
        <v>45849</v>
      </c>
      <c r="C293" s="1" t="s">
        <v>267</v>
      </c>
      <c r="D293" s="1" t="str">
        <f t="shared" si="17"/>
        <v>FB</v>
      </c>
      <c r="E293" s="1" t="s">
        <v>714</v>
      </c>
      <c r="F293" s="1" t="s">
        <v>412</v>
      </c>
      <c r="G293" s="1" t="s">
        <v>223</v>
      </c>
      <c r="H293" s="1" t="s">
        <v>149</v>
      </c>
      <c r="I293" s="1">
        <v>108000</v>
      </c>
      <c r="J293" s="45">
        <v>107291</v>
      </c>
      <c r="K293" s="1" t="str">
        <f>TRIM(Cleaned_CRM_Data!H293)</f>
        <v>Rejected</v>
      </c>
      <c r="L293" t="str">
        <f>IFERROR(VLOOKUP(K293, Status_Mapping!A:B, 2,), "Not Found")</f>
        <v>Rejected</v>
      </c>
      <c r="N293" s="29" t="str">
        <f>IF(M293="","",M293-B293)</f>
        <v/>
      </c>
      <c r="O293" s="1" t="str">
        <f t="shared" si="18"/>
        <v>Starter</v>
      </c>
      <c r="P293" t="str">
        <f>TEXT(B293, "mmmm")</f>
        <v>July</v>
      </c>
      <c r="Q293" t="str">
        <f t="shared" si="19"/>
        <v>Q3</v>
      </c>
      <c r="R293" t="str">
        <f>IFERROR(VLOOKUP(TRIM(CLEAN(G293)),Sheet14!$A$2:$B$19,2,FALSE),"Not Mapped")</f>
        <v>West</v>
      </c>
    </row>
    <row r="294" spans="1:18">
      <c r="A294" t="str">
        <f t="shared" si="16"/>
        <v>EOS0293</v>
      </c>
      <c r="B294" s="35">
        <v>45850</v>
      </c>
      <c r="C294" s="1" t="s">
        <v>267</v>
      </c>
      <c r="D294" s="1" t="str">
        <f t="shared" si="17"/>
        <v>FB</v>
      </c>
      <c r="E294" s="1" t="s">
        <v>715</v>
      </c>
      <c r="F294" s="1" t="s">
        <v>716</v>
      </c>
      <c r="G294" s="1" t="s">
        <v>223</v>
      </c>
      <c r="H294" s="1" t="s">
        <v>149</v>
      </c>
      <c r="I294" s="1">
        <v>108000</v>
      </c>
      <c r="J294" s="45">
        <v>107292</v>
      </c>
      <c r="K294" s="1" t="str">
        <f>TRIM(Cleaned_CRM_Data!H294)</f>
        <v>Rejected</v>
      </c>
      <c r="L294" t="str">
        <f>IFERROR(VLOOKUP(K294, Status_Mapping!A:B, 2,), "Not Found")</f>
        <v>Rejected</v>
      </c>
      <c r="N294" s="29" t="str">
        <f>IF(M294="","",M294-B294)</f>
        <v/>
      </c>
      <c r="O294" s="1" t="str">
        <f t="shared" si="18"/>
        <v>Starter</v>
      </c>
      <c r="P294" t="str">
        <f>TEXT(B294, "mmmm")</f>
        <v>July</v>
      </c>
      <c r="Q294" t="str">
        <f t="shared" si="19"/>
        <v>Q3</v>
      </c>
      <c r="R294" t="str">
        <f>IFERROR(VLOOKUP(TRIM(CLEAN(G294)),Sheet14!$A$2:$B$19,2,FALSE),"Not Mapped")</f>
        <v>West</v>
      </c>
    </row>
    <row r="295" spans="1:18">
      <c r="A295" t="str">
        <f t="shared" si="16"/>
        <v>EOS0294</v>
      </c>
      <c r="B295" s="35">
        <v>45850</v>
      </c>
      <c r="C295" s="1" t="s">
        <v>267</v>
      </c>
      <c r="D295" s="1" t="str">
        <f t="shared" si="17"/>
        <v>FB</v>
      </c>
      <c r="E295" s="1" t="s">
        <v>717</v>
      </c>
      <c r="F295" s="1" t="s">
        <v>350</v>
      </c>
      <c r="G295" s="1" t="s">
        <v>223</v>
      </c>
      <c r="H295" s="1" t="s">
        <v>149</v>
      </c>
      <c r="I295" s="1">
        <v>130000</v>
      </c>
      <c r="J295" s="45">
        <v>107293</v>
      </c>
      <c r="K295" s="1" t="str">
        <f>TRIM(Cleaned_CRM_Data!H295)</f>
        <v>Rejected</v>
      </c>
      <c r="L295" t="str">
        <f>IFERROR(VLOOKUP(K295, Status_Mapping!A:B, 2,), "Not Found")</f>
        <v>Rejected</v>
      </c>
      <c r="N295" s="29" t="str">
        <f>IF(M295="","",M295-B295)</f>
        <v/>
      </c>
      <c r="O295" s="1" t="str">
        <f t="shared" si="18"/>
        <v>Starter</v>
      </c>
      <c r="P295" t="str">
        <f>TEXT(B295, "mmmm")</f>
        <v>July</v>
      </c>
      <c r="Q295" t="str">
        <f t="shared" si="19"/>
        <v>Q3</v>
      </c>
      <c r="R295" t="str">
        <f>IFERROR(VLOOKUP(TRIM(CLEAN(G295)),Sheet14!$A$2:$B$19,2,FALSE),"Not Mapped")</f>
        <v>West</v>
      </c>
    </row>
    <row r="296" spans="1:18">
      <c r="A296" t="str">
        <f t="shared" si="16"/>
        <v>EOS0295</v>
      </c>
      <c r="B296" s="35">
        <v>45850</v>
      </c>
      <c r="C296" s="1" t="s">
        <v>267</v>
      </c>
      <c r="D296" s="1" t="str">
        <f t="shared" si="17"/>
        <v>FB</v>
      </c>
      <c r="E296" s="1" t="s">
        <v>718</v>
      </c>
      <c r="F296" s="1" t="s">
        <v>275</v>
      </c>
      <c r="G296" s="1" t="s">
        <v>223</v>
      </c>
      <c r="H296" s="1" t="s">
        <v>149</v>
      </c>
      <c r="I296" s="1">
        <v>130000</v>
      </c>
      <c r="J296" s="45">
        <v>107294</v>
      </c>
      <c r="K296" s="1" t="str">
        <f>TRIM(Cleaned_CRM_Data!H296)</f>
        <v>Rejected</v>
      </c>
      <c r="L296" t="str">
        <f>IFERROR(VLOOKUP(K296, Status_Mapping!A:B, 2,), "Not Found")</f>
        <v>Rejected</v>
      </c>
      <c r="N296" s="29" t="str">
        <f>IF(M296="","",M296-B296)</f>
        <v/>
      </c>
      <c r="O296" s="1" t="str">
        <f t="shared" si="18"/>
        <v>Starter</v>
      </c>
      <c r="P296" t="str">
        <f>TEXT(B296, "mmmm")</f>
        <v>July</v>
      </c>
      <c r="Q296" t="str">
        <f t="shared" si="19"/>
        <v>Q3</v>
      </c>
      <c r="R296" t="str">
        <f>IFERROR(VLOOKUP(TRIM(CLEAN(G296)),Sheet14!$A$2:$B$19,2,FALSE),"Not Mapped")</f>
        <v>West</v>
      </c>
    </row>
    <row r="297" spans="1:18">
      <c r="A297" t="str">
        <f t="shared" si="16"/>
        <v>EOS0296</v>
      </c>
      <c r="B297" s="35">
        <v>45850</v>
      </c>
      <c r="C297" s="1" t="s">
        <v>267</v>
      </c>
      <c r="D297" s="1" t="str">
        <f t="shared" si="17"/>
        <v>FB</v>
      </c>
      <c r="E297" s="1" t="s">
        <v>719</v>
      </c>
      <c r="F297" s="1" t="s">
        <v>720</v>
      </c>
      <c r="G297" s="1" t="s">
        <v>223</v>
      </c>
      <c r="H297" s="1" t="s">
        <v>149</v>
      </c>
      <c r="I297" s="1">
        <v>108000</v>
      </c>
      <c r="J297" s="45">
        <v>107295</v>
      </c>
      <c r="K297" s="1" t="str">
        <f>TRIM(Cleaned_CRM_Data!H297)</f>
        <v>Rejected</v>
      </c>
      <c r="L297" t="str">
        <f>IFERROR(VLOOKUP(K297, Status_Mapping!A:B, 2,), "Not Found")</f>
        <v>Rejected</v>
      </c>
      <c r="N297" s="29" t="str">
        <f>IF(M297="","",M297-B297)</f>
        <v/>
      </c>
      <c r="O297" s="1" t="str">
        <f t="shared" si="18"/>
        <v>Starter</v>
      </c>
      <c r="P297" t="str">
        <f>TEXT(B297, "mmmm")</f>
        <v>July</v>
      </c>
      <c r="Q297" t="str">
        <f t="shared" si="19"/>
        <v>Q3</v>
      </c>
      <c r="R297" t="str">
        <f>IFERROR(VLOOKUP(TRIM(CLEAN(G297)),Sheet14!$A$2:$B$19,2,FALSE),"Not Mapped")</f>
        <v>West</v>
      </c>
    </row>
    <row r="298" spans="1:18">
      <c r="A298" t="str">
        <f t="shared" si="16"/>
        <v>EOS0297</v>
      </c>
      <c r="B298" s="35">
        <v>45850</v>
      </c>
      <c r="C298" s="1" t="s">
        <v>267</v>
      </c>
      <c r="D298" s="1" t="str">
        <f t="shared" si="17"/>
        <v>FB</v>
      </c>
      <c r="E298" s="1" t="s">
        <v>721</v>
      </c>
      <c r="F298" s="1" t="s">
        <v>722</v>
      </c>
      <c r="G298" s="1" t="s">
        <v>223</v>
      </c>
      <c r="H298" s="1" t="s">
        <v>149</v>
      </c>
      <c r="I298" s="1">
        <v>130000</v>
      </c>
      <c r="J298" s="45">
        <v>107296</v>
      </c>
      <c r="K298" s="1" t="str">
        <f>TRIM(Cleaned_CRM_Data!H298)</f>
        <v>Rejected</v>
      </c>
      <c r="L298" t="str">
        <f>IFERROR(VLOOKUP(K298, Status_Mapping!A:B, 2,), "Not Found")</f>
        <v>Rejected</v>
      </c>
      <c r="N298" s="29" t="str">
        <f>IF(M298="","",M298-B298)</f>
        <v/>
      </c>
      <c r="O298" s="1" t="str">
        <f t="shared" si="18"/>
        <v>Starter</v>
      </c>
      <c r="P298" t="str">
        <f>TEXT(B298, "mmmm")</f>
        <v>July</v>
      </c>
      <c r="Q298" t="str">
        <f t="shared" si="19"/>
        <v>Q3</v>
      </c>
      <c r="R298" t="str">
        <f>IFERROR(VLOOKUP(TRIM(CLEAN(G298)),Sheet14!$A$2:$B$19,2,FALSE),"Not Mapped")</f>
        <v>West</v>
      </c>
    </row>
    <row r="299" spans="1:18">
      <c r="A299" t="str">
        <f t="shared" si="16"/>
        <v>EOS0298</v>
      </c>
      <c r="B299" s="35">
        <v>45850</v>
      </c>
      <c r="C299" s="1" t="s">
        <v>267</v>
      </c>
      <c r="D299" s="1" t="str">
        <f t="shared" si="17"/>
        <v>FB</v>
      </c>
      <c r="E299" s="1" t="s">
        <v>723</v>
      </c>
      <c r="F299" s="1" t="s">
        <v>412</v>
      </c>
      <c r="G299" s="1" t="s">
        <v>223</v>
      </c>
      <c r="H299" s="1" t="s">
        <v>149</v>
      </c>
      <c r="I299" s="1">
        <v>177000</v>
      </c>
      <c r="J299" s="45">
        <v>107297</v>
      </c>
      <c r="K299" s="1" t="str">
        <f>TRIM(Cleaned_CRM_Data!H299)</f>
        <v>Rejected</v>
      </c>
      <c r="L299" t="str">
        <f>IFERROR(VLOOKUP(K299, Status_Mapping!A:B, 2,), "Not Found")</f>
        <v>Rejected</v>
      </c>
      <c r="N299" s="29" t="str">
        <f>IF(M299="","",M299-B299)</f>
        <v/>
      </c>
      <c r="O299" s="1" t="str">
        <f t="shared" si="18"/>
        <v>Growth</v>
      </c>
      <c r="P299" t="str">
        <f>TEXT(B299, "mmmm")</f>
        <v>July</v>
      </c>
      <c r="Q299" t="str">
        <f t="shared" si="19"/>
        <v>Q3</v>
      </c>
      <c r="R299" t="str">
        <f>IFERROR(VLOOKUP(TRIM(CLEAN(G299)),Sheet14!$A$2:$B$19,2,FALSE),"Not Mapped")</f>
        <v>West</v>
      </c>
    </row>
    <row r="300" spans="1:18">
      <c r="A300" t="str">
        <f t="shared" si="16"/>
        <v>EOS0299</v>
      </c>
      <c r="B300" s="35">
        <v>45850</v>
      </c>
      <c r="C300" s="1" t="s">
        <v>267</v>
      </c>
      <c r="D300" s="1" t="str">
        <f t="shared" si="17"/>
        <v>FB</v>
      </c>
      <c r="E300" s="1" t="s">
        <v>724</v>
      </c>
      <c r="F300" s="1" t="s">
        <v>725</v>
      </c>
      <c r="G300" s="1" t="s">
        <v>228</v>
      </c>
      <c r="H300" s="1" t="s">
        <v>149</v>
      </c>
      <c r="I300" s="1">
        <v>177000</v>
      </c>
      <c r="J300" s="45">
        <v>107298</v>
      </c>
      <c r="K300" s="1" t="str">
        <f>TRIM(Cleaned_CRM_Data!H300)</f>
        <v>Rejected</v>
      </c>
      <c r="L300" t="str">
        <f>IFERROR(VLOOKUP(K300, Status_Mapping!A:B, 2,), "Not Found")</f>
        <v>Rejected</v>
      </c>
      <c r="N300" s="29" t="str">
        <f>IF(M300="","",M300-B300)</f>
        <v/>
      </c>
      <c r="O300" s="1" t="str">
        <f t="shared" si="18"/>
        <v>Growth</v>
      </c>
      <c r="P300" t="str">
        <f>TEXT(B300, "mmmm")</f>
        <v>July</v>
      </c>
      <c r="Q300" t="str">
        <f t="shared" si="19"/>
        <v>Q3</v>
      </c>
      <c r="R300" t="str">
        <f>IFERROR(VLOOKUP(TRIM(CLEAN(G300)),Sheet14!$A$2:$B$19,2,FALSE),"Not Mapped")</f>
        <v>Central</v>
      </c>
    </row>
    <row r="301" spans="1:18">
      <c r="A301" t="str">
        <f t="shared" si="16"/>
        <v>EOS0300</v>
      </c>
      <c r="B301" s="35">
        <v>45850</v>
      </c>
      <c r="C301" s="1" t="s">
        <v>267</v>
      </c>
      <c r="D301" s="1" t="str">
        <f t="shared" si="17"/>
        <v>FB</v>
      </c>
      <c r="E301" s="1" t="s">
        <v>726</v>
      </c>
      <c r="F301" s="1" t="s">
        <v>727</v>
      </c>
      <c r="G301" s="1" t="s">
        <v>236</v>
      </c>
      <c r="H301" s="1" t="s">
        <v>149</v>
      </c>
      <c r="I301" s="1">
        <v>108000</v>
      </c>
      <c r="J301" s="45">
        <v>107299</v>
      </c>
      <c r="K301" s="1" t="str">
        <f>TRIM(Cleaned_CRM_Data!H301)</f>
        <v>Rejected</v>
      </c>
      <c r="L301" t="str">
        <f>IFERROR(VLOOKUP(K301, Status_Mapping!A:B, 2,), "Not Found")</f>
        <v>Rejected</v>
      </c>
      <c r="N301" s="29" t="str">
        <f>IF(M301="","",M301-B301)</f>
        <v/>
      </c>
      <c r="O301" s="1" t="str">
        <f t="shared" si="18"/>
        <v>Starter</v>
      </c>
      <c r="P301" t="str">
        <f>TEXT(B301, "mmmm")</f>
        <v>July</v>
      </c>
      <c r="Q301" t="str">
        <f t="shared" si="19"/>
        <v>Q3</v>
      </c>
      <c r="R301" t="str">
        <f>IFERROR(VLOOKUP(TRIM(CLEAN(G301)),Sheet14!$A$2:$B$19,2,FALSE),"Not Mapped")</f>
        <v>North</v>
      </c>
    </row>
    <row r="302" spans="1:18">
      <c r="A302" t="str">
        <f t="shared" si="16"/>
        <v>EOS0301</v>
      </c>
      <c r="B302" s="35" t="s">
        <v>728</v>
      </c>
      <c r="C302" s="1" t="s">
        <v>267</v>
      </c>
      <c r="D302" s="1" t="str">
        <f t="shared" si="17"/>
        <v>FB</v>
      </c>
      <c r="E302" s="1" t="s">
        <v>729</v>
      </c>
      <c r="F302" s="1" t="s">
        <v>730</v>
      </c>
      <c r="G302" s="1" t="s">
        <v>215</v>
      </c>
      <c r="H302" s="1" t="s">
        <v>149</v>
      </c>
      <c r="I302" s="1">
        <v>130000</v>
      </c>
      <c r="J302" s="45">
        <v>107300</v>
      </c>
      <c r="K302" s="1" t="str">
        <f>TRIM(Cleaned_CRM_Data!H302)</f>
        <v>Rejected</v>
      </c>
      <c r="L302" t="str">
        <f>IFERROR(VLOOKUP(K302, Status_Mapping!A:B, 2,), "Not Found")</f>
        <v>Rejected</v>
      </c>
      <c r="N302" s="29" t="str">
        <f>IF(M302="","",M302-B302)</f>
        <v/>
      </c>
      <c r="O302" s="1" t="str">
        <f t="shared" si="18"/>
        <v>Starter</v>
      </c>
      <c r="P302" t="str">
        <f>TEXT(B302, "mmmm")</f>
        <v>July</v>
      </c>
      <c r="Q302" t="str">
        <f t="shared" si="19"/>
        <v>Q3</v>
      </c>
      <c r="R302" t="str">
        <f>IFERROR(VLOOKUP(TRIM(CLEAN(G302)),Sheet14!$A$2:$B$19,2,FALSE),"Not Mapped")</f>
        <v>East</v>
      </c>
    </row>
    <row r="303" spans="1:18">
      <c r="A303" t="str">
        <f t="shared" si="16"/>
        <v>EOS0302</v>
      </c>
      <c r="B303" s="35" t="s">
        <v>728</v>
      </c>
      <c r="C303" s="1" t="s">
        <v>267</v>
      </c>
      <c r="D303" s="1" t="str">
        <f t="shared" si="17"/>
        <v>FB</v>
      </c>
      <c r="E303" s="1" t="s">
        <v>731</v>
      </c>
      <c r="F303" s="1" t="s">
        <v>732</v>
      </c>
      <c r="G303" s="1" t="s">
        <v>215</v>
      </c>
      <c r="H303" s="1" t="s">
        <v>149</v>
      </c>
      <c r="I303" s="1">
        <v>108000</v>
      </c>
      <c r="J303" s="45">
        <v>107301</v>
      </c>
      <c r="K303" s="1" t="str">
        <f>TRIM(Cleaned_CRM_Data!H303)</f>
        <v>Rejected</v>
      </c>
      <c r="L303" t="str">
        <f>IFERROR(VLOOKUP(K303, Status_Mapping!A:B, 2,), "Not Found")</f>
        <v>Rejected</v>
      </c>
      <c r="N303" s="29" t="str">
        <f>IF(M303="","",M303-B303)</f>
        <v/>
      </c>
      <c r="O303" s="1" t="str">
        <f t="shared" si="18"/>
        <v>Starter</v>
      </c>
      <c r="P303" t="str">
        <f>TEXT(B303, "mmmm")</f>
        <v>July</v>
      </c>
      <c r="Q303" t="str">
        <f t="shared" si="19"/>
        <v>Q3</v>
      </c>
      <c r="R303" t="str">
        <f>IFERROR(VLOOKUP(TRIM(CLEAN(G303)),Sheet14!$A$2:$B$19,2,FALSE),"Not Mapped")</f>
        <v>East</v>
      </c>
    </row>
    <row r="304" spans="1:18">
      <c r="A304" t="str">
        <f t="shared" si="16"/>
        <v>EOS0303</v>
      </c>
      <c r="B304" s="35" t="s">
        <v>728</v>
      </c>
      <c r="C304" s="1" t="s">
        <v>267</v>
      </c>
      <c r="D304" s="1" t="str">
        <f t="shared" si="17"/>
        <v>FB</v>
      </c>
      <c r="E304" s="1" t="s">
        <v>733</v>
      </c>
      <c r="F304" s="1" t="s">
        <v>483</v>
      </c>
      <c r="G304" s="1" t="s">
        <v>215</v>
      </c>
      <c r="H304" s="1" t="s">
        <v>149</v>
      </c>
      <c r="I304" s="1">
        <v>130000</v>
      </c>
      <c r="J304" s="45">
        <v>107302</v>
      </c>
      <c r="K304" s="1" t="str">
        <f>TRIM(Cleaned_CRM_Data!H304)</f>
        <v>Rejected</v>
      </c>
      <c r="L304" t="str">
        <f>IFERROR(VLOOKUP(K304, Status_Mapping!A:B, 2,), "Not Found")</f>
        <v>Rejected</v>
      </c>
      <c r="N304" s="29" t="str">
        <f>IF(M304="","",M304-B304)</f>
        <v/>
      </c>
      <c r="O304" s="1" t="str">
        <f t="shared" si="18"/>
        <v>Starter</v>
      </c>
      <c r="P304" t="str">
        <f>TEXT(B304, "mmmm")</f>
        <v>July</v>
      </c>
      <c r="Q304" t="str">
        <f t="shared" si="19"/>
        <v>Q3</v>
      </c>
      <c r="R304" t="str">
        <f>IFERROR(VLOOKUP(TRIM(CLEAN(G304)),Sheet14!$A$2:$B$19,2,FALSE),"Not Mapped")</f>
        <v>East</v>
      </c>
    </row>
    <row r="305" spans="1:18">
      <c r="A305" t="str">
        <f t="shared" si="16"/>
        <v>EOS0304</v>
      </c>
      <c r="B305" s="35" t="s">
        <v>728</v>
      </c>
      <c r="C305" s="1" t="s">
        <v>267</v>
      </c>
      <c r="D305" s="1" t="str">
        <f t="shared" si="17"/>
        <v>FB</v>
      </c>
      <c r="E305" s="1" t="s">
        <v>734</v>
      </c>
      <c r="F305" s="1" t="s">
        <v>735</v>
      </c>
      <c r="G305" s="1" t="s">
        <v>223</v>
      </c>
      <c r="H305" s="1" t="s">
        <v>149</v>
      </c>
      <c r="I305" s="1">
        <v>108000</v>
      </c>
      <c r="J305" s="45">
        <v>107303</v>
      </c>
      <c r="K305" s="1" t="str">
        <f>TRIM(Cleaned_CRM_Data!H305)</f>
        <v>Rejected</v>
      </c>
      <c r="L305" t="str">
        <f>IFERROR(VLOOKUP(K305, Status_Mapping!A:B, 2,), "Not Found")</f>
        <v>Rejected</v>
      </c>
      <c r="N305" s="29" t="str">
        <f>IF(M305="","",M305-B305)</f>
        <v/>
      </c>
      <c r="O305" s="1" t="str">
        <f t="shared" si="18"/>
        <v>Starter</v>
      </c>
      <c r="P305" t="str">
        <f>TEXT(B305, "mmmm")</f>
        <v>July</v>
      </c>
      <c r="Q305" t="str">
        <f t="shared" si="19"/>
        <v>Q3</v>
      </c>
      <c r="R305" t="str">
        <f>IFERROR(VLOOKUP(TRIM(CLEAN(G305)),Sheet14!$A$2:$B$19,2,FALSE),"Not Mapped")</f>
        <v>West</v>
      </c>
    </row>
    <row r="306" spans="1:18">
      <c r="A306" t="str">
        <f t="shared" si="16"/>
        <v>EOS0305</v>
      </c>
      <c r="B306" s="35" t="s">
        <v>728</v>
      </c>
      <c r="C306" s="1" t="s">
        <v>267</v>
      </c>
      <c r="D306" s="1" t="str">
        <f t="shared" si="17"/>
        <v>FB</v>
      </c>
      <c r="E306" s="1" t="s">
        <v>736</v>
      </c>
      <c r="F306" s="1" t="s">
        <v>271</v>
      </c>
      <c r="G306" s="1" t="s">
        <v>223</v>
      </c>
      <c r="H306" s="1" t="s">
        <v>149</v>
      </c>
      <c r="I306" s="1">
        <v>108000</v>
      </c>
      <c r="J306" s="45">
        <v>107304</v>
      </c>
      <c r="K306" s="1" t="str">
        <f>TRIM(Cleaned_CRM_Data!H306)</f>
        <v>Rejected</v>
      </c>
      <c r="L306" t="str">
        <f>IFERROR(VLOOKUP(K306, Status_Mapping!A:B, 2,), "Not Found")</f>
        <v>Rejected</v>
      </c>
      <c r="N306" s="29" t="str">
        <f>IF(M306="","",M306-B306)</f>
        <v/>
      </c>
      <c r="O306" s="1" t="str">
        <f t="shared" si="18"/>
        <v>Starter</v>
      </c>
      <c r="P306" t="str">
        <f>TEXT(B306, "mmmm")</f>
        <v>July</v>
      </c>
      <c r="Q306" t="str">
        <f t="shared" si="19"/>
        <v>Q3</v>
      </c>
      <c r="R306" t="str">
        <f>IFERROR(VLOOKUP(TRIM(CLEAN(G306)),Sheet14!$A$2:$B$19,2,FALSE),"Not Mapped")</f>
        <v>West</v>
      </c>
    </row>
    <row r="307" spans="1:18">
      <c r="A307" t="str">
        <f t="shared" si="16"/>
        <v>EOS0306</v>
      </c>
      <c r="B307" s="35" t="s">
        <v>728</v>
      </c>
      <c r="C307" s="1" t="s">
        <v>267</v>
      </c>
      <c r="D307" s="1" t="str">
        <f t="shared" si="17"/>
        <v>FB</v>
      </c>
      <c r="E307" s="1" t="s">
        <v>474</v>
      </c>
      <c r="F307" s="1" t="s">
        <v>304</v>
      </c>
      <c r="G307" s="1" t="s">
        <v>223</v>
      </c>
      <c r="H307" s="1" t="s">
        <v>149</v>
      </c>
      <c r="I307" s="1">
        <v>108000</v>
      </c>
      <c r="J307" s="45">
        <v>107305</v>
      </c>
      <c r="K307" s="1" t="str">
        <f>TRIM(Cleaned_CRM_Data!H307)</f>
        <v>Rejected</v>
      </c>
      <c r="L307" t="str">
        <f>IFERROR(VLOOKUP(K307, Status_Mapping!A:B, 2,), "Not Found")</f>
        <v>Rejected</v>
      </c>
      <c r="N307" s="29" t="str">
        <f>IF(M307="","",M307-B307)</f>
        <v/>
      </c>
      <c r="O307" s="1" t="str">
        <f t="shared" si="18"/>
        <v>Starter</v>
      </c>
      <c r="P307" t="str">
        <f>TEXT(B307, "mmmm")</f>
        <v>July</v>
      </c>
      <c r="Q307" t="str">
        <f t="shared" si="19"/>
        <v>Q3</v>
      </c>
      <c r="R307" t="str">
        <f>IFERROR(VLOOKUP(TRIM(CLEAN(G307)),Sheet14!$A$2:$B$19,2,FALSE),"Not Mapped")</f>
        <v>West</v>
      </c>
    </row>
    <row r="308" spans="1:18">
      <c r="A308" t="str">
        <f t="shared" si="16"/>
        <v>EOS0307</v>
      </c>
      <c r="B308" s="35" t="s">
        <v>728</v>
      </c>
      <c r="C308" s="1" t="s">
        <v>267</v>
      </c>
      <c r="D308" s="1" t="str">
        <f t="shared" si="17"/>
        <v>FB</v>
      </c>
      <c r="E308" s="1" t="s">
        <v>737</v>
      </c>
      <c r="F308" s="1" t="s">
        <v>404</v>
      </c>
      <c r="G308" s="1" t="s">
        <v>223</v>
      </c>
      <c r="H308" s="1" t="s">
        <v>149</v>
      </c>
      <c r="I308" s="1">
        <v>108000</v>
      </c>
      <c r="J308" s="45">
        <v>107306</v>
      </c>
      <c r="K308" s="1" t="str">
        <f>TRIM(Cleaned_CRM_Data!H308)</f>
        <v>Rejected</v>
      </c>
      <c r="L308" t="str">
        <f>IFERROR(VLOOKUP(K308, Status_Mapping!A:B, 2,), "Not Found")</f>
        <v>Rejected</v>
      </c>
      <c r="N308" s="29" t="str">
        <f>IF(M308="","",M308-B308)</f>
        <v/>
      </c>
      <c r="O308" s="1" t="str">
        <f t="shared" si="18"/>
        <v>Starter</v>
      </c>
      <c r="P308" t="str">
        <f>TEXT(B308, "mmmm")</f>
        <v>July</v>
      </c>
      <c r="Q308" t="str">
        <f t="shared" si="19"/>
        <v>Q3</v>
      </c>
      <c r="R308" t="str">
        <f>IFERROR(VLOOKUP(TRIM(CLEAN(G308)),Sheet14!$A$2:$B$19,2,FALSE),"Not Mapped")</f>
        <v>West</v>
      </c>
    </row>
    <row r="309" spans="1:18">
      <c r="A309" t="str">
        <f t="shared" si="16"/>
        <v>EOS0308</v>
      </c>
      <c r="B309" s="35" t="s">
        <v>728</v>
      </c>
      <c r="C309" s="1" t="s">
        <v>267</v>
      </c>
      <c r="D309" s="1" t="str">
        <f t="shared" si="17"/>
        <v>FB</v>
      </c>
      <c r="E309" s="1" t="s">
        <v>738</v>
      </c>
      <c r="F309" s="1" t="s">
        <v>275</v>
      </c>
      <c r="G309" s="1" t="s">
        <v>223</v>
      </c>
      <c r="H309" s="1" t="s">
        <v>149</v>
      </c>
      <c r="I309" s="1">
        <v>130000</v>
      </c>
      <c r="J309" s="45">
        <v>107307</v>
      </c>
      <c r="K309" s="1" t="str">
        <f>TRIM(Cleaned_CRM_Data!H309)</f>
        <v>Rejected</v>
      </c>
      <c r="L309" t="str">
        <f>IFERROR(VLOOKUP(K309, Status_Mapping!A:B, 2,), "Not Found")</f>
        <v>Rejected</v>
      </c>
      <c r="N309" s="29" t="str">
        <f>IF(M309="","",M309-B309)</f>
        <v/>
      </c>
      <c r="O309" s="1" t="str">
        <f t="shared" si="18"/>
        <v>Starter</v>
      </c>
      <c r="P309" t="str">
        <f>TEXT(B309, "mmmm")</f>
        <v>July</v>
      </c>
      <c r="Q309" t="str">
        <f t="shared" si="19"/>
        <v>Q3</v>
      </c>
      <c r="R309" t="str">
        <f>IFERROR(VLOOKUP(TRIM(CLEAN(G309)),Sheet14!$A$2:$B$19,2,FALSE),"Not Mapped")</f>
        <v>West</v>
      </c>
    </row>
    <row r="310" spans="1:18">
      <c r="A310" t="str">
        <f t="shared" si="16"/>
        <v>EOS0309</v>
      </c>
      <c r="B310" s="35" t="s">
        <v>728</v>
      </c>
      <c r="C310" s="1" t="s">
        <v>267</v>
      </c>
      <c r="D310" s="1" t="str">
        <f t="shared" si="17"/>
        <v>FB</v>
      </c>
      <c r="E310" s="1" t="s">
        <v>739</v>
      </c>
      <c r="F310" s="1" t="s">
        <v>324</v>
      </c>
      <c r="G310" s="1" t="s">
        <v>223</v>
      </c>
      <c r="H310" s="1" t="s">
        <v>149</v>
      </c>
      <c r="I310" s="1">
        <v>108000</v>
      </c>
      <c r="J310" s="45">
        <v>107308</v>
      </c>
      <c r="K310" s="1" t="str">
        <f>TRIM(Cleaned_CRM_Data!H310)</f>
        <v>Rejected</v>
      </c>
      <c r="L310" t="str">
        <f>IFERROR(VLOOKUP(K310, Status_Mapping!A:B, 2,), "Not Found")</f>
        <v>Rejected</v>
      </c>
      <c r="N310" s="29" t="str">
        <f>IF(M310="","",M310-B310)</f>
        <v/>
      </c>
      <c r="O310" s="1" t="str">
        <f t="shared" si="18"/>
        <v>Starter</v>
      </c>
      <c r="P310" t="str">
        <f>TEXT(B310, "mmmm")</f>
        <v>July</v>
      </c>
      <c r="Q310" t="str">
        <f t="shared" si="19"/>
        <v>Q3</v>
      </c>
      <c r="R310" t="str">
        <f>IFERROR(VLOOKUP(TRIM(CLEAN(G310)),Sheet14!$A$2:$B$19,2,FALSE),"Not Mapped")</f>
        <v>West</v>
      </c>
    </row>
    <row r="311" spans="1:18">
      <c r="A311" t="str">
        <f t="shared" si="16"/>
        <v>EOS0310</v>
      </c>
      <c r="B311" s="35" t="s">
        <v>728</v>
      </c>
      <c r="C311" s="1" t="s">
        <v>267</v>
      </c>
      <c r="D311" s="1" t="str">
        <f t="shared" si="17"/>
        <v>FB</v>
      </c>
      <c r="E311" s="1" t="s">
        <v>740</v>
      </c>
      <c r="F311" s="1" t="s">
        <v>292</v>
      </c>
      <c r="G311" s="1" t="s">
        <v>223</v>
      </c>
      <c r="H311" s="1" t="s">
        <v>149</v>
      </c>
      <c r="I311" s="1">
        <v>108000</v>
      </c>
      <c r="J311" s="45">
        <v>107309</v>
      </c>
      <c r="K311" s="1" t="str">
        <f>TRIM(Cleaned_CRM_Data!H311)</f>
        <v>Rejected</v>
      </c>
      <c r="L311" t="str">
        <f>IFERROR(VLOOKUP(K311, Status_Mapping!A:B, 2,), "Not Found")</f>
        <v>Rejected</v>
      </c>
      <c r="N311" s="29" t="str">
        <f>IF(M311="","",M311-B311)</f>
        <v/>
      </c>
      <c r="O311" s="1" t="str">
        <f t="shared" si="18"/>
        <v>Starter</v>
      </c>
      <c r="P311" t="str">
        <f>TEXT(B311, "mmmm")</f>
        <v>July</v>
      </c>
      <c r="Q311" t="str">
        <f t="shared" si="19"/>
        <v>Q3</v>
      </c>
      <c r="R311" t="str">
        <f>IFERROR(VLOOKUP(TRIM(CLEAN(G311)),Sheet14!$A$2:$B$19,2,FALSE),"Not Mapped")</f>
        <v>West</v>
      </c>
    </row>
    <row r="312" spans="1:18">
      <c r="A312" t="str">
        <f t="shared" si="16"/>
        <v>EOS0311</v>
      </c>
      <c r="B312" s="35" t="s">
        <v>728</v>
      </c>
      <c r="C312" s="1" t="s">
        <v>267</v>
      </c>
      <c r="D312" s="1" t="str">
        <f t="shared" si="17"/>
        <v>FB</v>
      </c>
      <c r="E312" s="1" t="s">
        <v>741</v>
      </c>
      <c r="F312" s="1" t="s">
        <v>742</v>
      </c>
      <c r="G312" s="1" t="s">
        <v>223</v>
      </c>
      <c r="H312" s="1" t="s">
        <v>149</v>
      </c>
      <c r="I312" s="1">
        <v>130000</v>
      </c>
      <c r="J312" s="45">
        <v>107310</v>
      </c>
      <c r="K312" s="1" t="str">
        <f>TRIM(Cleaned_CRM_Data!H312)</f>
        <v>Rejected</v>
      </c>
      <c r="L312" t="str">
        <f>IFERROR(VLOOKUP(K312, Status_Mapping!A:B, 2,), "Not Found")</f>
        <v>Rejected</v>
      </c>
      <c r="N312" s="29" t="str">
        <f>IF(M312="","",M312-B312)</f>
        <v/>
      </c>
      <c r="O312" s="1" t="str">
        <f t="shared" si="18"/>
        <v>Starter</v>
      </c>
      <c r="P312" t="str">
        <f>TEXT(B312, "mmmm")</f>
        <v>July</v>
      </c>
      <c r="Q312" t="str">
        <f t="shared" si="19"/>
        <v>Q3</v>
      </c>
      <c r="R312" t="str">
        <f>IFERROR(VLOOKUP(TRIM(CLEAN(G312)),Sheet14!$A$2:$B$19,2,FALSE),"Not Mapped")</f>
        <v>West</v>
      </c>
    </row>
    <row r="313" spans="1:18">
      <c r="A313" t="str">
        <f t="shared" si="16"/>
        <v>EOS0312</v>
      </c>
      <c r="B313" s="35" t="s">
        <v>728</v>
      </c>
      <c r="C313" s="1" t="s">
        <v>267</v>
      </c>
      <c r="D313" s="1" t="str">
        <f t="shared" si="17"/>
        <v>FB</v>
      </c>
      <c r="E313" s="1" t="s">
        <v>743</v>
      </c>
      <c r="F313" s="1" t="s">
        <v>744</v>
      </c>
      <c r="G313" s="1" t="s">
        <v>223</v>
      </c>
      <c r="H313" s="1" t="s">
        <v>149</v>
      </c>
      <c r="I313" s="1">
        <v>108000</v>
      </c>
      <c r="J313" s="45">
        <v>107311</v>
      </c>
      <c r="K313" s="1" t="str">
        <f>TRIM(Cleaned_CRM_Data!H313)</f>
        <v>Rejected</v>
      </c>
      <c r="L313" t="str">
        <f>IFERROR(VLOOKUP(K313, Status_Mapping!A:B, 2,), "Not Found")</f>
        <v>Rejected</v>
      </c>
      <c r="N313" s="29" t="str">
        <f>IF(M313="","",M313-B313)</f>
        <v/>
      </c>
      <c r="O313" s="1" t="str">
        <f t="shared" si="18"/>
        <v>Starter</v>
      </c>
      <c r="P313" t="str">
        <f>TEXT(B313, "mmmm")</f>
        <v>July</v>
      </c>
      <c r="Q313" t="str">
        <f t="shared" si="19"/>
        <v>Q3</v>
      </c>
      <c r="R313" t="str">
        <f>IFERROR(VLOOKUP(TRIM(CLEAN(G313)),Sheet14!$A$2:$B$19,2,FALSE),"Not Mapped")</f>
        <v>West</v>
      </c>
    </row>
    <row r="314" spans="1:18">
      <c r="A314" t="str">
        <f t="shared" si="16"/>
        <v>EOS0313</v>
      </c>
      <c r="B314" s="35" t="s">
        <v>728</v>
      </c>
      <c r="C314" s="1" t="s">
        <v>267</v>
      </c>
      <c r="D314" s="1" t="str">
        <f t="shared" si="17"/>
        <v>FB</v>
      </c>
      <c r="E314" s="1" t="s">
        <v>745</v>
      </c>
      <c r="F314" s="1" t="s">
        <v>746</v>
      </c>
      <c r="G314" s="1" t="s">
        <v>229</v>
      </c>
      <c r="H314" s="1" t="s">
        <v>149</v>
      </c>
      <c r="I314" s="1">
        <v>108000</v>
      </c>
      <c r="J314" s="45">
        <v>107312</v>
      </c>
      <c r="K314" s="1" t="str">
        <f>TRIM(Cleaned_CRM_Data!H314)</f>
        <v>Rejected</v>
      </c>
      <c r="L314" t="str">
        <f>IFERROR(VLOOKUP(K314, Status_Mapping!A:B, 2,), "Not Found")</f>
        <v>Rejected</v>
      </c>
      <c r="N314" s="29" t="str">
        <f>IF(M314="","",M314-B314)</f>
        <v/>
      </c>
      <c r="O314" s="1" t="str">
        <f t="shared" si="18"/>
        <v>Starter</v>
      </c>
      <c r="P314" t="str">
        <f>TEXT(B314, "mmmm")</f>
        <v>July</v>
      </c>
      <c r="Q314" t="str">
        <f t="shared" si="19"/>
        <v>Q3</v>
      </c>
      <c r="R314" t="str">
        <f>IFERROR(VLOOKUP(TRIM(CLEAN(G314)),Sheet14!$A$2:$B$19,2,FALSE),"Not Mapped")</f>
        <v>West</v>
      </c>
    </row>
    <row r="315" spans="1:18">
      <c r="A315" t="str">
        <f t="shared" si="16"/>
        <v>EOS0314</v>
      </c>
      <c r="B315" s="35" t="s">
        <v>728</v>
      </c>
      <c r="C315" s="1" t="s">
        <v>267</v>
      </c>
      <c r="D315" s="1" t="str">
        <f t="shared" si="17"/>
        <v>FB</v>
      </c>
      <c r="E315" s="1" t="s">
        <v>747</v>
      </c>
      <c r="F315" s="1" t="s">
        <v>748</v>
      </c>
      <c r="G315" s="1" t="s">
        <v>229</v>
      </c>
      <c r="H315" s="1" t="s">
        <v>149</v>
      </c>
      <c r="I315" s="1">
        <v>130000</v>
      </c>
      <c r="J315" s="45">
        <v>107313</v>
      </c>
      <c r="K315" s="1" t="str">
        <f>TRIM(Cleaned_CRM_Data!H315)</f>
        <v>Rejected</v>
      </c>
      <c r="L315" t="str">
        <f>IFERROR(VLOOKUP(K315, Status_Mapping!A:B, 2,), "Not Found")</f>
        <v>Rejected</v>
      </c>
      <c r="N315" s="29" t="str">
        <f>IF(M315="","",M315-B315)</f>
        <v/>
      </c>
      <c r="O315" s="1" t="str">
        <f t="shared" si="18"/>
        <v>Starter</v>
      </c>
      <c r="P315" t="str">
        <f>TEXT(B315, "mmmm")</f>
        <v>July</v>
      </c>
      <c r="Q315" t="str">
        <f t="shared" si="19"/>
        <v>Q3</v>
      </c>
      <c r="R315" t="str">
        <f>IFERROR(VLOOKUP(TRIM(CLEAN(G315)),Sheet14!$A$2:$B$19,2,FALSE),"Not Mapped")</f>
        <v>West</v>
      </c>
    </row>
    <row r="316" spans="1:18">
      <c r="A316" t="str">
        <f t="shared" si="16"/>
        <v>EOS0315</v>
      </c>
      <c r="B316" s="35" t="s">
        <v>728</v>
      </c>
      <c r="C316" s="1" t="s">
        <v>267</v>
      </c>
      <c r="D316" s="1" t="str">
        <f t="shared" si="17"/>
        <v>FB</v>
      </c>
      <c r="E316" s="1" t="s">
        <v>358</v>
      </c>
      <c r="F316" s="1" t="s">
        <v>749</v>
      </c>
      <c r="G316" s="1" t="s">
        <v>229</v>
      </c>
      <c r="H316" s="1" t="s">
        <v>149</v>
      </c>
      <c r="I316" s="1">
        <v>108000</v>
      </c>
      <c r="J316" s="45">
        <v>107314</v>
      </c>
      <c r="K316" s="1" t="str">
        <f>TRIM(Cleaned_CRM_Data!H316)</f>
        <v>Rejected</v>
      </c>
      <c r="L316" t="str">
        <f>IFERROR(VLOOKUP(K316, Status_Mapping!A:B, 2,), "Not Found")</f>
        <v>Rejected</v>
      </c>
      <c r="N316" s="29" t="str">
        <f>IF(M316="","",M316-B316)</f>
        <v/>
      </c>
      <c r="O316" s="1" t="str">
        <f t="shared" si="18"/>
        <v>Starter</v>
      </c>
      <c r="P316" t="str">
        <f>TEXT(B316, "mmmm")</f>
        <v>July</v>
      </c>
      <c r="Q316" t="str">
        <f t="shared" si="19"/>
        <v>Q3</v>
      </c>
      <c r="R316" t="str">
        <f>IFERROR(VLOOKUP(TRIM(CLEAN(G316)),Sheet14!$A$2:$B$19,2,FALSE),"Not Mapped")</f>
        <v>West</v>
      </c>
    </row>
    <row r="317" spans="1:18">
      <c r="A317" t="str">
        <f t="shared" si="16"/>
        <v>EOS0316</v>
      </c>
      <c r="B317" s="35" t="s">
        <v>728</v>
      </c>
      <c r="C317" s="1" t="s">
        <v>267</v>
      </c>
      <c r="D317" s="1" t="str">
        <f t="shared" si="17"/>
        <v>FB</v>
      </c>
      <c r="E317" s="1" t="s">
        <v>750</v>
      </c>
      <c r="F317" s="1" t="s">
        <v>751</v>
      </c>
      <c r="G317" s="1" t="s">
        <v>232</v>
      </c>
      <c r="H317" s="1" t="s">
        <v>149</v>
      </c>
      <c r="I317" s="1">
        <v>130000</v>
      </c>
      <c r="J317" s="45">
        <v>107315</v>
      </c>
      <c r="K317" s="1" t="str">
        <f>TRIM(Cleaned_CRM_Data!H317)</f>
        <v>Rejected</v>
      </c>
      <c r="L317" t="str">
        <f>IFERROR(VLOOKUP(K317, Status_Mapping!A:B, 2,), "Not Found")</f>
        <v>Rejected</v>
      </c>
      <c r="N317" s="29" t="str">
        <f>IF(M317="","",M317-B317)</f>
        <v/>
      </c>
      <c r="O317" s="1" t="str">
        <f t="shared" si="18"/>
        <v>Starter</v>
      </c>
      <c r="P317" t="str">
        <f>TEXT(B317, "mmmm")</f>
        <v>July</v>
      </c>
      <c r="Q317" t="str">
        <f t="shared" si="19"/>
        <v>Q3</v>
      </c>
      <c r="R317" t="str">
        <f>IFERROR(VLOOKUP(TRIM(CLEAN(G317)),Sheet14!$A$2:$B$19,2,FALSE),"Not Mapped")</f>
        <v>East</v>
      </c>
    </row>
    <row r="318" spans="1:18">
      <c r="A318" t="str">
        <f t="shared" si="16"/>
        <v>EOS0317</v>
      </c>
      <c r="B318" s="35" t="s">
        <v>728</v>
      </c>
      <c r="C318" s="1" t="s">
        <v>267</v>
      </c>
      <c r="D318" s="1" t="str">
        <f t="shared" si="17"/>
        <v>FB</v>
      </c>
      <c r="E318" s="1" t="s">
        <v>752</v>
      </c>
      <c r="F318" s="1" t="s">
        <v>753</v>
      </c>
      <c r="G318" s="1" t="s">
        <v>235</v>
      </c>
      <c r="H318" s="1" t="s">
        <v>149</v>
      </c>
      <c r="I318" s="1">
        <v>130000</v>
      </c>
      <c r="J318" s="45">
        <v>107316</v>
      </c>
      <c r="K318" s="1" t="str">
        <f>TRIM(Cleaned_CRM_Data!H318)</f>
        <v>Rejected</v>
      </c>
      <c r="L318" t="str">
        <f>IFERROR(VLOOKUP(K318, Status_Mapping!A:B, 2,), "Not Found")</f>
        <v>Rejected</v>
      </c>
      <c r="N318" s="29" t="str">
        <f>IF(M318="","",M318-B318)</f>
        <v/>
      </c>
      <c r="O318" s="1" t="str">
        <f t="shared" si="18"/>
        <v>Starter</v>
      </c>
      <c r="P318" t="str">
        <f>TEXT(B318, "mmmm")</f>
        <v>July</v>
      </c>
      <c r="Q318" t="str">
        <f t="shared" si="19"/>
        <v>Q3</v>
      </c>
      <c r="R318" t="str">
        <f>IFERROR(VLOOKUP(TRIM(CLEAN(G318)),Sheet14!$A$2:$B$19,2,FALSE),"Not Mapped")</f>
        <v>West</v>
      </c>
    </row>
    <row r="319" spans="1:18">
      <c r="A319" t="str">
        <f t="shared" si="16"/>
        <v>EOS0318</v>
      </c>
      <c r="B319" s="35" t="s">
        <v>728</v>
      </c>
      <c r="C319" s="1" t="s">
        <v>267</v>
      </c>
      <c r="D319" s="1" t="str">
        <f t="shared" si="17"/>
        <v>FB</v>
      </c>
      <c r="E319" s="1" t="s">
        <v>754</v>
      </c>
      <c r="F319" s="1" t="s">
        <v>755</v>
      </c>
      <c r="G319" s="1" t="s">
        <v>236</v>
      </c>
      <c r="H319" s="1" t="s">
        <v>149</v>
      </c>
      <c r="I319" s="1">
        <v>130000</v>
      </c>
      <c r="J319" s="45">
        <v>107317</v>
      </c>
      <c r="K319" s="1" t="str">
        <f>TRIM(Cleaned_CRM_Data!H319)</f>
        <v>Rejected</v>
      </c>
      <c r="L319" t="str">
        <f>IFERROR(VLOOKUP(K319, Status_Mapping!A:B, 2,), "Not Found")</f>
        <v>Rejected</v>
      </c>
      <c r="N319" s="29" t="str">
        <f>IF(M319="","",M319-B319)</f>
        <v/>
      </c>
      <c r="O319" s="1" t="str">
        <f t="shared" si="18"/>
        <v>Starter</v>
      </c>
      <c r="P319" t="str">
        <f>TEXT(B319, "mmmm")</f>
        <v>July</v>
      </c>
      <c r="Q319" t="str">
        <f t="shared" si="19"/>
        <v>Q3</v>
      </c>
      <c r="R319" t="str">
        <f>IFERROR(VLOOKUP(TRIM(CLEAN(G319)),Sheet14!$A$2:$B$19,2,FALSE),"Not Mapped")</f>
        <v>North</v>
      </c>
    </row>
    <row r="320" spans="1:18">
      <c r="A320" t="str">
        <f t="shared" si="16"/>
        <v>EOS0319</v>
      </c>
      <c r="B320" s="35" t="s">
        <v>728</v>
      </c>
      <c r="C320" s="1" t="s">
        <v>267</v>
      </c>
      <c r="D320" s="1" t="str">
        <f t="shared" si="17"/>
        <v>FB</v>
      </c>
      <c r="E320" s="1" t="s">
        <v>756</v>
      </c>
      <c r="F320" s="1" t="s">
        <v>757</v>
      </c>
      <c r="G320" s="1" t="s">
        <v>239</v>
      </c>
      <c r="H320" s="1" t="s">
        <v>149</v>
      </c>
      <c r="I320" s="1">
        <v>108000</v>
      </c>
      <c r="J320" s="45">
        <v>107318</v>
      </c>
      <c r="K320" s="1" t="str">
        <f>TRIM(Cleaned_CRM_Data!H320)</f>
        <v>Rejected</v>
      </c>
      <c r="L320" t="str">
        <f>IFERROR(VLOOKUP(K320, Status_Mapping!A:B, 2,), "Not Found")</f>
        <v>Rejected</v>
      </c>
      <c r="N320" s="29" t="str">
        <f>IF(M320="","",M320-B320)</f>
        <v/>
      </c>
      <c r="O320" s="1" t="str">
        <f t="shared" si="18"/>
        <v>Starter</v>
      </c>
      <c r="P320" t="str">
        <f>TEXT(B320, "mmmm")</f>
        <v>July</v>
      </c>
      <c r="Q320" t="str">
        <f t="shared" si="19"/>
        <v>Q3</v>
      </c>
      <c r="R320" t="str">
        <f>IFERROR(VLOOKUP(TRIM(CLEAN(G320)),Sheet14!$A$2:$B$19,2,FALSE),"Not Mapped")</f>
        <v>East</v>
      </c>
    </row>
    <row r="321" spans="1:18">
      <c r="A321" t="str">
        <f t="shared" si="16"/>
        <v>EOS0320</v>
      </c>
      <c r="B321" s="35" t="s">
        <v>728</v>
      </c>
      <c r="C321" s="1" t="s">
        <v>267</v>
      </c>
      <c r="D321" s="1" t="str">
        <f t="shared" si="17"/>
        <v>FB</v>
      </c>
      <c r="E321" s="1" t="s">
        <v>758</v>
      </c>
      <c r="F321" s="1" t="s">
        <v>759</v>
      </c>
      <c r="G321" s="1" t="s">
        <v>440</v>
      </c>
      <c r="H321" s="1" t="s">
        <v>149</v>
      </c>
      <c r="I321" s="1">
        <v>130000</v>
      </c>
      <c r="J321" s="45">
        <v>107319</v>
      </c>
      <c r="K321" s="1" t="str">
        <f>TRIM(Cleaned_CRM_Data!H321)</f>
        <v>Rejected</v>
      </c>
      <c r="L321" t="str">
        <f>IFERROR(VLOOKUP(K321, Status_Mapping!A:B, 2,), "Not Found")</f>
        <v>Rejected</v>
      </c>
      <c r="N321" s="29" t="str">
        <f>IF(M321="","",M321-B321)</f>
        <v/>
      </c>
      <c r="O321" s="1" t="str">
        <f t="shared" si="18"/>
        <v>Starter</v>
      </c>
      <c r="P321" t="str">
        <f>TEXT(B321, "mmmm")</f>
        <v>July</v>
      </c>
      <c r="Q321" t="str">
        <f t="shared" si="19"/>
        <v>Q3</v>
      </c>
      <c r="R321" t="str">
        <f>IFERROR(VLOOKUP(TRIM(CLEAN(G321)),Sheet14!$A$2:$B$19,2,FALSE),"Not Mapped")</f>
        <v>North</v>
      </c>
    </row>
    <row r="322" spans="1:18">
      <c r="A322" t="str">
        <f t="shared" si="16"/>
        <v>EOS0321</v>
      </c>
      <c r="B322" s="35" t="s">
        <v>760</v>
      </c>
      <c r="C322" s="1" t="s">
        <v>267</v>
      </c>
      <c r="D322" s="1" t="str">
        <f t="shared" si="17"/>
        <v>FB</v>
      </c>
      <c r="E322" s="1" t="s">
        <v>761</v>
      </c>
      <c r="F322" s="1" t="s">
        <v>300</v>
      </c>
      <c r="G322" s="1" t="s">
        <v>223</v>
      </c>
      <c r="H322" s="1" t="s">
        <v>149</v>
      </c>
      <c r="I322" s="1">
        <v>130000</v>
      </c>
      <c r="J322" s="45">
        <v>107320</v>
      </c>
      <c r="K322" s="1" t="str">
        <f>TRIM(Cleaned_CRM_Data!H322)</f>
        <v>Rejected</v>
      </c>
      <c r="L322" t="str">
        <f>IFERROR(VLOOKUP(K322, Status_Mapping!A:B, 2,), "Not Found")</f>
        <v>Rejected</v>
      </c>
      <c r="N322" s="29" t="str">
        <f>IF(M322="","",M322-B322)</f>
        <v/>
      </c>
      <c r="O322" s="1" t="str">
        <f t="shared" si="18"/>
        <v>Starter</v>
      </c>
      <c r="P322" t="str">
        <f>TEXT(B322, "mmmm")</f>
        <v>July</v>
      </c>
      <c r="Q322" t="str">
        <f t="shared" si="19"/>
        <v>Q3</v>
      </c>
      <c r="R322" t="str">
        <f>IFERROR(VLOOKUP(TRIM(CLEAN(G322)),Sheet14!$A$2:$B$19,2,FALSE),"Not Mapped")</f>
        <v>West</v>
      </c>
    </row>
    <row r="323" spans="1:18">
      <c r="A323" t="str">
        <f t="shared" ref="A323:A386" si="20">"EOS"&amp;TEXT(ROW()-1,"0000")</f>
        <v>EOS0322</v>
      </c>
      <c r="B323" s="35" t="s">
        <v>760</v>
      </c>
      <c r="C323" s="1" t="s">
        <v>267</v>
      </c>
      <c r="D323" s="1" t="str">
        <f t="shared" ref="D323:D386" si="21">TRIM(CLEAN(SUBSTITUTE(C323,CHAR(160),"")))</f>
        <v>FB</v>
      </c>
      <c r="E323" s="1" t="s">
        <v>762</v>
      </c>
      <c r="F323" s="1" t="s">
        <v>271</v>
      </c>
      <c r="G323" s="1" t="s">
        <v>223</v>
      </c>
      <c r="H323" s="1" t="s">
        <v>149</v>
      </c>
      <c r="I323" s="1">
        <v>130000</v>
      </c>
      <c r="J323" s="45">
        <v>107321</v>
      </c>
      <c r="K323" s="1" t="str">
        <f>TRIM(Cleaned_CRM_Data!H323)</f>
        <v>Rejected</v>
      </c>
      <c r="L323" t="str">
        <f>IFERROR(VLOOKUP(K323, Status_Mapping!A:B, 2,), "Not Found")</f>
        <v>Rejected</v>
      </c>
      <c r="N323" s="29" t="str">
        <f>IF(M323="","",M323-B323)</f>
        <v/>
      </c>
      <c r="O323" s="1" t="str">
        <f t="shared" ref="O323:O386" si="22">IF(OR(I323=108000,I323=130000),"Starter",IF(I323=177000,"Growth","Premium"))</f>
        <v>Starter</v>
      </c>
      <c r="P323" t="str">
        <f>TEXT(B323, "mmmm")</f>
        <v>July</v>
      </c>
      <c r="Q323" t="str">
        <f t="shared" ref="Q323:Q386" si="23">"Q"&amp;ROUNDUP(MONTH(B323)/3,0)</f>
        <v>Q3</v>
      </c>
      <c r="R323" t="str">
        <f>IFERROR(VLOOKUP(TRIM(CLEAN(G323)),Sheet14!$A$2:$B$19,2,FALSE),"Not Mapped")</f>
        <v>West</v>
      </c>
    </row>
    <row r="324" spans="1:18">
      <c r="A324" t="str">
        <f t="shared" si="20"/>
        <v>EOS0323</v>
      </c>
      <c r="B324" s="35" t="s">
        <v>760</v>
      </c>
      <c r="C324" s="1" t="s">
        <v>267</v>
      </c>
      <c r="D324" s="1" t="str">
        <f t="shared" si="21"/>
        <v>FB</v>
      </c>
      <c r="E324" s="1" t="s">
        <v>763</v>
      </c>
      <c r="F324" s="1" t="s">
        <v>304</v>
      </c>
      <c r="G324" s="1" t="s">
        <v>223</v>
      </c>
      <c r="H324" s="1" t="s">
        <v>149</v>
      </c>
      <c r="I324" s="1">
        <v>177000</v>
      </c>
      <c r="J324" s="45">
        <v>107322</v>
      </c>
      <c r="K324" s="1" t="str">
        <f>TRIM(Cleaned_CRM_Data!H324)</f>
        <v>Rejected</v>
      </c>
      <c r="L324" t="str">
        <f>IFERROR(VLOOKUP(K324, Status_Mapping!A:B, 2,), "Not Found")</f>
        <v>Rejected</v>
      </c>
      <c r="N324" s="29" t="str">
        <f>IF(M324="","",M324-B324)</f>
        <v/>
      </c>
      <c r="O324" s="1" t="str">
        <f t="shared" si="22"/>
        <v>Growth</v>
      </c>
      <c r="P324" t="str">
        <f>TEXT(B324, "mmmm")</f>
        <v>July</v>
      </c>
      <c r="Q324" t="str">
        <f t="shared" si="23"/>
        <v>Q3</v>
      </c>
      <c r="R324" t="str">
        <f>IFERROR(VLOOKUP(TRIM(CLEAN(G324)),Sheet14!$A$2:$B$19,2,FALSE),"Not Mapped")</f>
        <v>West</v>
      </c>
    </row>
    <row r="325" spans="1:18">
      <c r="A325" t="str">
        <f t="shared" si="20"/>
        <v>EOS0324</v>
      </c>
      <c r="B325" s="35" t="s">
        <v>760</v>
      </c>
      <c r="C325" s="1" t="s">
        <v>267</v>
      </c>
      <c r="D325" s="1" t="str">
        <f t="shared" si="21"/>
        <v>FB</v>
      </c>
      <c r="E325" s="1" t="s">
        <v>764</v>
      </c>
      <c r="F325" s="1" t="s">
        <v>374</v>
      </c>
      <c r="G325" s="1" t="s">
        <v>223</v>
      </c>
      <c r="H325" s="1" t="s">
        <v>149</v>
      </c>
      <c r="I325" s="1">
        <v>130000</v>
      </c>
      <c r="J325" s="45">
        <v>107323</v>
      </c>
      <c r="K325" s="1" t="str">
        <f>TRIM(Cleaned_CRM_Data!H325)</f>
        <v>Rejected</v>
      </c>
      <c r="L325" t="str">
        <f>IFERROR(VLOOKUP(K325, Status_Mapping!A:B, 2,), "Not Found")</f>
        <v>Rejected</v>
      </c>
      <c r="N325" s="29" t="str">
        <f>IF(M325="","",M325-B325)</f>
        <v/>
      </c>
      <c r="O325" s="1" t="str">
        <f t="shared" si="22"/>
        <v>Starter</v>
      </c>
      <c r="P325" t="str">
        <f>TEXT(B325, "mmmm")</f>
        <v>July</v>
      </c>
      <c r="Q325" t="str">
        <f t="shared" si="23"/>
        <v>Q3</v>
      </c>
      <c r="R325" t="str">
        <f>IFERROR(VLOOKUP(TRIM(CLEAN(G325)),Sheet14!$A$2:$B$19,2,FALSE),"Not Mapped")</f>
        <v>West</v>
      </c>
    </row>
    <row r="326" spans="1:18">
      <c r="A326" t="str">
        <f t="shared" si="20"/>
        <v>EOS0325</v>
      </c>
      <c r="B326" s="35" t="s">
        <v>760</v>
      </c>
      <c r="C326" s="1" t="s">
        <v>267</v>
      </c>
      <c r="D326" s="1" t="str">
        <f t="shared" si="21"/>
        <v>FB</v>
      </c>
      <c r="E326" s="1" t="s">
        <v>765</v>
      </c>
      <c r="F326" s="1" t="s">
        <v>412</v>
      </c>
      <c r="G326" s="1" t="s">
        <v>223</v>
      </c>
      <c r="H326" s="1" t="s">
        <v>149</v>
      </c>
      <c r="I326" s="1">
        <v>130000</v>
      </c>
      <c r="J326" s="45">
        <v>107324</v>
      </c>
      <c r="K326" s="1" t="str">
        <f>TRIM(Cleaned_CRM_Data!H326)</f>
        <v>Rejected</v>
      </c>
      <c r="L326" t="str">
        <f>IFERROR(VLOOKUP(K326, Status_Mapping!A:B, 2,), "Not Found")</f>
        <v>Rejected</v>
      </c>
      <c r="N326" s="29" t="str">
        <f>IF(M326="","",M326-B326)</f>
        <v/>
      </c>
      <c r="O326" s="1" t="str">
        <f t="shared" si="22"/>
        <v>Starter</v>
      </c>
      <c r="P326" t="str">
        <f>TEXT(B326, "mmmm")</f>
        <v>July</v>
      </c>
      <c r="Q326" t="str">
        <f t="shared" si="23"/>
        <v>Q3</v>
      </c>
      <c r="R326" t="str">
        <f>IFERROR(VLOOKUP(TRIM(CLEAN(G326)),Sheet14!$A$2:$B$19,2,FALSE),"Not Mapped")</f>
        <v>West</v>
      </c>
    </row>
    <row r="327" spans="1:18">
      <c r="A327" t="str">
        <f t="shared" si="20"/>
        <v>EOS0326</v>
      </c>
      <c r="B327" s="35" t="s">
        <v>760</v>
      </c>
      <c r="C327" s="1" t="s">
        <v>267</v>
      </c>
      <c r="D327" s="1" t="str">
        <f t="shared" si="21"/>
        <v>FB</v>
      </c>
      <c r="E327" s="1" t="s">
        <v>766</v>
      </c>
      <c r="F327" s="1" t="s">
        <v>661</v>
      </c>
      <c r="G327" s="1" t="s">
        <v>223</v>
      </c>
      <c r="H327" s="1" t="s">
        <v>149</v>
      </c>
      <c r="I327" s="1">
        <v>108000</v>
      </c>
      <c r="J327" s="45">
        <v>107325</v>
      </c>
      <c r="K327" s="1" t="str">
        <f>TRIM(Cleaned_CRM_Data!H327)</f>
        <v>Rejected</v>
      </c>
      <c r="L327" t="str">
        <f>IFERROR(VLOOKUP(K327, Status_Mapping!A:B, 2,), "Not Found")</f>
        <v>Rejected</v>
      </c>
      <c r="N327" s="29" t="str">
        <f>IF(M327="","",M327-B327)</f>
        <v/>
      </c>
      <c r="O327" s="1" t="str">
        <f t="shared" si="22"/>
        <v>Starter</v>
      </c>
      <c r="P327" t="str">
        <f>TEXT(B327, "mmmm")</f>
        <v>July</v>
      </c>
      <c r="Q327" t="str">
        <f t="shared" si="23"/>
        <v>Q3</v>
      </c>
      <c r="R327" t="str">
        <f>IFERROR(VLOOKUP(TRIM(CLEAN(G327)),Sheet14!$A$2:$B$19,2,FALSE),"Not Mapped")</f>
        <v>West</v>
      </c>
    </row>
    <row r="328" spans="1:18">
      <c r="A328" t="str">
        <f t="shared" si="20"/>
        <v>EOS0327</v>
      </c>
      <c r="B328" s="35" t="s">
        <v>760</v>
      </c>
      <c r="C328" s="1" t="s">
        <v>267</v>
      </c>
      <c r="D328" s="1" t="str">
        <f t="shared" si="21"/>
        <v>FB</v>
      </c>
      <c r="E328" s="1" t="s">
        <v>767</v>
      </c>
      <c r="F328" s="1" t="s">
        <v>275</v>
      </c>
      <c r="G328" s="1" t="s">
        <v>223</v>
      </c>
      <c r="H328" s="1" t="s">
        <v>149</v>
      </c>
      <c r="I328" s="1">
        <v>108000</v>
      </c>
      <c r="J328" s="45">
        <v>107326</v>
      </c>
      <c r="K328" s="1" t="str">
        <f>TRIM(Cleaned_CRM_Data!H328)</f>
        <v>Rejected</v>
      </c>
      <c r="L328" t="str">
        <f>IFERROR(VLOOKUP(K328, Status_Mapping!A:B, 2,), "Not Found")</f>
        <v>Rejected</v>
      </c>
      <c r="N328" s="29" t="str">
        <f>IF(M328="","",M328-B328)</f>
        <v/>
      </c>
      <c r="O328" s="1" t="str">
        <f t="shared" si="22"/>
        <v>Starter</v>
      </c>
      <c r="P328" t="str">
        <f>TEXT(B328, "mmmm")</f>
        <v>July</v>
      </c>
      <c r="Q328" t="str">
        <f t="shared" si="23"/>
        <v>Q3</v>
      </c>
      <c r="R328" t="str">
        <f>IFERROR(VLOOKUP(TRIM(CLEAN(G328)),Sheet14!$A$2:$B$19,2,FALSE),"Not Mapped")</f>
        <v>West</v>
      </c>
    </row>
    <row r="329" spans="1:18">
      <c r="A329" t="str">
        <f t="shared" si="20"/>
        <v>EOS0328</v>
      </c>
      <c r="B329" s="35" t="s">
        <v>760</v>
      </c>
      <c r="C329" s="1" t="s">
        <v>267</v>
      </c>
      <c r="D329" s="1" t="str">
        <f t="shared" si="21"/>
        <v>FB</v>
      </c>
      <c r="E329" s="1" t="s">
        <v>768</v>
      </c>
      <c r="F329" s="1" t="s">
        <v>645</v>
      </c>
      <c r="G329" s="1" t="s">
        <v>223</v>
      </c>
      <c r="H329" s="1" t="s">
        <v>149</v>
      </c>
      <c r="I329" s="1">
        <v>108000</v>
      </c>
      <c r="J329" s="45">
        <v>107327</v>
      </c>
      <c r="K329" s="1" t="str">
        <f>TRIM(Cleaned_CRM_Data!H329)</f>
        <v>Rejected</v>
      </c>
      <c r="L329" t="str">
        <f>IFERROR(VLOOKUP(K329, Status_Mapping!A:B, 2,), "Not Found")</f>
        <v>Rejected</v>
      </c>
      <c r="N329" s="29" t="str">
        <f>IF(M329="","",M329-B329)</f>
        <v/>
      </c>
      <c r="O329" s="1" t="str">
        <f t="shared" si="22"/>
        <v>Starter</v>
      </c>
      <c r="P329" t="str">
        <f>TEXT(B329, "mmmm")</f>
        <v>July</v>
      </c>
      <c r="Q329" t="str">
        <f t="shared" si="23"/>
        <v>Q3</v>
      </c>
      <c r="R329" t="str">
        <f>IFERROR(VLOOKUP(TRIM(CLEAN(G329)),Sheet14!$A$2:$B$19,2,FALSE),"Not Mapped")</f>
        <v>West</v>
      </c>
    </row>
    <row r="330" spans="1:18">
      <c r="A330" t="str">
        <f t="shared" si="20"/>
        <v>EOS0329</v>
      </c>
      <c r="B330" s="35" t="s">
        <v>760</v>
      </c>
      <c r="C330" s="1" t="s">
        <v>267</v>
      </c>
      <c r="D330" s="1" t="str">
        <f t="shared" si="21"/>
        <v>FB</v>
      </c>
      <c r="E330" s="1" t="s">
        <v>769</v>
      </c>
      <c r="F330" s="1" t="s">
        <v>304</v>
      </c>
      <c r="G330" s="1" t="s">
        <v>223</v>
      </c>
      <c r="H330" s="1" t="s">
        <v>149</v>
      </c>
      <c r="I330" s="1">
        <v>108000</v>
      </c>
      <c r="J330" s="45">
        <v>107328</v>
      </c>
      <c r="K330" s="1" t="str">
        <f>TRIM(Cleaned_CRM_Data!H330)</f>
        <v>Rejected</v>
      </c>
      <c r="L330" t="str">
        <f>IFERROR(VLOOKUP(K330, Status_Mapping!A:B, 2,), "Not Found")</f>
        <v>Rejected</v>
      </c>
      <c r="N330" s="29" t="str">
        <f>IF(M330="","",M330-B330)</f>
        <v/>
      </c>
      <c r="O330" s="1" t="str">
        <f t="shared" si="22"/>
        <v>Starter</v>
      </c>
      <c r="P330" t="str">
        <f>TEXT(B330, "mmmm")</f>
        <v>July</v>
      </c>
      <c r="Q330" t="str">
        <f t="shared" si="23"/>
        <v>Q3</v>
      </c>
      <c r="R330" t="str">
        <f>IFERROR(VLOOKUP(TRIM(CLEAN(G330)),Sheet14!$A$2:$B$19,2,FALSE),"Not Mapped")</f>
        <v>West</v>
      </c>
    </row>
    <row r="331" spans="1:18">
      <c r="A331" t="str">
        <f t="shared" si="20"/>
        <v>EOS0330</v>
      </c>
      <c r="B331" s="35" t="s">
        <v>760</v>
      </c>
      <c r="C331" s="1" t="s">
        <v>267</v>
      </c>
      <c r="D331" s="1" t="str">
        <f t="shared" si="21"/>
        <v>FB</v>
      </c>
      <c r="E331" s="1" t="s">
        <v>770</v>
      </c>
      <c r="F331" s="1" t="s">
        <v>771</v>
      </c>
      <c r="G331" s="1" t="s">
        <v>223</v>
      </c>
      <c r="H331" s="1" t="s">
        <v>149</v>
      </c>
      <c r="I331" s="1">
        <v>108000</v>
      </c>
      <c r="J331" s="45">
        <v>107329</v>
      </c>
      <c r="K331" s="1" t="str">
        <f>TRIM(Cleaned_CRM_Data!H331)</f>
        <v>Rejected</v>
      </c>
      <c r="L331" t="str">
        <f>IFERROR(VLOOKUP(K331, Status_Mapping!A:B, 2,), "Not Found")</f>
        <v>Rejected</v>
      </c>
      <c r="N331" s="29" t="str">
        <f>IF(M331="","",M331-B331)</f>
        <v/>
      </c>
      <c r="O331" s="1" t="str">
        <f t="shared" si="22"/>
        <v>Starter</v>
      </c>
      <c r="P331" t="str">
        <f>TEXT(B331, "mmmm")</f>
        <v>July</v>
      </c>
      <c r="Q331" t="str">
        <f t="shared" si="23"/>
        <v>Q3</v>
      </c>
      <c r="R331" t="str">
        <f>IFERROR(VLOOKUP(TRIM(CLEAN(G331)),Sheet14!$A$2:$B$19,2,FALSE),"Not Mapped")</f>
        <v>West</v>
      </c>
    </row>
    <row r="332" spans="1:18">
      <c r="A332" t="str">
        <f t="shared" si="20"/>
        <v>EOS0331</v>
      </c>
      <c r="B332" s="35" t="s">
        <v>760</v>
      </c>
      <c r="C332" s="1" t="s">
        <v>267</v>
      </c>
      <c r="D332" s="1" t="str">
        <f t="shared" si="21"/>
        <v>FB</v>
      </c>
      <c r="E332" s="1" t="s">
        <v>772</v>
      </c>
      <c r="F332" s="1" t="s">
        <v>300</v>
      </c>
      <c r="G332" s="1" t="s">
        <v>223</v>
      </c>
      <c r="H332" s="1" t="s">
        <v>149</v>
      </c>
      <c r="I332" s="1">
        <v>130000</v>
      </c>
      <c r="J332" s="45">
        <v>107330</v>
      </c>
      <c r="K332" s="1" t="str">
        <f>TRIM(Cleaned_CRM_Data!H332)</f>
        <v>Rejected</v>
      </c>
      <c r="L332" t="str">
        <f>IFERROR(VLOOKUP(K332, Status_Mapping!A:B, 2,), "Not Found")</f>
        <v>Rejected</v>
      </c>
      <c r="N332" s="29" t="str">
        <f>IF(M332="","",M332-B332)</f>
        <v/>
      </c>
      <c r="O332" s="1" t="str">
        <f t="shared" si="22"/>
        <v>Starter</v>
      </c>
      <c r="P332" t="str">
        <f>TEXT(B332, "mmmm")</f>
        <v>July</v>
      </c>
      <c r="Q332" t="str">
        <f t="shared" si="23"/>
        <v>Q3</v>
      </c>
      <c r="R332" t="str">
        <f>IFERROR(VLOOKUP(TRIM(CLEAN(G332)),Sheet14!$A$2:$B$19,2,FALSE),"Not Mapped")</f>
        <v>West</v>
      </c>
    </row>
    <row r="333" spans="1:18">
      <c r="A333" t="str">
        <f t="shared" si="20"/>
        <v>EOS0332</v>
      </c>
      <c r="B333" s="35" t="s">
        <v>773</v>
      </c>
      <c r="C333" s="1" t="s">
        <v>267</v>
      </c>
      <c r="D333" s="1" t="str">
        <f t="shared" si="21"/>
        <v>FB</v>
      </c>
      <c r="E333" s="1" t="s">
        <v>774</v>
      </c>
      <c r="F333" s="1" t="s">
        <v>304</v>
      </c>
      <c r="G333" s="1" t="s">
        <v>223</v>
      </c>
      <c r="H333" s="1" t="s">
        <v>149</v>
      </c>
      <c r="I333" s="1">
        <v>130000</v>
      </c>
      <c r="J333" s="45">
        <v>107331</v>
      </c>
      <c r="K333" s="1" t="str">
        <f>TRIM(Cleaned_CRM_Data!H333)</f>
        <v>Rejected</v>
      </c>
      <c r="L333" t="str">
        <f>IFERROR(VLOOKUP(K333, Status_Mapping!A:B, 2,), "Not Found")</f>
        <v>Rejected</v>
      </c>
      <c r="N333" s="29" t="str">
        <f>IF(M333="","",M333-B333)</f>
        <v/>
      </c>
      <c r="O333" s="1" t="str">
        <f t="shared" si="22"/>
        <v>Starter</v>
      </c>
      <c r="P333" t="str">
        <f>TEXT(B333, "mmmm")</f>
        <v>July</v>
      </c>
      <c r="Q333" t="str">
        <f t="shared" si="23"/>
        <v>Q3</v>
      </c>
      <c r="R333" t="str">
        <f>IFERROR(VLOOKUP(TRIM(CLEAN(G333)),Sheet14!$A$2:$B$19,2,FALSE),"Not Mapped")</f>
        <v>West</v>
      </c>
    </row>
    <row r="334" spans="1:18">
      <c r="A334" t="str">
        <f t="shared" si="20"/>
        <v>EOS0333</v>
      </c>
      <c r="B334" s="35" t="s">
        <v>773</v>
      </c>
      <c r="C334" s="1" t="s">
        <v>267</v>
      </c>
      <c r="D334" s="1" t="str">
        <f t="shared" si="21"/>
        <v>FB</v>
      </c>
      <c r="E334" s="1" t="s">
        <v>775</v>
      </c>
      <c r="F334" s="1" t="s">
        <v>283</v>
      </c>
      <c r="G334" s="1" t="s">
        <v>223</v>
      </c>
      <c r="H334" s="1" t="s">
        <v>149</v>
      </c>
      <c r="I334" s="1">
        <v>108000</v>
      </c>
      <c r="J334" s="45">
        <v>107332</v>
      </c>
      <c r="K334" s="1" t="str">
        <f>TRIM(Cleaned_CRM_Data!H334)</f>
        <v>Rejected</v>
      </c>
      <c r="L334" t="str">
        <f>IFERROR(VLOOKUP(K334, Status_Mapping!A:B, 2,), "Not Found")</f>
        <v>Rejected</v>
      </c>
      <c r="N334" s="29" t="str">
        <f>IF(M334="","",M334-B334)</f>
        <v/>
      </c>
      <c r="O334" s="1" t="str">
        <f t="shared" si="22"/>
        <v>Starter</v>
      </c>
      <c r="P334" t="str">
        <f>TEXT(B334, "mmmm")</f>
        <v>July</v>
      </c>
      <c r="Q334" t="str">
        <f t="shared" si="23"/>
        <v>Q3</v>
      </c>
      <c r="R334" t="str">
        <f>IFERROR(VLOOKUP(TRIM(CLEAN(G334)),Sheet14!$A$2:$B$19,2,FALSE),"Not Mapped")</f>
        <v>West</v>
      </c>
    </row>
    <row r="335" spans="1:18">
      <c r="A335" t="str">
        <f t="shared" si="20"/>
        <v>EOS0334</v>
      </c>
      <c r="B335" s="35" t="s">
        <v>773</v>
      </c>
      <c r="C335" s="1" t="s">
        <v>267</v>
      </c>
      <c r="D335" s="1" t="str">
        <f t="shared" si="21"/>
        <v>FB</v>
      </c>
      <c r="E335" s="1" t="s">
        <v>776</v>
      </c>
      <c r="F335" s="1" t="s">
        <v>316</v>
      </c>
      <c r="G335" s="1" t="s">
        <v>223</v>
      </c>
      <c r="H335" s="1" t="s">
        <v>149</v>
      </c>
      <c r="I335" s="1">
        <v>108000</v>
      </c>
      <c r="J335" s="45">
        <v>107333</v>
      </c>
      <c r="K335" s="1" t="str">
        <f>TRIM(Cleaned_CRM_Data!H335)</f>
        <v>Rejected</v>
      </c>
      <c r="L335" t="str">
        <f>IFERROR(VLOOKUP(K335, Status_Mapping!A:B, 2,), "Not Found")</f>
        <v>Rejected</v>
      </c>
      <c r="N335" s="29" t="str">
        <f>IF(M335="","",M335-B335)</f>
        <v/>
      </c>
      <c r="O335" s="1" t="str">
        <f t="shared" si="22"/>
        <v>Starter</v>
      </c>
      <c r="P335" t="str">
        <f>TEXT(B335, "mmmm")</f>
        <v>July</v>
      </c>
      <c r="Q335" t="str">
        <f t="shared" si="23"/>
        <v>Q3</v>
      </c>
      <c r="R335" t="str">
        <f>IFERROR(VLOOKUP(TRIM(CLEAN(G335)),Sheet14!$A$2:$B$19,2,FALSE),"Not Mapped")</f>
        <v>West</v>
      </c>
    </row>
    <row r="336" spans="1:18">
      <c r="A336" t="str">
        <f t="shared" si="20"/>
        <v>EOS0335</v>
      </c>
      <c r="B336" s="35" t="s">
        <v>773</v>
      </c>
      <c r="C336" s="1" t="s">
        <v>267</v>
      </c>
      <c r="D336" s="1" t="str">
        <f t="shared" si="21"/>
        <v>FB</v>
      </c>
      <c r="E336" s="1" t="s">
        <v>777</v>
      </c>
      <c r="F336" s="1" t="s">
        <v>778</v>
      </c>
      <c r="G336" s="1" t="s">
        <v>223</v>
      </c>
      <c r="H336" s="1" t="s">
        <v>149</v>
      </c>
      <c r="I336" s="1">
        <v>108000</v>
      </c>
      <c r="J336" s="45">
        <v>107334</v>
      </c>
      <c r="K336" s="1" t="s">
        <v>40</v>
      </c>
      <c r="L336" t="str">
        <f>IFERROR(VLOOKUP(K336, Status_Mapping!A:B, 2,), "Not Found")</f>
        <v>Converted</v>
      </c>
      <c r="N336" s="29" t="str">
        <f>IF(M336="","",M336-B336)</f>
        <v/>
      </c>
      <c r="O336" s="1" t="str">
        <f t="shared" si="22"/>
        <v>Starter</v>
      </c>
      <c r="P336" t="str">
        <f>TEXT(B336, "mmmm")</f>
        <v>July</v>
      </c>
      <c r="Q336" t="str">
        <f t="shared" si="23"/>
        <v>Q3</v>
      </c>
      <c r="R336" t="str">
        <f>IFERROR(VLOOKUP(TRIM(CLEAN(G336)),Sheet14!$A$2:$B$19,2,FALSE),"Not Mapped")</f>
        <v>West</v>
      </c>
    </row>
    <row r="337" spans="1:18">
      <c r="A337" t="str">
        <f t="shared" si="20"/>
        <v>EOS0336</v>
      </c>
      <c r="B337" s="35" t="s">
        <v>773</v>
      </c>
      <c r="C337" s="1" t="s">
        <v>267</v>
      </c>
      <c r="D337" s="1" t="str">
        <f t="shared" si="21"/>
        <v>FB</v>
      </c>
      <c r="E337" s="1" t="s">
        <v>779</v>
      </c>
      <c r="F337" s="1" t="s">
        <v>304</v>
      </c>
      <c r="G337" s="1" t="s">
        <v>223</v>
      </c>
      <c r="H337" s="1" t="s">
        <v>149</v>
      </c>
      <c r="I337" s="1">
        <v>108000</v>
      </c>
      <c r="J337" s="45">
        <v>107335</v>
      </c>
      <c r="K337" s="1" t="str">
        <f>TRIM(Cleaned_CRM_Data!H337)</f>
        <v>Rejected</v>
      </c>
      <c r="L337" t="str">
        <f>IFERROR(VLOOKUP(K337, Status_Mapping!A:B, 2,), "Not Found")</f>
        <v>Rejected</v>
      </c>
      <c r="N337" s="29" t="str">
        <f>IF(M337="","",M337-B337)</f>
        <v/>
      </c>
      <c r="O337" s="1" t="str">
        <f t="shared" si="22"/>
        <v>Starter</v>
      </c>
      <c r="P337" t="str">
        <f>TEXT(B337, "mmmm")</f>
        <v>July</v>
      </c>
      <c r="Q337" t="str">
        <f t="shared" si="23"/>
        <v>Q3</v>
      </c>
      <c r="R337" t="str">
        <f>IFERROR(VLOOKUP(TRIM(CLEAN(G337)),Sheet14!$A$2:$B$19,2,FALSE),"Not Mapped")</f>
        <v>West</v>
      </c>
    </row>
    <row r="338" spans="1:18">
      <c r="A338" t="str">
        <f t="shared" si="20"/>
        <v>EOS0337</v>
      </c>
      <c r="B338" s="35" t="s">
        <v>773</v>
      </c>
      <c r="C338" s="1" t="s">
        <v>267</v>
      </c>
      <c r="D338" s="1" t="str">
        <f t="shared" si="21"/>
        <v>FB</v>
      </c>
      <c r="E338" s="1" t="s">
        <v>780</v>
      </c>
      <c r="F338" s="1" t="s">
        <v>271</v>
      </c>
      <c r="G338" s="1" t="s">
        <v>223</v>
      </c>
      <c r="H338" s="1" t="s">
        <v>149</v>
      </c>
      <c r="I338" s="1">
        <v>130000</v>
      </c>
      <c r="J338" s="45">
        <v>107336</v>
      </c>
      <c r="K338" s="1" t="str">
        <f>TRIM(Cleaned_CRM_Data!H338)</f>
        <v>Rejected</v>
      </c>
      <c r="L338" t="str">
        <f>IFERROR(VLOOKUP(K338, Status_Mapping!A:B, 2,), "Not Found")</f>
        <v>Rejected</v>
      </c>
      <c r="N338" s="29" t="str">
        <f>IF(M338="","",M338-B338)</f>
        <v/>
      </c>
      <c r="O338" s="1" t="str">
        <f t="shared" si="22"/>
        <v>Starter</v>
      </c>
      <c r="P338" t="str">
        <f>TEXT(B338, "mmmm")</f>
        <v>July</v>
      </c>
      <c r="Q338" t="str">
        <f t="shared" si="23"/>
        <v>Q3</v>
      </c>
      <c r="R338" t="str">
        <f>IFERROR(VLOOKUP(TRIM(CLEAN(G338)),Sheet14!$A$2:$B$19,2,FALSE),"Not Mapped")</f>
        <v>West</v>
      </c>
    </row>
    <row r="339" spans="1:18">
      <c r="A339" t="str">
        <f t="shared" si="20"/>
        <v>EOS0338</v>
      </c>
      <c r="B339" s="35">
        <v>45854</v>
      </c>
      <c r="C339" s="1" t="s">
        <v>267</v>
      </c>
      <c r="D339" s="1" t="str">
        <f t="shared" si="21"/>
        <v>FB</v>
      </c>
      <c r="E339" s="1" t="s">
        <v>781</v>
      </c>
      <c r="F339" s="1" t="s">
        <v>782</v>
      </c>
      <c r="G339" s="1" t="s">
        <v>783</v>
      </c>
      <c r="H339" s="1" t="s">
        <v>149</v>
      </c>
      <c r="I339" s="1">
        <v>108000</v>
      </c>
      <c r="J339" s="45">
        <v>107337</v>
      </c>
      <c r="K339" s="1" t="str">
        <f>TRIM(Cleaned_CRM_Data!H339)</f>
        <v>Rejected</v>
      </c>
      <c r="L339" t="str">
        <f>IFERROR(VLOOKUP(K339, Status_Mapping!A:B, 2,), "Not Found")</f>
        <v>Rejected</v>
      </c>
      <c r="N339" s="29" t="str">
        <f>IF(M339="","",M339-B339)</f>
        <v/>
      </c>
      <c r="O339" s="1" t="str">
        <f t="shared" si="22"/>
        <v>Starter</v>
      </c>
      <c r="P339" t="str">
        <f>TEXT(B339, "mmmm")</f>
        <v>July</v>
      </c>
      <c r="Q339" t="str">
        <f t="shared" si="23"/>
        <v>Q3</v>
      </c>
      <c r="R339" t="str">
        <f>IFERROR(VLOOKUP(TRIM(CLEAN(G339)),Sheet14!$A$2:$B$19,2,FALSE),"Not Mapped")</f>
        <v>Central</v>
      </c>
    </row>
    <row r="340" spans="1:18">
      <c r="A340" t="str">
        <f t="shared" si="20"/>
        <v>EOS0339</v>
      </c>
      <c r="B340" s="35" t="s">
        <v>773</v>
      </c>
      <c r="C340" s="1" t="s">
        <v>267</v>
      </c>
      <c r="D340" s="1" t="str">
        <f t="shared" si="21"/>
        <v>FB</v>
      </c>
      <c r="E340" s="1" t="s">
        <v>784</v>
      </c>
      <c r="F340" s="1" t="s">
        <v>785</v>
      </c>
      <c r="G340" s="1" t="s">
        <v>235</v>
      </c>
      <c r="H340" s="1" t="s">
        <v>149</v>
      </c>
      <c r="I340" s="1">
        <v>130000</v>
      </c>
      <c r="J340" s="45">
        <v>107338</v>
      </c>
      <c r="K340" s="1" t="s">
        <v>40</v>
      </c>
      <c r="L340" t="str">
        <f>IFERROR(VLOOKUP(K340, Status_Mapping!A:B, 2,), "Not Found")</f>
        <v>Converted</v>
      </c>
      <c r="N340" s="29" t="str">
        <f>IF(M340="","",M340-B340)</f>
        <v/>
      </c>
      <c r="O340" s="1" t="str">
        <f t="shared" si="22"/>
        <v>Starter</v>
      </c>
      <c r="P340" t="str">
        <f>TEXT(B340, "mmmm")</f>
        <v>July</v>
      </c>
      <c r="Q340" t="str">
        <f t="shared" si="23"/>
        <v>Q3</v>
      </c>
      <c r="R340" t="str">
        <f>IFERROR(VLOOKUP(TRIM(CLEAN(G340)),Sheet14!$A$2:$B$19,2,FALSE),"Not Mapped")</f>
        <v>West</v>
      </c>
    </row>
    <row r="341" spans="1:18">
      <c r="A341" t="str">
        <f t="shared" si="20"/>
        <v>EOS0340</v>
      </c>
      <c r="B341" s="35" t="s">
        <v>773</v>
      </c>
      <c r="C341" s="1" t="s">
        <v>267</v>
      </c>
      <c r="D341" s="1" t="str">
        <f t="shared" si="21"/>
        <v>FB</v>
      </c>
      <c r="E341" s="1" t="s">
        <v>786</v>
      </c>
      <c r="F341" s="1" t="s">
        <v>787</v>
      </c>
      <c r="G341" s="1" t="s">
        <v>686</v>
      </c>
      <c r="H341" s="1" t="s">
        <v>149</v>
      </c>
      <c r="I341" s="1">
        <v>108000</v>
      </c>
      <c r="J341" s="45">
        <v>107339</v>
      </c>
      <c r="K341" s="1" t="str">
        <f>TRIM(Cleaned_CRM_Data!H341)</f>
        <v>Rejected</v>
      </c>
      <c r="L341" t="str">
        <f>IFERROR(VLOOKUP(K341, Status_Mapping!A:B, 2,), "Not Found")</f>
        <v>Rejected</v>
      </c>
      <c r="N341" s="29" t="str">
        <f>IF(M341="","",M341-B341)</f>
        <v/>
      </c>
      <c r="O341" s="1" t="str">
        <f t="shared" si="22"/>
        <v>Starter</v>
      </c>
      <c r="P341" t="str">
        <f>TEXT(B341, "mmmm")</f>
        <v>July</v>
      </c>
      <c r="Q341" t="str">
        <f t="shared" si="23"/>
        <v>Q3</v>
      </c>
      <c r="R341" t="str">
        <f>IFERROR(VLOOKUP(TRIM(CLEAN(G341)),Sheet14!$A$2:$B$19,2,FALSE),"Not Mapped")</f>
        <v>North</v>
      </c>
    </row>
    <row r="342" spans="1:18">
      <c r="A342" t="str">
        <f t="shared" si="20"/>
        <v>EOS0341</v>
      </c>
      <c r="B342" s="35" t="s">
        <v>773</v>
      </c>
      <c r="C342" s="1" t="s">
        <v>267</v>
      </c>
      <c r="D342" s="1" t="str">
        <f t="shared" si="21"/>
        <v>FB</v>
      </c>
      <c r="E342" s="1" t="s">
        <v>788</v>
      </c>
      <c r="F342" s="1" t="s">
        <v>789</v>
      </c>
      <c r="G342" s="1" t="s">
        <v>686</v>
      </c>
      <c r="H342" s="1" t="s">
        <v>149</v>
      </c>
      <c r="I342" s="1">
        <v>108000</v>
      </c>
      <c r="J342" s="45">
        <v>107340</v>
      </c>
      <c r="K342" s="1" t="str">
        <f>TRIM(Cleaned_CRM_Data!H342)</f>
        <v>Rejected</v>
      </c>
      <c r="L342" t="str">
        <f>IFERROR(VLOOKUP(K342, Status_Mapping!A:B, 2,), "Not Found")</f>
        <v>Rejected</v>
      </c>
      <c r="N342" s="29" t="str">
        <f>IF(M342="","",M342-B342)</f>
        <v/>
      </c>
      <c r="O342" s="1" t="str">
        <f t="shared" si="22"/>
        <v>Starter</v>
      </c>
      <c r="P342" t="str">
        <f>TEXT(B342, "mmmm")</f>
        <v>July</v>
      </c>
      <c r="Q342" t="str">
        <f t="shared" si="23"/>
        <v>Q3</v>
      </c>
      <c r="R342" t="str">
        <f>IFERROR(VLOOKUP(TRIM(CLEAN(G342)),Sheet14!$A$2:$B$19,2,FALSE),"Not Mapped")</f>
        <v>North</v>
      </c>
    </row>
    <row r="343" spans="1:18">
      <c r="A343" t="str">
        <f t="shared" si="20"/>
        <v>EOS0342</v>
      </c>
      <c r="B343" s="35" t="s">
        <v>773</v>
      </c>
      <c r="C343" s="1" t="s">
        <v>267</v>
      </c>
      <c r="D343" s="1" t="str">
        <f t="shared" si="21"/>
        <v>FB</v>
      </c>
      <c r="E343" s="1" t="s">
        <v>790</v>
      </c>
      <c r="F343" s="1" t="s">
        <v>527</v>
      </c>
      <c r="G343" s="1" t="s">
        <v>686</v>
      </c>
      <c r="H343" s="1" t="s">
        <v>149</v>
      </c>
      <c r="I343" s="1">
        <v>130000</v>
      </c>
      <c r="J343" s="45">
        <v>107341</v>
      </c>
      <c r="K343" s="1" t="str">
        <f>TRIM(Cleaned_CRM_Data!H343)</f>
        <v>Rejected</v>
      </c>
      <c r="L343" t="str">
        <f>IFERROR(VLOOKUP(K343, Status_Mapping!A:B, 2,), "Not Found")</f>
        <v>Rejected</v>
      </c>
      <c r="N343" s="29" t="str">
        <f>IF(M343="","",M343-B343)</f>
        <v/>
      </c>
      <c r="O343" s="1" t="str">
        <f t="shared" si="22"/>
        <v>Starter</v>
      </c>
      <c r="P343" t="str">
        <f>TEXT(B343, "mmmm")</f>
        <v>July</v>
      </c>
      <c r="Q343" t="str">
        <f t="shared" si="23"/>
        <v>Q3</v>
      </c>
      <c r="R343" t="str">
        <f>IFERROR(VLOOKUP(TRIM(CLEAN(G343)),Sheet14!$A$2:$B$19,2,FALSE),"Not Mapped")</f>
        <v>North</v>
      </c>
    </row>
    <row r="344" spans="1:18">
      <c r="A344" t="str">
        <f t="shared" si="20"/>
        <v>EOS0343</v>
      </c>
      <c r="B344" s="35" t="s">
        <v>773</v>
      </c>
      <c r="C344" s="1" t="s">
        <v>267</v>
      </c>
      <c r="D344" s="1" t="str">
        <f t="shared" si="21"/>
        <v>FB</v>
      </c>
      <c r="E344" s="1" t="s">
        <v>791</v>
      </c>
      <c r="F344" s="1" t="s">
        <v>792</v>
      </c>
      <c r="G344" s="1" t="s">
        <v>686</v>
      </c>
      <c r="H344" s="1" t="s">
        <v>149</v>
      </c>
      <c r="I344" s="1">
        <v>130000</v>
      </c>
      <c r="J344" s="45">
        <v>107342</v>
      </c>
      <c r="K344" s="1" t="str">
        <f>TRIM(Cleaned_CRM_Data!H344)</f>
        <v>Rejected</v>
      </c>
      <c r="L344" t="str">
        <f>IFERROR(VLOOKUP(K344, Status_Mapping!A:B, 2,), "Not Found")</f>
        <v>Rejected</v>
      </c>
      <c r="N344" s="29" t="str">
        <f>IF(M344="","",M344-B344)</f>
        <v/>
      </c>
      <c r="O344" s="1" t="str">
        <f t="shared" si="22"/>
        <v>Starter</v>
      </c>
      <c r="P344" t="str">
        <f>TEXT(B344, "mmmm")</f>
        <v>July</v>
      </c>
      <c r="Q344" t="str">
        <f t="shared" si="23"/>
        <v>Q3</v>
      </c>
      <c r="R344" t="str">
        <f>IFERROR(VLOOKUP(TRIM(CLEAN(G344)),Sheet14!$A$2:$B$19,2,FALSE),"Not Mapped")</f>
        <v>North</v>
      </c>
    </row>
    <row r="345" spans="1:18">
      <c r="A345" t="str">
        <f t="shared" si="20"/>
        <v>EOS0344</v>
      </c>
      <c r="B345" s="35" t="s">
        <v>773</v>
      </c>
      <c r="C345" s="1" t="s">
        <v>267</v>
      </c>
      <c r="D345" s="1" t="str">
        <f t="shared" si="21"/>
        <v>FB</v>
      </c>
      <c r="E345" s="1" t="s">
        <v>793</v>
      </c>
      <c r="F345" s="1" t="s">
        <v>794</v>
      </c>
      <c r="G345" s="1" t="s">
        <v>239</v>
      </c>
      <c r="H345" s="1" t="s">
        <v>149</v>
      </c>
      <c r="I345" s="1">
        <v>108000</v>
      </c>
      <c r="J345" s="45">
        <v>107343</v>
      </c>
      <c r="K345" s="1" t="str">
        <f>TRIM(Cleaned_CRM_Data!H345)</f>
        <v>Rejected</v>
      </c>
      <c r="L345" t="str">
        <f>IFERROR(VLOOKUP(K345, Status_Mapping!A:B, 2,), "Not Found")</f>
        <v>Rejected</v>
      </c>
      <c r="N345" s="29" t="str">
        <f>IF(M345="","",M345-B345)</f>
        <v/>
      </c>
      <c r="O345" s="1" t="str">
        <f t="shared" si="22"/>
        <v>Starter</v>
      </c>
      <c r="P345" t="str">
        <f>TEXT(B345, "mmmm")</f>
        <v>July</v>
      </c>
      <c r="Q345" t="str">
        <f t="shared" si="23"/>
        <v>Q3</v>
      </c>
      <c r="R345" t="str">
        <f>IFERROR(VLOOKUP(TRIM(CLEAN(G345)),Sheet14!$A$2:$B$19,2,FALSE),"Not Mapped")</f>
        <v>East</v>
      </c>
    </row>
    <row r="346" spans="1:18">
      <c r="A346" t="str">
        <f t="shared" si="20"/>
        <v>EOS0345</v>
      </c>
      <c r="B346" s="35" t="s">
        <v>773</v>
      </c>
      <c r="C346" s="1" t="s">
        <v>267</v>
      </c>
      <c r="D346" s="1" t="str">
        <f t="shared" si="21"/>
        <v>FB</v>
      </c>
      <c r="E346" s="1" t="s">
        <v>795</v>
      </c>
      <c r="F346" s="1" t="s">
        <v>796</v>
      </c>
      <c r="G346" s="1" t="s">
        <v>223</v>
      </c>
      <c r="H346" s="1" t="s">
        <v>149</v>
      </c>
      <c r="I346" s="1">
        <v>130000</v>
      </c>
      <c r="J346" s="45">
        <v>107344</v>
      </c>
      <c r="K346" s="1" t="str">
        <f>TRIM(Cleaned_CRM_Data!H346)</f>
        <v>Rejected</v>
      </c>
      <c r="L346" t="str">
        <f>IFERROR(VLOOKUP(K346, Status_Mapping!A:B, 2,), "Not Found")</f>
        <v>Rejected</v>
      </c>
      <c r="N346" s="29" t="str">
        <f>IF(M346="","",M346-B346)</f>
        <v/>
      </c>
      <c r="O346" s="1" t="str">
        <f t="shared" si="22"/>
        <v>Starter</v>
      </c>
      <c r="P346" t="str">
        <f>TEXT(B346, "mmmm")</f>
        <v>July</v>
      </c>
      <c r="Q346" t="str">
        <f t="shared" si="23"/>
        <v>Q3</v>
      </c>
      <c r="R346" t="str">
        <f>IFERROR(VLOOKUP(TRIM(CLEAN(G346)),Sheet14!$A$2:$B$19,2,FALSE),"Not Mapped")</f>
        <v>West</v>
      </c>
    </row>
    <row r="347" spans="1:18">
      <c r="A347" t="str">
        <f t="shared" si="20"/>
        <v>EOS0346</v>
      </c>
      <c r="B347" s="35" t="s">
        <v>773</v>
      </c>
      <c r="C347" s="1" t="s">
        <v>267</v>
      </c>
      <c r="D347" s="1" t="str">
        <f t="shared" si="21"/>
        <v>FB</v>
      </c>
      <c r="E347" s="1" t="s">
        <v>797</v>
      </c>
      <c r="F347" s="1" t="s">
        <v>666</v>
      </c>
      <c r="G347" s="1" t="s">
        <v>229</v>
      </c>
      <c r="H347" s="1" t="s">
        <v>149</v>
      </c>
      <c r="I347" s="1">
        <v>177000</v>
      </c>
      <c r="J347" s="45">
        <v>107345</v>
      </c>
      <c r="K347" s="1" t="str">
        <f>TRIM(Cleaned_CRM_Data!H347)</f>
        <v>Rejected</v>
      </c>
      <c r="L347" t="str">
        <f>IFERROR(VLOOKUP(K347, Status_Mapping!A:B, 2,), "Not Found")</f>
        <v>Rejected</v>
      </c>
      <c r="N347" s="29" t="str">
        <f>IF(M347="","",M347-B347)</f>
        <v/>
      </c>
      <c r="O347" s="1" t="str">
        <f t="shared" si="22"/>
        <v>Growth</v>
      </c>
      <c r="P347" t="str">
        <f>TEXT(B347, "mmmm")</f>
        <v>July</v>
      </c>
      <c r="Q347" t="str">
        <f t="shared" si="23"/>
        <v>Q3</v>
      </c>
      <c r="R347" t="str">
        <f>IFERROR(VLOOKUP(TRIM(CLEAN(G347)),Sheet14!$A$2:$B$19,2,FALSE),"Not Mapped")</f>
        <v>West</v>
      </c>
    </row>
    <row r="348" spans="1:18">
      <c r="A348" t="str">
        <f t="shared" si="20"/>
        <v>EOS0347</v>
      </c>
      <c r="B348" s="35" t="s">
        <v>638</v>
      </c>
      <c r="C348" s="1" t="s">
        <v>267</v>
      </c>
      <c r="D348" s="1" t="str">
        <f t="shared" si="21"/>
        <v>FB</v>
      </c>
      <c r="E348" s="1" t="s">
        <v>798</v>
      </c>
      <c r="F348" s="1"/>
      <c r="G348" s="1" t="s">
        <v>223</v>
      </c>
      <c r="H348" s="1" t="s">
        <v>149</v>
      </c>
      <c r="I348" s="1">
        <v>177000</v>
      </c>
      <c r="J348" s="45">
        <v>107346</v>
      </c>
      <c r="K348" s="1" t="str">
        <f>TRIM(Cleaned_CRM_Data!H348)</f>
        <v>Rejected</v>
      </c>
      <c r="L348" t="str">
        <f>IFERROR(VLOOKUP(K348, Status_Mapping!A:B, 2,), "Not Found")</f>
        <v>Rejected</v>
      </c>
      <c r="N348" s="29" t="str">
        <f>IF(M348="","",M348-B348)</f>
        <v/>
      </c>
      <c r="O348" s="1" t="str">
        <f t="shared" si="22"/>
        <v>Growth</v>
      </c>
      <c r="P348" t="str">
        <f>TEXT(B348, "mmmm")</f>
        <v>July</v>
      </c>
      <c r="Q348" t="str">
        <f t="shared" si="23"/>
        <v>Q3</v>
      </c>
      <c r="R348" t="str">
        <f>IFERROR(VLOOKUP(TRIM(CLEAN(G348)),Sheet14!$A$2:$B$19,2,FALSE),"Not Mapped")</f>
        <v>West</v>
      </c>
    </row>
    <row r="349" spans="1:18">
      <c r="A349" t="str">
        <f t="shared" si="20"/>
        <v>EOS0348</v>
      </c>
      <c r="B349" s="35" t="s">
        <v>773</v>
      </c>
      <c r="C349" s="1" t="s">
        <v>267</v>
      </c>
      <c r="D349" s="1" t="str">
        <f t="shared" si="21"/>
        <v>FB</v>
      </c>
      <c r="E349" s="1" t="s">
        <v>799</v>
      </c>
      <c r="F349" s="1" t="s">
        <v>800</v>
      </c>
      <c r="G349" s="1" t="s">
        <v>223</v>
      </c>
      <c r="H349" s="1" t="s">
        <v>149</v>
      </c>
      <c r="I349" s="1">
        <v>108000</v>
      </c>
      <c r="J349" s="45">
        <v>107347</v>
      </c>
      <c r="K349" s="1" t="str">
        <f>TRIM(Cleaned_CRM_Data!H349)</f>
        <v>Rejected</v>
      </c>
      <c r="L349" t="str">
        <f>IFERROR(VLOOKUP(K349, Status_Mapping!A:B, 2,), "Not Found")</f>
        <v>Rejected</v>
      </c>
      <c r="N349" s="29" t="str">
        <f>IF(M349="","",M349-B349)</f>
        <v/>
      </c>
      <c r="O349" s="1" t="str">
        <f t="shared" si="22"/>
        <v>Starter</v>
      </c>
      <c r="P349" t="str">
        <f>TEXT(B349, "mmmm")</f>
        <v>July</v>
      </c>
      <c r="Q349" t="str">
        <f t="shared" si="23"/>
        <v>Q3</v>
      </c>
      <c r="R349" t="str">
        <f>IFERROR(VLOOKUP(TRIM(CLEAN(G349)),Sheet14!$A$2:$B$19,2,FALSE),"Not Mapped")</f>
        <v>West</v>
      </c>
    </row>
    <row r="350" spans="1:18">
      <c r="A350" t="str">
        <f t="shared" si="20"/>
        <v>EOS0349</v>
      </c>
      <c r="B350" s="35" t="s">
        <v>801</v>
      </c>
      <c r="C350" s="1" t="s">
        <v>267</v>
      </c>
      <c r="D350" s="1" t="str">
        <f t="shared" si="21"/>
        <v>FB</v>
      </c>
      <c r="E350" s="1" t="s">
        <v>802</v>
      </c>
      <c r="F350" s="1" t="s">
        <v>412</v>
      </c>
      <c r="G350" s="1" t="s">
        <v>223</v>
      </c>
      <c r="H350" s="1" t="s">
        <v>149</v>
      </c>
      <c r="I350" s="1">
        <v>130000</v>
      </c>
      <c r="J350" s="45">
        <v>107348</v>
      </c>
      <c r="K350" s="1" t="str">
        <f>TRIM(Cleaned_CRM_Data!H350)</f>
        <v>Rejected</v>
      </c>
      <c r="L350" t="str">
        <f>IFERROR(VLOOKUP(K350, Status_Mapping!A:B, 2,), "Not Found")</f>
        <v>Rejected</v>
      </c>
      <c r="N350" s="29" t="str">
        <f>IF(M350="","",M350-B350)</f>
        <v/>
      </c>
      <c r="O350" s="1" t="str">
        <f t="shared" si="22"/>
        <v>Starter</v>
      </c>
      <c r="P350" t="str">
        <f>TEXT(B350, "mmmm")</f>
        <v>July</v>
      </c>
      <c r="Q350" t="str">
        <f t="shared" si="23"/>
        <v>Q3</v>
      </c>
      <c r="R350" t="str">
        <f>IFERROR(VLOOKUP(TRIM(CLEAN(G350)),Sheet14!$A$2:$B$19,2,FALSE),"Not Mapped")</f>
        <v>West</v>
      </c>
    </row>
    <row r="351" spans="1:18">
      <c r="A351" t="str">
        <f t="shared" si="20"/>
        <v>EOS0350</v>
      </c>
      <c r="B351" s="35" t="s">
        <v>801</v>
      </c>
      <c r="C351" s="1" t="s">
        <v>267</v>
      </c>
      <c r="D351" s="1" t="str">
        <f t="shared" si="21"/>
        <v>FB</v>
      </c>
      <c r="E351" s="1" t="s">
        <v>803</v>
      </c>
      <c r="F351" s="1" t="s">
        <v>275</v>
      </c>
      <c r="G351" s="1" t="s">
        <v>223</v>
      </c>
      <c r="H351" s="1" t="s">
        <v>149</v>
      </c>
      <c r="I351" s="1">
        <v>130000</v>
      </c>
      <c r="J351" s="45">
        <v>107349</v>
      </c>
      <c r="K351" s="1" t="str">
        <f>TRIM(Cleaned_CRM_Data!H351)</f>
        <v>Rejected</v>
      </c>
      <c r="L351" t="str">
        <f>IFERROR(VLOOKUP(K351, Status_Mapping!A:B, 2,), "Not Found")</f>
        <v>Rejected</v>
      </c>
      <c r="N351" s="29" t="str">
        <f>IF(M351="","",M351-B351)</f>
        <v/>
      </c>
      <c r="O351" s="1" t="str">
        <f t="shared" si="22"/>
        <v>Starter</v>
      </c>
      <c r="P351" t="str">
        <f>TEXT(B351, "mmmm")</f>
        <v>July</v>
      </c>
      <c r="Q351" t="str">
        <f t="shared" si="23"/>
        <v>Q3</v>
      </c>
      <c r="R351" t="str">
        <f>IFERROR(VLOOKUP(TRIM(CLEAN(G351)),Sheet14!$A$2:$B$19,2,FALSE),"Not Mapped")</f>
        <v>West</v>
      </c>
    </row>
    <row r="352" spans="1:18">
      <c r="A352" t="str">
        <f t="shared" si="20"/>
        <v>EOS0351</v>
      </c>
      <c r="B352" s="35" t="s">
        <v>801</v>
      </c>
      <c r="C352" s="1" t="s">
        <v>267</v>
      </c>
      <c r="D352" s="1" t="str">
        <f t="shared" si="21"/>
        <v>FB</v>
      </c>
      <c r="E352" s="1" t="s">
        <v>804</v>
      </c>
      <c r="F352" s="1" t="s">
        <v>304</v>
      </c>
      <c r="G352" s="1" t="s">
        <v>223</v>
      </c>
      <c r="H352" s="1" t="s">
        <v>149</v>
      </c>
      <c r="I352" s="1">
        <v>108000</v>
      </c>
      <c r="J352" s="45">
        <v>107350</v>
      </c>
      <c r="K352" s="1" t="str">
        <f>TRIM(Cleaned_CRM_Data!H352)</f>
        <v>Rejected</v>
      </c>
      <c r="L352" t="str">
        <f>IFERROR(VLOOKUP(K352, Status_Mapping!A:B, 2,), "Not Found")</f>
        <v>Rejected</v>
      </c>
      <c r="N352" s="29" t="str">
        <f>IF(M352="","",M352-B352)</f>
        <v/>
      </c>
      <c r="O352" s="1" t="str">
        <f t="shared" si="22"/>
        <v>Starter</v>
      </c>
      <c r="P352" t="str">
        <f>TEXT(B352, "mmmm")</f>
        <v>July</v>
      </c>
      <c r="Q352" t="str">
        <f t="shared" si="23"/>
        <v>Q3</v>
      </c>
      <c r="R352" t="str">
        <f>IFERROR(VLOOKUP(TRIM(CLEAN(G352)),Sheet14!$A$2:$B$19,2,FALSE),"Not Mapped")</f>
        <v>West</v>
      </c>
    </row>
    <row r="353" spans="1:18">
      <c r="A353" t="str">
        <f t="shared" si="20"/>
        <v>EOS0352</v>
      </c>
      <c r="B353" s="35" t="s">
        <v>801</v>
      </c>
      <c r="C353" s="1" t="s">
        <v>267</v>
      </c>
      <c r="D353" s="1" t="str">
        <f t="shared" si="21"/>
        <v>FB</v>
      </c>
      <c r="E353" s="1" t="s">
        <v>805</v>
      </c>
      <c r="F353" s="1" t="s">
        <v>316</v>
      </c>
      <c r="G353" s="1" t="s">
        <v>223</v>
      </c>
      <c r="H353" s="1" t="s">
        <v>149</v>
      </c>
      <c r="I353" s="1">
        <v>108000</v>
      </c>
      <c r="J353" s="45">
        <v>107351</v>
      </c>
      <c r="K353" s="1" t="str">
        <f>TRIM(Cleaned_CRM_Data!H353)</f>
        <v>Rejected</v>
      </c>
      <c r="L353" t="str">
        <f>IFERROR(VLOOKUP(K353, Status_Mapping!A:B, 2,), "Not Found")</f>
        <v>Rejected</v>
      </c>
      <c r="N353" s="29" t="str">
        <f>IF(M353="","",M353-B353)</f>
        <v/>
      </c>
      <c r="O353" s="1" t="str">
        <f t="shared" si="22"/>
        <v>Starter</v>
      </c>
      <c r="P353" t="str">
        <f>TEXT(B353, "mmmm")</f>
        <v>July</v>
      </c>
      <c r="Q353" t="str">
        <f t="shared" si="23"/>
        <v>Q3</v>
      </c>
      <c r="R353" t="str">
        <f>IFERROR(VLOOKUP(TRIM(CLEAN(G353)),Sheet14!$A$2:$B$19,2,FALSE),"Not Mapped")</f>
        <v>West</v>
      </c>
    </row>
    <row r="354" spans="1:18">
      <c r="A354" t="str">
        <f t="shared" si="20"/>
        <v>EOS0353</v>
      </c>
      <c r="B354" s="35" t="s">
        <v>801</v>
      </c>
      <c r="C354" s="1" t="s">
        <v>267</v>
      </c>
      <c r="D354" s="1" t="str">
        <f t="shared" si="21"/>
        <v>FB</v>
      </c>
      <c r="E354" s="1" t="s">
        <v>806</v>
      </c>
      <c r="F354" s="1" t="s">
        <v>807</v>
      </c>
      <c r="G354" s="1" t="s">
        <v>223</v>
      </c>
      <c r="H354" s="1" t="s">
        <v>149</v>
      </c>
      <c r="I354" s="1">
        <v>130000</v>
      </c>
      <c r="J354" s="45">
        <v>107352</v>
      </c>
      <c r="K354" s="1" t="str">
        <f>TRIM(Cleaned_CRM_Data!H354)</f>
        <v>Rejected</v>
      </c>
      <c r="L354" t="str">
        <f>IFERROR(VLOOKUP(K354, Status_Mapping!A:B, 2,), "Not Found")</f>
        <v>Rejected</v>
      </c>
      <c r="N354" s="29" t="str">
        <f>IF(M354="","",M354-B354)</f>
        <v/>
      </c>
      <c r="O354" s="1" t="str">
        <f t="shared" si="22"/>
        <v>Starter</v>
      </c>
      <c r="P354" t="str">
        <f>TEXT(B354, "mmmm")</f>
        <v>July</v>
      </c>
      <c r="Q354" t="str">
        <f t="shared" si="23"/>
        <v>Q3</v>
      </c>
      <c r="R354" t="str">
        <f>IFERROR(VLOOKUP(TRIM(CLEAN(G354)),Sheet14!$A$2:$B$19,2,FALSE),"Not Mapped")</f>
        <v>West</v>
      </c>
    </row>
    <row r="355" spans="1:18">
      <c r="A355" t="str">
        <f t="shared" si="20"/>
        <v>EOS0354</v>
      </c>
      <c r="B355" s="35" t="s">
        <v>801</v>
      </c>
      <c r="C355" s="1" t="s">
        <v>267</v>
      </c>
      <c r="D355" s="1" t="str">
        <f t="shared" si="21"/>
        <v>FB</v>
      </c>
      <c r="E355" s="1" t="s">
        <v>808</v>
      </c>
      <c r="F355" s="1" t="s">
        <v>271</v>
      </c>
      <c r="G355" s="1" t="s">
        <v>223</v>
      </c>
      <c r="H355" s="1" t="s">
        <v>149</v>
      </c>
      <c r="I355" s="1">
        <v>177000</v>
      </c>
      <c r="J355" s="45">
        <v>107353</v>
      </c>
      <c r="K355" s="1" t="str">
        <f>TRIM(Cleaned_CRM_Data!H355)</f>
        <v>Rejected</v>
      </c>
      <c r="L355" t="str">
        <f>IFERROR(VLOOKUP(K355, Status_Mapping!A:B, 2,), "Not Found")</f>
        <v>Rejected</v>
      </c>
      <c r="N355" s="29" t="str">
        <f>IF(M355="","",M355-B355)</f>
        <v/>
      </c>
      <c r="O355" s="1" t="str">
        <f t="shared" si="22"/>
        <v>Growth</v>
      </c>
      <c r="P355" t="str">
        <f>TEXT(B355, "mmmm")</f>
        <v>July</v>
      </c>
      <c r="Q355" t="str">
        <f t="shared" si="23"/>
        <v>Q3</v>
      </c>
      <c r="R355" t="str">
        <f>IFERROR(VLOOKUP(TRIM(CLEAN(G355)),Sheet14!$A$2:$B$19,2,FALSE),"Not Mapped")</f>
        <v>West</v>
      </c>
    </row>
    <row r="356" spans="1:18">
      <c r="A356" t="str">
        <f t="shared" si="20"/>
        <v>EOS0355</v>
      </c>
      <c r="B356" s="35" t="s">
        <v>801</v>
      </c>
      <c r="C356" s="1" t="s">
        <v>267</v>
      </c>
      <c r="D356" s="1" t="str">
        <f t="shared" si="21"/>
        <v>FB</v>
      </c>
      <c r="E356" s="1" t="s">
        <v>809</v>
      </c>
      <c r="F356" s="1" t="s">
        <v>354</v>
      </c>
      <c r="G356" s="1" t="s">
        <v>223</v>
      </c>
      <c r="H356" s="1" t="s">
        <v>149</v>
      </c>
      <c r="I356" s="1">
        <v>130000</v>
      </c>
      <c r="J356" s="45">
        <v>107354</v>
      </c>
      <c r="K356" s="1" t="str">
        <f>TRIM(Cleaned_CRM_Data!H356)</f>
        <v>Rejected</v>
      </c>
      <c r="L356" t="str">
        <f>IFERROR(VLOOKUP(K356, Status_Mapping!A:B, 2,), "Not Found")</f>
        <v>Rejected</v>
      </c>
      <c r="N356" s="29" t="str">
        <f>IF(M356="","",M356-B356)</f>
        <v/>
      </c>
      <c r="O356" s="1" t="str">
        <f t="shared" si="22"/>
        <v>Starter</v>
      </c>
      <c r="P356" t="str">
        <f>TEXT(B356, "mmmm")</f>
        <v>July</v>
      </c>
      <c r="Q356" t="str">
        <f t="shared" si="23"/>
        <v>Q3</v>
      </c>
      <c r="R356" t="str">
        <f>IFERROR(VLOOKUP(TRIM(CLEAN(G356)),Sheet14!$A$2:$B$19,2,FALSE),"Not Mapped")</f>
        <v>West</v>
      </c>
    </row>
    <row r="357" spans="1:18">
      <c r="A357" t="str">
        <f t="shared" si="20"/>
        <v>EOS0356</v>
      </c>
      <c r="B357" s="35" t="s">
        <v>801</v>
      </c>
      <c r="C357" s="1" t="s">
        <v>267</v>
      </c>
      <c r="D357" s="1" t="str">
        <f t="shared" si="21"/>
        <v>FB</v>
      </c>
      <c r="E357" s="1" t="s">
        <v>810</v>
      </c>
      <c r="F357" s="1" t="s">
        <v>811</v>
      </c>
      <c r="G357" s="1" t="s">
        <v>812</v>
      </c>
      <c r="H357" s="1" t="s">
        <v>149</v>
      </c>
      <c r="I357" s="1">
        <v>108000</v>
      </c>
      <c r="J357" s="45">
        <v>107355</v>
      </c>
      <c r="K357" s="1" t="str">
        <f>TRIM(Cleaned_CRM_Data!H357)</f>
        <v>Rejected</v>
      </c>
      <c r="L357" t="str">
        <f>IFERROR(VLOOKUP(K357, Status_Mapping!A:B, 2,), "Not Found")</f>
        <v>Rejected</v>
      </c>
      <c r="N357" s="29" t="str">
        <f>IF(M357="","",M357-B357)</f>
        <v/>
      </c>
      <c r="O357" s="1" t="str">
        <f t="shared" si="22"/>
        <v>Starter</v>
      </c>
      <c r="P357" t="str">
        <f>TEXT(B357, "mmmm")</f>
        <v>July</v>
      </c>
      <c r="Q357" t="str">
        <f t="shared" si="23"/>
        <v>Q3</v>
      </c>
      <c r="R357" t="str">
        <f>IFERROR(VLOOKUP(TRIM(CLEAN(G357)),Sheet14!$A$2:$B$19,2,FALSE),"Not Mapped")</f>
        <v>North</v>
      </c>
    </row>
    <row r="358" spans="1:18">
      <c r="A358" t="str">
        <f t="shared" si="20"/>
        <v>EOS0357</v>
      </c>
      <c r="B358" s="35" t="s">
        <v>801</v>
      </c>
      <c r="C358" s="1" t="s">
        <v>267</v>
      </c>
      <c r="D358" s="1" t="str">
        <f t="shared" si="21"/>
        <v>FB</v>
      </c>
      <c r="E358" s="1" t="s">
        <v>813</v>
      </c>
      <c r="F358" s="1"/>
      <c r="G358" s="1" t="s">
        <v>783</v>
      </c>
      <c r="H358" s="1" t="s">
        <v>149</v>
      </c>
      <c r="I358" s="1">
        <v>108000</v>
      </c>
      <c r="J358" s="45">
        <v>107356</v>
      </c>
      <c r="K358" s="1" t="str">
        <f>TRIM(Cleaned_CRM_Data!H358)</f>
        <v>Rejected</v>
      </c>
      <c r="L358" t="str">
        <f>IFERROR(VLOOKUP(K358, Status_Mapping!A:B, 2,), "Not Found")</f>
        <v>Rejected</v>
      </c>
      <c r="N358" s="29" t="str">
        <f>IF(M358="","",M358-B358)</f>
        <v/>
      </c>
      <c r="O358" s="1" t="str">
        <f t="shared" si="22"/>
        <v>Starter</v>
      </c>
      <c r="P358" t="str">
        <f>TEXT(B358, "mmmm")</f>
        <v>July</v>
      </c>
      <c r="Q358" t="str">
        <f t="shared" si="23"/>
        <v>Q3</v>
      </c>
      <c r="R358" t="str">
        <f>IFERROR(VLOOKUP(TRIM(CLEAN(G358)),Sheet14!$A$2:$B$19,2,FALSE),"Not Mapped")</f>
        <v>Central</v>
      </c>
    </row>
    <row r="359" spans="1:18">
      <c r="A359" t="str">
        <f t="shared" si="20"/>
        <v>EOS0358</v>
      </c>
      <c r="B359" s="35" t="s">
        <v>638</v>
      </c>
      <c r="C359" s="1" t="s">
        <v>267</v>
      </c>
      <c r="D359" s="1" t="str">
        <f t="shared" si="21"/>
        <v>FB</v>
      </c>
      <c r="E359" s="1" t="s">
        <v>814</v>
      </c>
      <c r="F359" s="1" t="s">
        <v>778</v>
      </c>
      <c r="G359" s="1" t="s">
        <v>223</v>
      </c>
      <c r="H359" s="1" t="s">
        <v>149</v>
      </c>
      <c r="I359" s="1">
        <v>108000</v>
      </c>
      <c r="J359" s="45">
        <v>107357</v>
      </c>
      <c r="K359" s="1" t="str">
        <f>TRIM(Cleaned_CRM_Data!H359)</f>
        <v>Rejected</v>
      </c>
      <c r="L359" t="str">
        <f>IFERROR(VLOOKUP(K359, Status_Mapping!A:B, 2,), "Not Found")</f>
        <v>Rejected</v>
      </c>
      <c r="N359" s="29" t="str">
        <f>IF(M359="","",M359-B359)</f>
        <v/>
      </c>
      <c r="O359" s="1" t="str">
        <f t="shared" si="22"/>
        <v>Starter</v>
      </c>
      <c r="P359" t="str">
        <f>TEXT(B359, "mmmm")</f>
        <v>July</v>
      </c>
      <c r="Q359" t="str">
        <f t="shared" si="23"/>
        <v>Q3</v>
      </c>
      <c r="R359" t="str">
        <f>IFERROR(VLOOKUP(TRIM(CLEAN(G359)),Sheet14!$A$2:$B$19,2,FALSE),"Not Mapped")</f>
        <v>West</v>
      </c>
    </row>
    <row r="360" spans="1:18">
      <c r="A360" t="str">
        <f t="shared" si="20"/>
        <v>EOS0359</v>
      </c>
      <c r="B360" s="35" t="s">
        <v>638</v>
      </c>
      <c r="C360" s="1" t="s">
        <v>267</v>
      </c>
      <c r="D360" s="1" t="str">
        <f t="shared" si="21"/>
        <v>FB</v>
      </c>
      <c r="E360" s="1" t="s">
        <v>815</v>
      </c>
      <c r="F360" s="1" t="s">
        <v>304</v>
      </c>
      <c r="G360" s="1" t="s">
        <v>223</v>
      </c>
      <c r="H360" s="1" t="s">
        <v>149</v>
      </c>
      <c r="I360" s="1">
        <v>308000</v>
      </c>
      <c r="J360" s="45">
        <v>107358</v>
      </c>
      <c r="K360" s="1" t="str">
        <f>TRIM(Cleaned_CRM_Data!H360)</f>
        <v>Rejected</v>
      </c>
      <c r="L360" t="str">
        <f>IFERROR(VLOOKUP(K360, Status_Mapping!A:B, 2,), "Not Found")</f>
        <v>Rejected</v>
      </c>
      <c r="N360" s="29" t="str">
        <f>IF(M360="","",M360-B360)</f>
        <v/>
      </c>
      <c r="O360" s="1" t="str">
        <f t="shared" si="22"/>
        <v>Premium</v>
      </c>
      <c r="P360" t="str">
        <f>TEXT(B360, "mmmm")</f>
        <v>July</v>
      </c>
      <c r="Q360" t="str">
        <f t="shared" si="23"/>
        <v>Q3</v>
      </c>
      <c r="R360" t="str">
        <f>IFERROR(VLOOKUP(TRIM(CLEAN(G360)),Sheet14!$A$2:$B$19,2,FALSE),"Not Mapped")</f>
        <v>West</v>
      </c>
    </row>
    <row r="361" spans="1:18">
      <c r="A361" t="str">
        <f t="shared" si="20"/>
        <v>EOS0360</v>
      </c>
      <c r="B361" s="35" t="s">
        <v>638</v>
      </c>
      <c r="C361" s="1" t="s">
        <v>267</v>
      </c>
      <c r="D361" s="1" t="str">
        <f t="shared" si="21"/>
        <v>FB</v>
      </c>
      <c r="E361" s="1" t="s">
        <v>816</v>
      </c>
      <c r="F361" s="1" t="s">
        <v>817</v>
      </c>
      <c r="G361" s="1" t="s">
        <v>223</v>
      </c>
      <c r="H361" s="1" t="s">
        <v>149</v>
      </c>
      <c r="I361" s="1">
        <v>177000</v>
      </c>
      <c r="J361" s="45">
        <v>107359</v>
      </c>
      <c r="K361" s="1" t="str">
        <f>TRIM(Cleaned_CRM_Data!H361)</f>
        <v>Rejected</v>
      </c>
      <c r="L361" t="str">
        <f>IFERROR(VLOOKUP(K361, Status_Mapping!A:B, 2,), "Not Found")</f>
        <v>Rejected</v>
      </c>
      <c r="N361" s="29" t="str">
        <f>IF(M361="","",M361-B361)</f>
        <v/>
      </c>
      <c r="O361" s="1" t="str">
        <f t="shared" si="22"/>
        <v>Growth</v>
      </c>
      <c r="P361" t="str">
        <f>TEXT(B361, "mmmm")</f>
        <v>July</v>
      </c>
      <c r="Q361" t="str">
        <f t="shared" si="23"/>
        <v>Q3</v>
      </c>
      <c r="R361" t="str">
        <f>IFERROR(VLOOKUP(TRIM(CLEAN(G361)),Sheet14!$A$2:$B$19,2,FALSE),"Not Mapped")</f>
        <v>West</v>
      </c>
    </row>
    <row r="362" spans="1:18">
      <c r="A362" t="str">
        <f t="shared" si="20"/>
        <v>EOS0361</v>
      </c>
      <c r="B362" s="35" t="s">
        <v>638</v>
      </c>
      <c r="C362" s="1" t="s">
        <v>267</v>
      </c>
      <c r="D362" s="1" t="str">
        <f t="shared" si="21"/>
        <v>FB</v>
      </c>
      <c r="E362" s="1" t="s">
        <v>818</v>
      </c>
      <c r="F362" s="1" t="s">
        <v>471</v>
      </c>
      <c r="G362" s="1" t="s">
        <v>223</v>
      </c>
      <c r="H362" s="1" t="s">
        <v>149</v>
      </c>
      <c r="I362" s="1">
        <v>130000</v>
      </c>
      <c r="J362" s="45">
        <v>107360</v>
      </c>
      <c r="K362" s="1" t="str">
        <f>TRIM(Cleaned_CRM_Data!H362)</f>
        <v>Rejected</v>
      </c>
      <c r="L362" t="str">
        <f>IFERROR(VLOOKUP(K362, Status_Mapping!A:B, 2,), "Not Found")</f>
        <v>Rejected</v>
      </c>
      <c r="N362" s="29" t="str">
        <f>IF(M362="","",M362-B362)</f>
        <v/>
      </c>
      <c r="O362" s="1" t="str">
        <f t="shared" si="22"/>
        <v>Starter</v>
      </c>
      <c r="P362" t="str">
        <f>TEXT(B362, "mmmm")</f>
        <v>July</v>
      </c>
      <c r="Q362" t="str">
        <f t="shared" si="23"/>
        <v>Q3</v>
      </c>
      <c r="R362" t="str">
        <f>IFERROR(VLOOKUP(TRIM(CLEAN(G362)),Sheet14!$A$2:$B$19,2,FALSE),"Not Mapped")</f>
        <v>West</v>
      </c>
    </row>
    <row r="363" spans="1:18">
      <c r="A363" t="str">
        <f t="shared" si="20"/>
        <v>EOS0362</v>
      </c>
      <c r="B363" s="35" t="s">
        <v>638</v>
      </c>
      <c r="C363" s="1" t="s">
        <v>267</v>
      </c>
      <c r="D363" s="1" t="str">
        <f t="shared" si="21"/>
        <v>FB</v>
      </c>
      <c r="E363" s="1" t="s">
        <v>819</v>
      </c>
      <c r="F363" s="1" t="s">
        <v>820</v>
      </c>
      <c r="G363" s="1" t="s">
        <v>223</v>
      </c>
      <c r="H363" s="1" t="s">
        <v>149</v>
      </c>
      <c r="I363" s="1">
        <v>108000</v>
      </c>
      <c r="J363" s="45">
        <v>107361</v>
      </c>
      <c r="K363" s="1" t="str">
        <f>TRIM(Cleaned_CRM_Data!H363)</f>
        <v>Rejected</v>
      </c>
      <c r="L363" t="str">
        <f>IFERROR(VLOOKUP(K363, Status_Mapping!A:B, 2,), "Not Found")</f>
        <v>Rejected</v>
      </c>
      <c r="N363" s="29" t="str">
        <f>IF(M363="","",M363-B363)</f>
        <v/>
      </c>
      <c r="O363" s="1" t="str">
        <f t="shared" si="22"/>
        <v>Starter</v>
      </c>
      <c r="P363" t="str">
        <f>TEXT(B363, "mmmm")</f>
        <v>July</v>
      </c>
      <c r="Q363" t="str">
        <f t="shared" si="23"/>
        <v>Q3</v>
      </c>
      <c r="R363" t="str">
        <f>IFERROR(VLOOKUP(TRIM(CLEAN(G363)),Sheet14!$A$2:$B$19,2,FALSE),"Not Mapped")</f>
        <v>West</v>
      </c>
    </row>
    <row r="364" spans="1:18">
      <c r="A364" t="str">
        <f t="shared" si="20"/>
        <v>EOS0363</v>
      </c>
      <c r="B364" s="35" t="s">
        <v>638</v>
      </c>
      <c r="C364" s="1" t="s">
        <v>267</v>
      </c>
      <c r="D364" s="1" t="str">
        <f t="shared" si="21"/>
        <v>FB</v>
      </c>
      <c r="E364" s="1" t="s">
        <v>821</v>
      </c>
      <c r="F364" s="1" t="s">
        <v>296</v>
      </c>
      <c r="G364" s="1" t="s">
        <v>223</v>
      </c>
      <c r="H364" s="1" t="s">
        <v>149</v>
      </c>
      <c r="I364" s="1">
        <v>177000</v>
      </c>
      <c r="J364" s="45">
        <v>107362</v>
      </c>
      <c r="K364" s="1" t="str">
        <f>TRIM(Cleaned_CRM_Data!H364)</f>
        <v>Rejected</v>
      </c>
      <c r="L364" t="str">
        <f>IFERROR(VLOOKUP(K364, Status_Mapping!A:B, 2,), "Not Found")</f>
        <v>Rejected</v>
      </c>
      <c r="N364" s="29" t="str">
        <f>IF(M364="","",M364-B364)</f>
        <v/>
      </c>
      <c r="O364" s="1" t="str">
        <f t="shared" si="22"/>
        <v>Growth</v>
      </c>
      <c r="P364" t="str">
        <f>TEXT(B364, "mmmm")</f>
        <v>July</v>
      </c>
      <c r="Q364" t="str">
        <f t="shared" si="23"/>
        <v>Q3</v>
      </c>
      <c r="R364" t="str">
        <f>IFERROR(VLOOKUP(TRIM(CLEAN(G364)),Sheet14!$A$2:$B$19,2,FALSE),"Not Mapped")</f>
        <v>West</v>
      </c>
    </row>
    <row r="365" spans="1:18">
      <c r="A365" t="str">
        <f t="shared" si="20"/>
        <v>EOS0364</v>
      </c>
      <c r="B365" s="35" t="s">
        <v>638</v>
      </c>
      <c r="C365" s="1" t="s">
        <v>267</v>
      </c>
      <c r="D365" s="1" t="str">
        <f t="shared" si="21"/>
        <v>FB</v>
      </c>
      <c r="E365" s="1" t="s">
        <v>822</v>
      </c>
      <c r="F365" s="1" t="s">
        <v>374</v>
      </c>
      <c r="G365" s="1" t="s">
        <v>223</v>
      </c>
      <c r="H365" s="1" t="s">
        <v>149</v>
      </c>
      <c r="I365" s="1">
        <v>108000</v>
      </c>
      <c r="J365" s="45">
        <v>107363</v>
      </c>
      <c r="K365" s="1" t="str">
        <f>TRIM(Cleaned_CRM_Data!H365)</f>
        <v>Rejected</v>
      </c>
      <c r="L365" t="str">
        <f>IFERROR(VLOOKUP(K365, Status_Mapping!A:B, 2,), "Not Found")</f>
        <v>Rejected</v>
      </c>
      <c r="N365" s="29" t="str">
        <f>IF(M365="","",M365-B365)</f>
        <v/>
      </c>
      <c r="O365" s="1" t="str">
        <f t="shared" si="22"/>
        <v>Starter</v>
      </c>
      <c r="P365" t="str">
        <f>TEXT(B365, "mmmm")</f>
        <v>July</v>
      </c>
      <c r="Q365" t="str">
        <f t="shared" si="23"/>
        <v>Q3</v>
      </c>
      <c r="R365" t="str">
        <f>IFERROR(VLOOKUP(TRIM(CLEAN(G365)),Sheet14!$A$2:$B$19,2,FALSE),"Not Mapped")</f>
        <v>West</v>
      </c>
    </row>
    <row r="366" spans="1:18">
      <c r="A366" t="str">
        <f t="shared" si="20"/>
        <v>EOS0365</v>
      </c>
      <c r="B366" s="35" t="s">
        <v>638</v>
      </c>
      <c r="C366" s="1" t="s">
        <v>267</v>
      </c>
      <c r="D366" s="1" t="str">
        <f t="shared" si="21"/>
        <v>FB</v>
      </c>
      <c r="E366" s="1" t="s">
        <v>823</v>
      </c>
      <c r="F366" s="1" t="s">
        <v>269</v>
      </c>
      <c r="G366" s="1" t="s">
        <v>223</v>
      </c>
      <c r="H366" s="1" t="s">
        <v>149</v>
      </c>
      <c r="I366" s="1">
        <v>177000</v>
      </c>
      <c r="J366" s="45">
        <v>107364</v>
      </c>
      <c r="K366" s="1" t="str">
        <f>TRIM(Cleaned_CRM_Data!H366)</f>
        <v>Rejected</v>
      </c>
      <c r="L366" t="str">
        <f>IFERROR(VLOOKUP(K366, Status_Mapping!A:B, 2,), "Not Found")</f>
        <v>Rejected</v>
      </c>
      <c r="N366" s="29" t="str">
        <f>IF(M366="","",M366-B366)</f>
        <v/>
      </c>
      <c r="O366" s="1" t="str">
        <f t="shared" si="22"/>
        <v>Growth</v>
      </c>
      <c r="P366" t="str">
        <f>TEXT(B366, "mmmm")</f>
        <v>July</v>
      </c>
      <c r="Q366" t="str">
        <f t="shared" si="23"/>
        <v>Q3</v>
      </c>
      <c r="R366" t="str">
        <f>IFERROR(VLOOKUP(TRIM(CLEAN(G366)),Sheet14!$A$2:$B$19,2,FALSE),"Not Mapped")</f>
        <v>West</v>
      </c>
    </row>
    <row r="367" spans="1:18">
      <c r="A367" t="str">
        <f t="shared" si="20"/>
        <v>EOS0366</v>
      </c>
      <c r="B367" s="35" t="s">
        <v>824</v>
      </c>
      <c r="C367" s="1" t="s">
        <v>267</v>
      </c>
      <c r="D367" s="1" t="str">
        <f t="shared" si="21"/>
        <v>FB</v>
      </c>
      <c r="E367" s="1" t="s">
        <v>825</v>
      </c>
      <c r="F367" s="1" t="s">
        <v>321</v>
      </c>
      <c r="G367" s="1" t="s">
        <v>223</v>
      </c>
      <c r="H367" s="1" t="s">
        <v>149</v>
      </c>
      <c r="I367" s="1">
        <v>108000</v>
      </c>
      <c r="J367" s="45">
        <v>107365</v>
      </c>
      <c r="K367" s="1" t="str">
        <f>TRIM(Cleaned_CRM_Data!H367)</f>
        <v>Rejected</v>
      </c>
      <c r="L367" t="str">
        <f>IFERROR(VLOOKUP(K367, Status_Mapping!A:B, 2,), "Not Found")</f>
        <v>Rejected</v>
      </c>
      <c r="N367" s="29" t="str">
        <f>IF(M367="","",M367-B367)</f>
        <v/>
      </c>
      <c r="O367" s="1" t="str">
        <f t="shared" si="22"/>
        <v>Starter</v>
      </c>
      <c r="P367" t="str">
        <f>TEXT(B367, "mmmm")</f>
        <v>July</v>
      </c>
      <c r="Q367" t="str">
        <f t="shared" si="23"/>
        <v>Q3</v>
      </c>
      <c r="R367" t="str">
        <f>IFERROR(VLOOKUP(TRIM(CLEAN(G367)),Sheet14!$A$2:$B$19,2,FALSE),"Not Mapped")</f>
        <v>West</v>
      </c>
    </row>
    <row r="368" spans="1:18">
      <c r="A368" t="str">
        <f t="shared" si="20"/>
        <v>EOS0367</v>
      </c>
      <c r="B368" s="35" t="s">
        <v>824</v>
      </c>
      <c r="C368" s="1" t="s">
        <v>267</v>
      </c>
      <c r="D368" s="1" t="str">
        <f t="shared" si="21"/>
        <v>FB</v>
      </c>
      <c r="E368" s="1" t="s">
        <v>826</v>
      </c>
      <c r="F368" s="1" t="s">
        <v>300</v>
      </c>
      <c r="G368" s="1" t="s">
        <v>223</v>
      </c>
      <c r="H368" s="1" t="s">
        <v>149</v>
      </c>
      <c r="I368" s="1">
        <v>130000</v>
      </c>
      <c r="J368" s="45">
        <v>107366</v>
      </c>
      <c r="K368" s="1" t="str">
        <f>TRIM(Cleaned_CRM_Data!H368)</f>
        <v>Rejected</v>
      </c>
      <c r="L368" t="str">
        <f>IFERROR(VLOOKUP(K368, Status_Mapping!A:B, 2,), "Not Found")</f>
        <v>Rejected</v>
      </c>
      <c r="N368" s="29" t="str">
        <f>IF(M368="","",M368-B368)</f>
        <v/>
      </c>
      <c r="O368" s="1" t="str">
        <f t="shared" si="22"/>
        <v>Starter</v>
      </c>
      <c r="P368" t="str">
        <f>TEXT(B368, "mmmm")</f>
        <v>July</v>
      </c>
      <c r="Q368" t="str">
        <f t="shared" si="23"/>
        <v>Q3</v>
      </c>
      <c r="R368" t="str">
        <f>IFERROR(VLOOKUP(TRIM(CLEAN(G368)),Sheet14!$A$2:$B$19,2,FALSE),"Not Mapped")</f>
        <v>West</v>
      </c>
    </row>
    <row r="369" spans="1:18">
      <c r="A369" t="str">
        <f t="shared" si="20"/>
        <v>EOS0368</v>
      </c>
      <c r="B369" s="35" t="s">
        <v>824</v>
      </c>
      <c r="C369" s="1" t="s">
        <v>267</v>
      </c>
      <c r="D369" s="1" t="str">
        <f t="shared" si="21"/>
        <v>FB</v>
      </c>
      <c r="E369" s="1" t="s">
        <v>827</v>
      </c>
      <c r="F369" s="1" t="s">
        <v>601</v>
      </c>
      <c r="G369" s="1" t="s">
        <v>223</v>
      </c>
      <c r="H369" s="1" t="s">
        <v>149</v>
      </c>
      <c r="I369" s="1">
        <v>130000</v>
      </c>
      <c r="J369" s="45">
        <v>107367</v>
      </c>
      <c r="K369" s="1" t="str">
        <f>TRIM(Cleaned_CRM_Data!H369)</f>
        <v>Rejected</v>
      </c>
      <c r="L369" t="str">
        <f>IFERROR(VLOOKUP(K369, Status_Mapping!A:B, 2,), "Not Found")</f>
        <v>Rejected</v>
      </c>
      <c r="N369" s="29" t="str">
        <f>IF(M369="","",M369-B369)</f>
        <v/>
      </c>
      <c r="O369" s="1" t="str">
        <f t="shared" si="22"/>
        <v>Starter</v>
      </c>
      <c r="P369" t="str">
        <f>TEXT(B369, "mmmm")</f>
        <v>July</v>
      </c>
      <c r="Q369" t="str">
        <f t="shared" si="23"/>
        <v>Q3</v>
      </c>
      <c r="R369" t="str">
        <f>IFERROR(VLOOKUP(TRIM(CLEAN(G369)),Sheet14!$A$2:$B$19,2,FALSE),"Not Mapped")</f>
        <v>West</v>
      </c>
    </row>
    <row r="370" spans="1:18">
      <c r="A370" t="str">
        <f t="shared" si="20"/>
        <v>EOS0369</v>
      </c>
      <c r="B370" s="35" t="s">
        <v>824</v>
      </c>
      <c r="C370" s="1" t="s">
        <v>267</v>
      </c>
      <c r="D370" s="1" t="str">
        <f t="shared" si="21"/>
        <v>FB</v>
      </c>
      <c r="E370" s="1" t="s">
        <v>828</v>
      </c>
      <c r="F370" s="1" t="s">
        <v>422</v>
      </c>
      <c r="G370" s="1" t="s">
        <v>223</v>
      </c>
      <c r="H370" s="1" t="s">
        <v>149</v>
      </c>
      <c r="I370" s="1">
        <v>108000</v>
      </c>
      <c r="J370" s="45">
        <v>107368</v>
      </c>
      <c r="K370" s="1" t="str">
        <f>TRIM(Cleaned_CRM_Data!H370)</f>
        <v>Rejected</v>
      </c>
      <c r="L370" t="str">
        <f>IFERROR(VLOOKUP(K370, Status_Mapping!A:B, 2,), "Not Found")</f>
        <v>Rejected</v>
      </c>
      <c r="N370" s="29" t="str">
        <f>IF(M370="","",M370-B370)</f>
        <v/>
      </c>
      <c r="O370" s="1" t="str">
        <f t="shared" si="22"/>
        <v>Starter</v>
      </c>
      <c r="P370" t="str">
        <f>TEXT(B370, "mmmm")</f>
        <v>July</v>
      </c>
      <c r="Q370" t="str">
        <f t="shared" si="23"/>
        <v>Q3</v>
      </c>
      <c r="R370" t="str">
        <f>IFERROR(VLOOKUP(TRIM(CLEAN(G370)),Sheet14!$A$2:$B$19,2,FALSE),"Not Mapped")</f>
        <v>West</v>
      </c>
    </row>
    <row r="371" spans="1:18">
      <c r="A371" t="str">
        <f t="shared" si="20"/>
        <v>EOS0370</v>
      </c>
      <c r="B371" s="35" t="s">
        <v>824</v>
      </c>
      <c r="C371" s="1" t="s">
        <v>267</v>
      </c>
      <c r="D371" s="1" t="str">
        <f t="shared" si="21"/>
        <v>FB</v>
      </c>
      <c r="E371" s="1" t="s">
        <v>829</v>
      </c>
      <c r="F371" s="1" t="s">
        <v>830</v>
      </c>
      <c r="G371" s="1" t="s">
        <v>223</v>
      </c>
      <c r="H371" s="1" t="s">
        <v>149</v>
      </c>
      <c r="I371" s="1">
        <v>177000</v>
      </c>
      <c r="J371" s="45">
        <v>107369</v>
      </c>
      <c r="K371" s="1" t="str">
        <f>TRIM(Cleaned_CRM_Data!H371)</f>
        <v>Rejected</v>
      </c>
      <c r="L371" t="str">
        <f>IFERROR(VLOOKUP(K371, Status_Mapping!A:B, 2,), "Not Found")</f>
        <v>Rejected</v>
      </c>
      <c r="N371" s="29" t="str">
        <f>IF(M371="","",M371-B371)</f>
        <v/>
      </c>
      <c r="O371" s="1" t="str">
        <f t="shared" si="22"/>
        <v>Growth</v>
      </c>
      <c r="P371" t="str">
        <f>TEXT(B371, "mmmm")</f>
        <v>July</v>
      </c>
      <c r="Q371" t="str">
        <f t="shared" si="23"/>
        <v>Q3</v>
      </c>
      <c r="R371" t="str">
        <f>IFERROR(VLOOKUP(TRIM(CLEAN(G371)),Sheet14!$A$2:$B$19,2,FALSE),"Not Mapped")</f>
        <v>West</v>
      </c>
    </row>
    <row r="372" spans="1:18">
      <c r="A372" t="str">
        <f t="shared" si="20"/>
        <v>EOS0371</v>
      </c>
      <c r="B372" s="35" t="s">
        <v>824</v>
      </c>
      <c r="C372" s="1" t="s">
        <v>267</v>
      </c>
      <c r="D372" s="1" t="str">
        <f t="shared" si="21"/>
        <v>FB</v>
      </c>
      <c r="E372" s="1" t="s">
        <v>831</v>
      </c>
      <c r="F372" s="1" t="s">
        <v>381</v>
      </c>
      <c r="G372" s="1" t="s">
        <v>223</v>
      </c>
      <c r="H372" s="1" t="s">
        <v>149</v>
      </c>
      <c r="I372" s="1">
        <v>108000</v>
      </c>
      <c r="J372" s="45">
        <v>107370</v>
      </c>
      <c r="K372" s="1" t="str">
        <f>TRIM(Cleaned_CRM_Data!H372)</f>
        <v>Rejected</v>
      </c>
      <c r="L372" t="str">
        <f>IFERROR(VLOOKUP(K372, Status_Mapping!A:B, 2,), "Not Found")</f>
        <v>Rejected</v>
      </c>
      <c r="N372" s="29" t="str">
        <f>IF(M372="","",M372-B372)</f>
        <v/>
      </c>
      <c r="O372" s="1" t="str">
        <f t="shared" si="22"/>
        <v>Starter</v>
      </c>
      <c r="P372" t="str">
        <f>TEXT(B372, "mmmm")</f>
        <v>July</v>
      </c>
      <c r="Q372" t="str">
        <f t="shared" si="23"/>
        <v>Q3</v>
      </c>
      <c r="R372" t="str">
        <f>IFERROR(VLOOKUP(TRIM(CLEAN(G372)),Sheet14!$A$2:$B$19,2,FALSE),"Not Mapped")</f>
        <v>West</v>
      </c>
    </row>
    <row r="373" spans="1:18">
      <c r="A373" t="str">
        <f t="shared" si="20"/>
        <v>EOS0372</v>
      </c>
      <c r="B373" s="35" t="s">
        <v>824</v>
      </c>
      <c r="C373" s="1" t="s">
        <v>267</v>
      </c>
      <c r="D373" s="1" t="str">
        <f t="shared" si="21"/>
        <v>FB</v>
      </c>
      <c r="E373" s="1" t="s">
        <v>832</v>
      </c>
      <c r="F373" s="1" t="s">
        <v>527</v>
      </c>
      <c r="G373" s="1" t="s">
        <v>236</v>
      </c>
      <c r="H373" s="1" t="s">
        <v>149</v>
      </c>
      <c r="I373" s="1">
        <v>108000</v>
      </c>
      <c r="J373" s="45">
        <v>107371</v>
      </c>
      <c r="K373" s="1" t="str">
        <f>TRIM(Cleaned_CRM_Data!H373)</f>
        <v>Rejected</v>
      </c>
      <c r="L373" t="str">
        <f>IFERROR(VLOOKUP(K373, Status_Mapping!A:B, 2,), "Not Found")</f>
        <v>Rejected</v>
      </c>
      <c r="N373" s="29" t="str">
        <f>IF(M373="","",M373-B373)</f>
        <v/>
      </c>
      <c r="O373" s="1" t="str">
        <f t="shared" si="22"/>
        <v>Starter</v>
      </c>
      <c r="P373" t="str">
        <f>TEXT(B373, "mmmm")</f>
        <v>July</v>
      </c>
      <c r="Q373" t="str">
        <f t="shared" si="23"/>
        <v>Q3</v>
      </c>
      <c r="R373" t="str">
        <f>IFERROR(VLOOKUP(TRIM(CLEAN(G373)),Sheet14!$A$2:$B$19,2,FALSE),"Not Mapped")</f>
        <v>North</v>
      </c>
    </row>
    <row r="374" spans="1:18">
      <c r="A374" t="str">
        <f t="shared" si="20"/>
        <v>EOS0373</v>
      </c>
      <c r="B374" s="35" t="s">
        <v>824</v>
      </c>
      <c r="C374" s="1" t="s">
        <v>267</v>
      </c>
      <c r="D374" s="1" t="str">
        <f t="shared" si="21"/>
        <v>FB</v>
      </c>
      <c r="E374" s="1" t="s">
        <v>833</v>
      </c>
      <c r="F374" s="1" t="s">
        <v>834</v>
      </c>
      <c r="G374" s="1" t="s">
        <v>223</v>
      </c>
      <c r="H374" s="1" t="s">
        <v>149</v>
      </c>
      <c r="I374" s="1">
        <v>130000</v>
      </c>
      <c r="J374" s="45">
        <v>107372</v>
      </c>
      <c r="K374" s="1" t="str">
        <f>TRIM(Cleaned_CRM_Data!H374)</f>
        <v>Rejected</v>
      </c>
      <c r="L374" t="str">
        <f>IFERROR(VLOOKUP(K374, Status_Mapping!A:B, 2,), "Not Found")</f>
        <v>Rejected</v>
      </c>
      <c r="N374" s="29" t="str">
        <f>IF(M374="","",M374-B374)</f>
        <v/>
      </c>
      <c r="O374" s="1" t="str">
        <f t="shared" si="22"/>
        <v>Starter</v>
      </c>
      <c r="P374" t="str">
        <f>TEXT(B374, "mmmm")</f>
        <v>July</v>
      </c>
      <c r="Q374" t="str">
        <f t="shared" si="23"/>
        <v>Q3</v>
      </c>
      <c r="R374" t="str">
        <f>IFERROR(VLOOKUP(TRIM(CLEAN(G374)),Sheet14!$A$2:$B$19,2,FALSE),"Not Mapped")</f>
        <v>West</v>
      </c>
    </row>
    <row r="375" spans="1:18">
      <c r="A375" t="str">
        <f t="shared" si="20"/>
        <v>EOS0374</v>
      </c>
      <c r="B375" s="35" t="s">
        <v>835</v>
      </c>
      <c r="C375" s="1" t="s">
        <v>267</v>
      </c>
      <c r="D375" s="1" t="str">
        <f t="shared" si="21"/>
        <v>FB</v>
      </c>
      <c r="E375" s="1" t="s">
        <v>836</v>
      </c>
      <c r="F375" s="1" t="s">
        <v>837</v>
      </c>
      <c r="G375" s="1" t="s">
        <v>236</v>
      </c>
      <c r="H375" s="1" t="s">
        <v>149</v>
      </c>
      <c r="I375" s="1">
        <v>108000</v>
      </c>
      <c r="J375" s="45">
        <v>107373</v>
      </c>
      <c r="K375" s="1" t="str">
        <f>TRIM(Cleaned_CRM_Data!H375)</f>
        <v>Rejected</v>
      </c>
      <c r="L375" t="str">
        <f>IFERROR(VLOOKUP(K375, Status_Mapping!A:B, 2,), "Not Found")</f>
        <v>Rejected</v>
      </c>
      <c r="N375" s="29" t="str">
        <f>IF(M375="","",M375-B375)</f>
        <v/>
      </c>
      <c r="O375" s="1" t="str">
        <f t="shared" si="22"/>
        <v>Starter</v>
      </c>
      <c r="P375" t="str">
        <f>TEXT(B375, "mmmm")</f>
        <v>July</v>
      </c>
      <c r="Q375" t="str">
        <f t="shared" si="23"/>
        <v>Q3</v>
      </c>
      <c r="R375" t="str">
        <f>IFERROR(VLOOKUP(TRIM(CLEAN(G375)),Sheet14!$A$2:$B$19,2,FALSE),"Not Mapped")</f>
        <v>North</v>
      </c>
    </row>
    <row r="376" spans="1:18">
      <c r="A376" t="str">
        <f t="shared" si="20"/>
        <v>EOS0375</v>
      </c>
      <c r="B376" s="35" t="s">
        <v>838</v>
      </c>
      <c r="C376" s="1" t="s">
        <v>267</v>
      </c>
      <c r="D376" s="1" t="str">
        <f t="shared" si="21"/>
        <v>FB</v>
      </c>
      <c r="E376" s="1" t="s">
        <v>839</v>
      </c>
      <c r="F376" s="1" t="s">
        <v>840</v>
      </c>
      <c r="G376" s="1" t="s">
        <v>223</v>
      </c>
      <c r="H376" s="1" t="s">
        <v>149</v>
      </c>
      <c r="I376" s="1">
        <v>130000</v>
      </c>
      <c r="J376" s="45">
        <v>107374</v>
      </c>
      <c r="K376" s="1" t="str">
        <f>TRIM(Cleaned_CRM_Data!H376)</f>
        <v>Rejected</v>
      </c>
      <c r="L376" t="str">
        <f>IFERROR(VLOOKUP(K376, Status_Mapping!A:B, 2,), "Not Found")</f>
        <v>Rejected</v>
      </c>
      <c r="N376" s="29" t="str">
        <f>IF(M376="","",M376-B376)</f>
        <v/>
      </c>
      <c r="O376" s="1" t="str">
        <f t="shared" si="22"/>
        <v>Starter</v>
      </c>
      <c r="P376" t="str">
        <f>TEXT(B376, "mmmm")</f>
        <v>July</v>
      </c>
      <c r="Q376" t="str">
        <f t="shared" si="23"/>
        <v>Q3</v>
      </c>
      <c r="R376" t="str">
        <f>IFERROR(VLOOKUP(TRIM(CLEAN(G376)),Sheet14!$A$2:$B$19,2,FALSE),"Not Mapped")</f>
        <v>West</v>
      </c>
    </row>
    <row r="377" spans="1:18">
      <c r="A377" t="str">
        <f t="shared" si="20"/>
        <v>EOS0376</v>
      </c>
      <c r="B377" s="35" t="s">
        <v>838</v>
      </c>
      <c r="C377" s="1" t="s">
        <v>267</v>
      </c>
      <c r="D377" s="1" t="str">
        <f t="shared" si="21"/>
        <v>FB</v>
      </c>
      <c r="E377" s="1" t="s">
        <v>841</v>
      </c>
      <c r="F377" s="1" t="s">
        <v>601</v>
      </c>
      <c r="G377" s="1" t="s">
        <v>223</v>
      </c>
      <c r="H377" s="1" t="s">
        <v>149</v>
      </c>
      <c r="I377" s="1">
        <v>108000</v>
      </c>
      <c r="J377" s="45">
        <v>107375</v>
      </c>
      <c r="K377" s="1" t="str">
        <f>TRIM(Cleaned_CRM_Data!H377)</f>
        <v>Rejected</v>
      </c>
      <c r="L377" t="str">
        <f>IFERROR(VLOOKUP(K377, Status_Mapping!A:B, 2,), "Not Found")</f>
        <v>Rejected</v>
      </c>
      <c r="N377" s="29" t="str">
        <f>IF(M377="","",M377-B377)</f>
        <v/>
      </c>
      <c r="O377" s="1" t="str">
        <f t="shared" si="22"/>
        <v>Starter</v>
      </c>
      <c r="P377" t="str">
        <f>TEXT(B377, "mmmm")</f>
        <v>July</v>
      </c>
      <c r="Q377" t="str">
        <f t="shared" si="23"/>
        <v>Q3</v>
      </c>
      <c r="R377" t="str">
        <f>IFERROR(VLOOKUP(TRIM(CLEAN(G377)),Sheet14!$A$2:$B$19,2,FALSE),"Not Mapped")</f>
        <v>West</v>
      </c>
    </row>
    <row r="378" spans="1:18">
      <c r="A378" t="str">
        <f t="shared" si="20"/>
        <v>EOS0377</v>
      </c>
      <c r="B378" s="35" t="s">
        <v>838</v>
      </c>
      <c r="C378" s="1" t="s">
        <v>267</v>
      </c>
      <c r="D378" s="1" t="str">
        <f t="shared" si="21"/>
        <v>FB</v>
      </c>
      <c r="E378" s="1" t="s">
        <v>842</v>
      </c>
      <c r="F378" s="1" t="s">
        <v>304</v>
      </c>
      <c r="G378" s="1" t="s">
        <v>223</v>
      </c>
      <c r="H378" s="1" t="s">
        <v>149</v>
      </c>
      <c r="I378" s="1">
        <v>108000</v>
      </c>
      <c r="J378" s="45">
        <v>107376</v>
      </c>
      <c r="K378" s="1" t="str">
        <f>TRIM(Cleaned_CRM_Data!H378)</f>
        <v>Rejected</v>
      </c>
      <c r="L378" t="str">
        <f>IFERROR(VLOOKUP(K378, Status_Mapping!A:B, 2,), "Not Found")</f>
        <v>Rejected</v>
      </c>
      <c r="N378" s="29" t="str">
        <f>IF(M378="","",M378-B378)</f>
        <v/>
      </c>
      <c r="O378" s="1" t="str">
        <f t="shared" si="22"/>
        <v>Starter</v>
      </c>
      <c r="P378" t="str">
        <f>TEXT(B378, "mmmm")</f>
        <v>July</v>
      </c>
      <c r="Q378" t="str">
        <f t="shared" si="23"/>
        <v>Q3</v>
      </c>
      <c r="R378" t="str">
        <f>IFERROR(VLOOKUP(TRIM(CLEAN(G378)),Sheet14!$A$2:$B$19,2,FALSE),"Not Mapped")</f>
        <v>West</v>
      </c>
    </row>
    <row r="379" spans="1:18">
      <c r="A379" t="str">
        <f t="shared" si="20"/>
        <v>EOS0378</v>
      </c>
      <c r="B379" s="35" t="s">
        <v>838</v>
      </c>
      <c r="C379" s="1" t="s">
        <v>267</v>
      </c>
      <c r="D379" s="1" t="str">
        <f t="shared" si="21"/>
        <v>FB</v>
      </c>
      <c r="E379" s="1" t="s">
        <v>843</v>
      </c>
      <c r="F379" s="1" t="s">
        <v>844</v>
      </c>
      <c r="G379" s="1" t="s">
        <v>223</v>
      </c>
      <c r="H379" s="1" t="s">
        <v>149</v>
      </c>
      <c r="I379" s="1">
        <v>130000</v>
      </c>
      <c r="J379" s="45">
        <v>107377</v>
      </c>
      <c r="K379" s="1" t="str">
        <f>TRIM(Cleaned_CRM_Data!H379)</f>
        <v>Rejected</v>
      </c>
      <c r="L379" t="str">
        <f>IFERROR(VLOOKUP(K379, Status_Mapping!A:B, 2,), "Not Found")</f>
        <v>Rejected</v>
      </c>
      <c r="N379" s="29" t="str">
        <f>IF(M379="","",M379-B379)</f>
        <v/>
      </c>
      <c r="O379" s="1" t="str">
        <f t="shared" si="22"/>
        <v>Starter</v>
      </c>
      <c r="P379" t="str">
        <f>TEXT(B379, "mmmm")</f>
        <v>July</v>
      </c>
      <c r="Q379" t="str">
        <f t="shared" si="23"/>
        <v>Q3</v>
      </c>
      <c r="R379" t="str">
        <f>IFERROR(VLOOKUP(TRIM(CLEAN(G379)),Sheet14!$A$2:$B$19,2,FALSE),"Not Mapped")</f>
        <v>West</v>
      </c>
    </row>
    <row r="380" spans="1:18">
      <c r="A380" t="str">
        <f t="shared" si="20"/>
        <v>EOS0379</v>
      </c>
      <c r="B380" s="35" t="s">
        <v>838</v>
      </c>
      <c r="C380" s="1" t="s">
        <v>267</v>
      </c>
      <c r="D380" s="1" t="str">
        <f t="shared" si="21"/>
        <v>FB</v>
      </c>
      <c r="E380" s="1" t="s">
        <v>845</v>
      </c>
      <c r="F380" s="1" t="s">
        <v>364</v>
      </c>
      <c r="G380" s="1" t="s">
        <v>223</v>
      </c>
      <c r="H380" s="1" t="s">
        <v>149</v>
      </c>
      <c r="I380" s="1">
        <v>130000</v>
      </c>
      <c r="J380" s="45">
        <v>107378</v>
      </c>
      <c r="K380" s="1" t="str">
        <f>TRIM(Cleaned_CRM_Data!H380)</f>
        <v>Rejected</v>
      </c>
      <c r="L380" t="str">
        <f>IFERROR(VLOOKUP(K380, Status_Mapping!A:B, 2,), "Not Found")</f>
        <v>Rejected</v>
      </c>
      <c r="N380" s="29" t="str">
        <f>IF(M380="","",M380-B380)</f>
        <v/>
      </c>
      <c r="O380" s="1" t="str">
        <f t="shared" si="22"/>
        <v>Starter</v>
      </c>
      <c r="P380" t="str">
        <f>TEXT(B380, "mmmm")</f>
        <v>July</v>
      </c>
      <c r="Q380" t="str">
        <f t="shared" si="23"/>
        <v>Q3</v>
      </c>
      <c r="R380" t="str">
        <f>IFERROR(VLOOKUP(TRIM(CLEAN(G380)),Sheet14!$A$2:$B$19,2,FALSE),"Not Mapped")</f>
        <v>West</v>
      </c>
    </row>
    <row r="381" spans="1:18">
      <c r="A381" t="str">
        <f t="shared" si="20"/>
        <v>EOS0380</v>
      </c>
      <c r="B381" s="35" t="s">
        <v>838</v>
      </c>
      <c r="C381" s="1" t="s">
        <v>267</v>
      </c>
      <c r="D381" s="1" t="str">
        <f t="shared" si="21"/>
        <v>FB</v>
      </c>
      <c r="E381" s="1" t="s">
        <v>846</v>
      </c>
      <c r="F381" s="1" t="s">
        <v>412</v>
      </c>
      <c r="G381" s="1" t="s">
        <v>223</v>
      </c>
      <c r="H381" s="1" t="s">
        <v>149</v>
      </c>
      <c r="I381" s="1">
        <v>108000</v>
      </c>
      <c r="J381" s="45">
        <v>107379</v>
      </c>
      <c r="K381" s="1" t="str">
        <f>TRIM(Cleaned_CRM_Data!H381)</f>
        <v>Rejected</v>
      </c>
      <c r="L381" t="str">
        <f>IFERROR(VLOOKUP(K381, Status_Mapping!A:B, 2,), "Not Found")</f>
        <v>Rejected</v>
      </c>
      <c r="N381" s="29" t="str">
        <f>IF(M381="","",M381-B381)</f>
        <v/>
      </c>
      <c r="O381" s="1" t="str">
        <f t="shared" si="22"/>
        <v>Starter</v>
      </c>
      <c r="P381" t="str">
        <f>TEXT(B381, "mmmm")</f>
        <v>July</v>
      </c>
      <c r="Q381" t="str">
        <f t="shared" si="23"/>
        <v>Q3</v>
      </c>
      <c r="R381" t="str">
        <f>IFERROR(VLOOKUP(TRIM(CLEAN(G381)),Sheet14!$A$2:$B$19,2,FALSE),"Not Mapped")</f>
        <v>West</v>
      </c>
    </row>
    <row r="382" spans="1:18">
      <c r="A382" t="str">
        <f t="shared" si="20"/>
        <v>EOS0381</v>
      </c>
      <c r="B382" s="35" t="s">
        <v>838</v>
      </c>
      <c r="C382" s="1" t="s">
        <v>267</v>
      </c>
      <c r="D382" s="1" t="str">
        <f t="shared" si="21"/>
        <v>FB</v>
      </c>
      <c r="E382" s="1" t="s">
        <v>847</v>
      </c>
      <c r="F382" s="1" t="s">
        <v>275</v>
      </c>
      <c r="G382" s="1" t="s">
        <v>223</v>
      </c>
      <c r="H382" s="1" t="s">
        <v>149</v>
      </c>
      <c r="I382" s="1">
        <v>108000</v>
      </c>
      <c r="J382" s="45">
        <v>107380</v>
      </c>
      <c r="K382" s="1" t="str">
        <f>TRIM(Cleaned_CRM_Data!H382)</f>
        <v>Rejected</v>
      </c>
      <c r="L382" t="str">
        <f>IFERROR(VLOOKUP(K382, Status_Mapping!A:B, 2,), "Not Found")</f>
        <v>Rejected</v>
      </c>
      <c r="N382" s="29" t="str">
        <f>IF(M382="","",M382-B382)</f>
        <v/>
      </c>
      <c r="O382" s="1" t="str">
        <f t="shared" si="22"/>
        <v>Starter</v>
      </c>
      <c r="P382" t="str">
        <f>TEXT(B382, "mmmm")</f>
        <v>July</v>
      </c>
      <c r="Q382" t="str">
        <f t="shared" si="23"/>
        <v>Q3</v>
      </c>
      <c r="R382" t="str">
        <f>IFERROR(VLOOKUP(TRIM(CLEAN(G382)),Sheet14!$A$2:$B$19,2,FALSE),"Not Mapped")</f>
        <v>West</v>
      </c>
    </row>
    <row r="383" spans="1:18">
      <c r="A383" t="str">
        <f t="shared" si="20"/>
        <v>EOS0382</v>
      </c>
      <c r="B383" s="35" t="s">
        <v>838</v>
      </c>
      <c r="C383" s="1" t="s">
        <v>267</v>
      </c>
      <c r="D383" s="1" t="str">
        <f t="shared" si="21"/>
        <v>FB</v>
      </c>
      <c r="E383" s="1" t="s">
        <v>848</v>
      </c>
      <c r="F383" s="1" t="s">
        <v>849</v>
      </c>
      <c r="G383" s="1" t="s">
        <v>223</v>
      </c>
      <c r="H383" s="1" t="s">
        <v>149</v>
      </c>
      <c r="I383" s="1">
        <v>130000</v>
      </c>
      <c r="J383" s="45">
        <v>107381</v>
      </c>
      <c r="K383" s="1" t="str">
        <f>TRIM(Cleaned_CRM_Data!H383)</f>
        <v>Rejected</v>
      </c>
      <c r="L383" t="str">
        <f>IFERROR(VLOOKUP(K383, Status_Mapping!A:B, 2,), "Not Found")</f>
        <v>Rejected</v>
      </c>
      <c r="N383" s="29" t="str">
        <f>IF(M383="","",M383-B383)</f>
        <v/>
      </c>
      <c r="O383" s="1" t="str">
        <f t="shared" si="22"/>
        <v>Starter</v>
      </c>
      <c r="P383" t="str">
        <f>TEXT(B383, "mmmm")</f>
        <v>July</v>
      </c>
      <c r="Q383" t="str">
        <f t="shared" si="23"/>
        <v>Q3</v>
      </c>
      <c r="R383" t="str">
        <f>IFERROR(VLOOKUP(TRIM(CLEAN(G383)),Sheet14!$A$2:$B$19,2,FALSE),"Not Mapped")</f>
        <v>West</v>
      </c>
    </row>
    <row r="384" spans="1:18">
      <c r="A384" t="str">
        <f t="shared" si="20"/>
        <v>EOS0383</v>
      </c>
      <c r="B384" s="35" t="s">
        <v>838</v>
      </c>
      <c r="C384" s="1" t="s">
        <v>267</v>
      </c>
      <c r="D384" s="1" t="str">
        <f t="shared" si="21"/>
        <v>FB</v>
      </c>
      <c r="E384" s="1" t="s">
        <v>850</v>
      </c>
      <c r="F384" s="1" t="s">
        <v>275</v>
      </c>
      <c r="G384" s="1" t="s">
        <v>223</v>
      </c>
      <c r="H384" s="1" t="s">
        <v>149</v>
      </c>
      <c r="I384" s="1">
        <v>108000</v>
      </c>
      <c r="J384" s="45">
        <v>107382</v>
      </c>
      <c r="K384" s="1" t="str">
        <f>TRIM(Cleaned_CRM_Data!H384)</f>
        <v>Rejected</v>
      </c>
      <c r="L384" t="str">
        <f>IFERROR(VLOOKUP(K384, Status_Mapping!A:B, 2,), "Not Found")</f>
        <v>Rejected</v>
      </c>
      <c r="N384" s="29" t="str">
        <f>IF(M384="","",M384-B384)</f>
        <v/>
      </c>
      <c r="O384" s="1" t="str">
        <f t="shared" si="22"/>
        <v>Starter</v>
      </c>
      <c r="P384" t="str">
        <f>TEXT(B384, "mmmm")</f>
        <v>July</v>
      </c>
      <c r="Q384" t="str">
        <f t="shared" si="23"/>
        <v>Q3</v>
      </c>
      <c r="R384" t="str">
        <f>IFERROR(VLOOKUP(TRIM(CLEAN(G384)),Sheet14!$A$2:$B$19,2,FALSE),"Not Mapped")</f>
        <v>West</v>
      </c>
    </row>
    <row r="385" spans="1:18">
      <c r="A385" t="str">
        <f t="shared" si="20"/>
        <v>EOS0384</v>
      </c>
      <c r="B385" s="35" t="s">
        <v>838</v>
      </c>
      <c r="C385" s="1" t="s">
        <v>267</v>
      </c>
      <c r="D385" s="1" t="str">
        <f t="shared" si="21"/>
        <v>FB</v>
      </c>
      <c r="E385" s="1" t="s">
        <v>851</v>
      </c>
      <c r="F385" s="1" t="s">
        <v>413</v>
      </c>
      <c r="G385" s="1" t="s">
        <v>223</v>
      </c>
      <c r="H385" s="1" t="s">
        <v>149</v>
      </c>
      <c r="I385" s="1">
        <v>308000</v>
      </c>
      <c r="J385" s="45">
        <v>107383</v>
      </c>
      <c r="K385" s="1" t="str">
        <f>TRIM(Cleaned_CRM_Data!H385)</f>
        <v>Rejected</v>
      </c>
      <c r="L385" t="str">
        <f>IFERROR(VLOOKUP(K385, Status_Mapping!A:B, 2,), "Not Found")</f>
        <v>Rejected</v>
      </c>
      <c r="N385" s="29" t="str">
        <f>IF(M385="","",M385-B385)</f>
        <v/>
      </c>
      <c r="O385" s="1" t="str">
        <f t="shared" si="22"/>
        <v>Premium</v>
      </c>
      <c r="P385" t="str">
        <f>TEXT(B385, "mmmm")</f>
        <v>July</v>
      </c>
      <c r="Q385" t="str">
        <f t="shared" si="23"/>
        <v>Q3</v>
      </c>
      <c r="R385" t="str">
        <f>IFERROR(VLOOKUP(TRIM(CLEAN(G385)),Sheet14!$A$2:$B$19,2,FALSE),"Not Mapped")</f>
        <v>West</v>
      </c>
    </row>
    <row r="386" spans="1:18">
      <c r="A386" t="str">
        <f t="shared" si="20"/>
        <v>EOS0385</v>
      </c>
      <c r="B386" s="35" t="s">
        <v>838</v>
      </c>
      <c r="C386" s="1" t="s">
        <v>267</v>
      </c>
      <c r="D386" s="1" t="str">
        <f t="shared" si="21"/>
        <v>FB</v>
      </c>
      <c r="E386" s="1" t="s">
        <v>594</v>
      </c>
      <c r="F386" s="1" t="s">
        <v>269</v>
      </c>
      <c r="G386" s="1" t="s">
        <v>223</v>
      </c>
      <c r="H386" s="1" t="s">
        <v>149</v>
      </c>
      <c r="I386" s="1">
        <v>177000</v>
      </c>
      <c r="J386" s="45">
        <v>107384</v>
      </c>
      <c r="K386" s="1" t="str">
        <f>TRIM(Cleaned_CRM_Data!H386)</f>
        <v>Rejected</v>
      </c>
      <c r="L386" t="str">
        <f>IFERROR(VLOOKUP(K386, Status_Mapping!A:B, 2,), "Not Found")</f>
        <v>Rejected</v>
      </c>
      <c r="N386" s="29" t="str">
        <f>IF(M386="","",M386-B386)</f>
        <v/>
      </c>
      <c r="O386" s="1" t="str">
        <f t="shared" si="22"/>
        <v>Growth</v>
      </c>
      <c r="P386" t="str">
        <f>TEXT(B386, "mmmm")</f>
        <v>July</v>
      </c>
      <c r="Q386" t="str">
        <f t="shared" si="23"/>
        <v>Q3</v>
      </c>
      <c r="R386" t="str">
        <f>IFERROR(VLOOKUP(TRIM(CLEAN(G386)),Sheet14!$A$2:$B$19,2,FALSE),"Not Mapped")</f>
        <v>West</v>
      </c>
    </row>
    <row r="387" spans="1:18">
      <c r="A387" t="str">
        <f t="shared" ref="A387:A450" si="24">"EOS"&amp;TEXT(ROW()-1,"0000")</f>
        <v>EOS0386</v>
      </c>
      <c r="B387" s="35" t="s">
        <v>838</v>
      </c>
      <c r="C387" s="1" t="s">
        <v>267</v>
      </c>
      <c r="D387" s="1" t="str">
        <f t="shared" ref="D387:D433" si="25">TRIM(CLEAN(SUBSTITUTE(C387,CHAR(160),"")))</f>
        <v>FB</v>
      </c>
      <c r="E387" s="1" t="s">
        <v>836</v>
      </c>
      <c r="F387" s="1" t="s">
        <v>837</v>
      </c>
      <c r="G387" s="1" t="s">
        <v>236</v>
      </c>
      <c r="H387" s="1" t="s">
        <v>149</v>
      </c>
      <c r="I387" s="1">
        <v>130000</v>
      </c>
      <c r="J387" s="45">
        <v>107385</v>
      </c>
      <c r="K387" s="1" t="str">
        <f>TRIM(Cleaned_CRM_Data!H387)</f>
        <v>Rejected</v>
      </c>
      <c r="L387" t="str">
        <f>IFERROR(VLOOKUP(K387, Status_Mapping!A:B, 2,), "Not Found")</f>
        <v>Rejected</v>
      </c>
      <c r="N387" s="29" t="str">
        <f>IF(M387="","",M387-B387)</f>
        <v/>
      </c>
      <c r="O387" s="1" t="str">
        <f t="shared" ref="O387:O450" si="26">IF(OR(I387=108000,I387=130000),"Starter",IF(I387=177000,"Growth","Premium"))</f>
        <v>Starter</v>
      </c>
      <c r="P387" t="str">
        <f>TEXT(B387, "mmmm")</f>
        <v>July</v>
      </c>
      <c r="Q387" t="str">
        <f t="shared" ref="Q387:Q450" si="27">"Q"&amp;ROUNDUP(MONTH(B387)/3,0)</f>
        <v>Q3</v>
      </c>
      <c r="R387" t="str">
        <f>IFERROR(VLOOKUP(TRIM(CLEAN(G387)),Sheet14!$A$2:$B$19,2,FALSE),"Not Mapped")</f>
        <v>North</v>
      </c>
    </row>
    <row r="388" spans="1:18">
      <c r="A388" t="str">
        <f t="shared" si="24"/>
        <v>EOS0387</v>
      </c>
      <c r="B388" s="35" t="s">
        <v>838</v>
      </c>
      <c r="C388" s="1" t="s">
        <v>267</v>
      </c>
      <c r="D388" s="1" t="str">
        <f t="shared" si="25"/>
        <v>FB</v>
      </c>
      <c r="E388" s="1" t="s">
        <v>852</v>
      </c>
      <c r="F388" s="1" t="s">
        <v>853</v>
      </c>
      <c r="G388" s="1" t="s">
        <v>228</v>
      </c>
      <c r="H388" s="1" t="s">
        <v>149</v>
      </c>
      <c r="I388" s="1">
        <v>177000</v>
      </c>
      <c r="J388" s="45">
        <v>107386</v>
      </c>
      <c r="K388" s="1" t="str">
        <f>TRIM(Cleaned_CRM_Data!H388)</f>
        <v>Rejected</v>
      </c>
      <c r="L388" t="str">
        <f>IFERROR(VLOOKUP(K388, Status_Mapping!A:B, 2,), "Not Found")</f>
        <v>Rejected</v>
      </c>
      <c r="N388" s="29" t="str">
        <f>IF(M388="","",M388-B388)</f>
        <v/>
      </c>
      <c r="O388" s="1" t="str">
        <f t="shared" si="26"/>
        <v>Growth</v>
      </c>
      <c r="P388" t="str">
        <f>TEXT(B388, "mmmm")</f>
        <v>July</v>
      </c>
      <c r="Q388" t="str">
        <f t="shared" si="27"/>
        <v>Q3</v>
      </c>
      <c r="R388" t="str">
        <f>IFERROR(VLOOKUP(TRIM(CLEAN(G388)),Sheet14!$A$2:$B$19,2,FALSE),"Not Mapped")</f>
        <v>Central</v>
      </c>
    </row>
    <row r="389" spans="1:18">
      <c r="A389" t="str">
        <f t="shared" si="24"/>
        <v>EOS0388</v>
      </c>
      <c r="B389" s="35" t="s">
        <v>838</v>
      </c>
      <c r="C389" s="1" t="s">
        <v>267</v>
      </c>
      <c r="D389" s="1" t="str">
        <f t="shared" si="25"/>
        <v>FB</v>
      </c>
      <c r="E389" s="1" t="s">
        <v>285</v>
      </c>
      <c r="F389" s="1" t="s">
        <v>854</v>
      </c>
      <c r="G389" s="1" t="s">
        <v>223</v>
      </c>
      <c r="H389" s="1" t="s">
        <v>149</v>
      </c>
      <c r="I389" s="1">
        <v>108000</v>
      </c>
      <c r="J389" s="45">
        <v>107387</v>
      </c>
      <c r="K389" s="1" t="s">
        <v>40</v>
      </c>
      <c r="L389" t="str">
        <f>IFERROR(VLOOKUP(K389, Status_Mapping!A:B, 2,), "Not Found")</f>
        <v>Converted</v>
      </c>
      <c r="N389" s="29" t="str">
        <f>IF(M389="","",M389-B389)</f>
        <v/>
      </c>
      <c r="O389" s="1" t="str">
        <f t="shared" si="26"/>
        <v>Starter</v>
      </c>
      <c r="P389" t="str">
        <f>TEXT(B389, "mmmm")</f>
        <v>July</v>
      </c>
      <c r="Q389" t="str">
        <f t="shared" si="27"/>
        <v>Q3</v>
      </c>
      <c r="R389" t="str">
        <f>IFERROR(VLOOKUP(TRIM(CLEAN(G389)),Sheet14!$A$2:$B$19,2,FALSE),"Not Mapped")</f>
        <v>West</v>
      </c>
    </row>
    <row r="390" spans="1:18">
      <c r="A390" t="str">
        <f t="shared" si="24"/>
        <v>EOS0389</v>
      </c>
      <c r="B390" s="35" t="s">
        <v>838</v>
      </c>
      <c r="C390" s="1" t="s">
        <v>267</v>
      </c>
      <c r="D390" s="1" t="str">
        <f t="shared" si="25"/>
        <v>FB</v>
      </c>
      <c r="E390" s="1" t="s">
        <v>855</v>
      </c>
      <c r="F390" s="1" t="s">
        <v>304</v>
      </c>
      <c r="G390" s="1" t="s">
        <v>223</v>
      </c>
      <c r="H390" s="1" t="s">
        <v>149</v>
      </c>
      <c r="I390" s="1">
        <v>108000</v>
      </c>
      <c r="J390" s="45">
        <v>107388</v>
      </c>
      <c r="K390" s="1" t="str">
        <f>TRIM(Cleaned_CRM_Data!H390)</f>
        <v>Rejected</v>
      </c>
      <c r="L390" t="str">
        <f>IFERROR(VLOOKUP(K390, Status_Mapping!A:B, 2,), "Not Found")</f>
        <v>Rejected</v>
      </c>
      <c r="N390" s="29" t="str">
        <f>IF(M390="","",M390-B390)</f>
        <v/>
      </c>
      <c r="O390" s="1" t="str">
        <f t="shared" si="26"/>
        <v>Starter</v>
      </c>
      <c r="P390" t="str">
        <f>TEXT(B390, "mmmm")</f>
        <v>July</v>
      </c>
      <c r="Q390" t="str">
        <f t="shared" si="27"/>
        <v>Q3</v>
      </c>
      <c r="R390" t="str">
        <f>IFERROR(VLOOKUP(TRIM(CLEAN(G390)),Sheet14!$A$2:$B$19,2,FALSE),"Not Mapped")</f>
        <v>West</v>
      </c>
    </row>
    <row r="391" spans="1:18">
      <c r="A391" t="str">
        <f t="shared" si="24"/>
        <v>EOS0390</v>
      </c>
      <c r="B391" s="35" t="s">
        <v>838</v>
      </c>
      <c r="C391" s="1" t="s">
        <v>267</v>
      </c>
      <c r="D391" s="1" t="str">
        <f t="shared" si="25"/>
        <v>FB</v>
      </c>
      <c r="E391" s="1" t="s">
        <v>856</v>
      </c>
      <c r="F391" s="1"/>
      <c r="G391" s="1"/>
      <c r="H391" s="1" t="s">
        <v>149</v>
      </c>
      <c r="I391" s="1">
        <v>108000</v>
      </c>
      <c r="J391" s="45">
        <v>107389</v>
      </c>
      <c r="K391" s="1" t="str">
        <f>TRIM(Cleaned_CRM_Data!H391)</f>
        <v>Rejected</v>
      </c>
      <c r="L391" t="str">
        <f>IFERROR(VLOOKUP(K391, Status_Mapping!A:B, 2,), "Not Found")</f>
        <v>Rejected</v>
      </c>
      <c r="N391" s="29" t="str">
        <f>IF(M391="","",M391-B391)</f>
        <v/>
      </c>
      <c r="O391" s="1" t="str">
        <f t="shared" si="26"/>
        <v>Starter</v>
      </c>
      <c r="P391" t="str">
        <f>TEXT(B391, "mmmm")</f>
        <v>July</v>
      </c>
      <c r="Q391" t="str">
        <f t="shared" si="27"/>
        <v>Q3</v>
      </c>
      <c r="R391" t="str">
        <f>IFERROR(VLOOKUP(TRIM(CLEAN(G391)),Sheet14!$A$2:$B$19,2,FALSE),"Not Mapped")</f>
        <v>Not Mapped</v>
      </c>
    </row>
    <row r="392" spans="1:18">
      <c r="A392" t="str">
        <f t="shared" si="24"/>
        <v>EOS0391</v>
      </c>
      <c r="B392" s="35" t="s">
        <v>857</v>
      </c>
      <c r="C392" s="1" t="s">
        <v>267</v>
      </c>
      <c r="D392" s="1" t="str">
        <f t="shared" si="25"/>
        <v>FB</v>
      </c>
      <c r="E392" s="1" t="s">
        <v>858</v>
      </c>
      <c r="F392" s="1" t="s">
        <v>286</v>
      </c>
      <c r="G392" s="1" t="s">
        <v>223</v>
      </c>
      <c r="H392" s="1" t="s">
        <v>149</v>
      </c>
      <c r="I392" s="1">
        <v>130000</v>
      </c>
      <c r="J392" s="45">
        <v>107390</v>
      </c>
      <c r="K392" s="1" t="str">
        <f>TRIM(Cleaned_CRM_Data!H392)</f>
        <v>Rejected</v>
      </c>
      <c r="L392" t="str">
        <f>IFERROR(VLOOKUP(K392, Status_Mapping!A:B, 2,), "Not Found")</f>
        <v>Rejected</v>
      </c>
      <c r="N392" s="29" t="str">
        <f>IF(M392="","",M392-B392)</f>
        <v/>
      </c>
      <c r="O392" s="1" t="str">
        <f t="shared" si="26"/>
        <v>Starter</v>
      </c>
      <c r="P392" t="str">
        <f>TEXT(B392, "mmmm")</f>
        <v>July</v>
      </c>
      <c r="Q392" t="str">
        <f t="shared" si="27"/>
        <v>Q3</v>
      </c>
      <c r="R392" t="str">
        <f>IFERROR(VLOOKUP(TRIM(CLEAN(G392)),Sheet14!$A$2:$B$19,2,FALSE),"Not Mapped")</f>
        <v>West</v>
      </c>
    </row>
    <row r="393" spans="1:18">
      <c r="A393" t="str">
        <f t="shared" si="24"/>
        <v>EOS0392</v>
      </c>
      <c r="B393" s="35" t="s">
        <v>857</v>
      </c>
      <c r="C393" s="1" t="s">
        <v>267</v>
      </c>
      <c r="D393" s="1" t="str">
        <f t="shared" si="25"/>
        <v>FB</v>
      </c>
      <c r="E393" s="1" t="s">
        <v>859</v>
      </c>
      <c r="F393" s="1" t="s">
        <v>860</v>
      </c>
      <c r="G393" s="1" t="s">
        <v>223</v>
      </c>
      <c r="H393" s="1" t="s">
        <v>149</v>
      </c>
      <c r="I393" s="1">
        <v>108000</v>
      </c>
      <c r="J393" s="45">
        <v>107391</v>
      </c>
      <c r="K393" s="1" t="str">
        <f>TRIM(Cleaned_CRM_Data!H393)</f>
        <v>Rejected</v>
      </c>
      <c r="L393" t="str">
        <f>IFERROR(VLOOKUP(K393, Status_Mapping!A:B, 2,), "Not Found")</f>
        <v>Rejected</v>
      </c>
      <c r="N393" s="29" t="str">
        <f>IF(M393="","",M393-B393)</f>
        <v/>
      </c>
      <c r="O393" s="1" t="str">
        <f t="shared" si="26"/>
        <v>Starter</v>
      </c>
      <c r="P393" t="str">
        <f>TEXT(B393, "mmmm")</f>
        <v>July</v>
      </c>
      <c r="Q393" t="str">
        <f t="shared" si="27"/>
        <v>Q3</v>
      </c>
      <c r="R393" t="str">
        <f>IFERROR(VLOOKUP(TRIM(CLEAN(G393)),Sheet14!$A$2:$B$19,2,FALSE),"Not Mapped")</f>
        <v>West</v>
      </c>
    </row>
    <row r="394" spans="1:18">
      <c r="A394" t="str">
        <f t="shared" si="24"/>
        <v>EOS0393</v>
      </c>
      <c r="B394" s="35" t="s">
        <v>857</v>
      </c>
      <c r="C394" s="1" t="s">
        <v>267</v>
      </c>
      <c r="D394" s="1" t="str">
        <f t="shared" si="25"/>
        <v>FB</v>
      </c>
      <c r="E394" s="1" t="s">
        <v>402</v>
      </c>
      <c r="F394" s="1" t="s">
        <v>300</v>
      </c>
      <c r="G394" s="1" t="s">
        <v>223</v>
      </c>
      <c r="H394" s="1" t="s">
        <v>149</v>
      </c>
      <c r="I394" s="1">
        <v>108000</v>
      </c>
      <c r="J394" s="45">
        <v>107392</v>
      </c>
      <c r="K394" s="1" t="str">
        <f>TRIM(Cleaned_CRM_Data!H394)</f>
        <v>Rejected</v>
      </c>
      <c r="L394" t="str">
        <f>IFERROR(VLOOKUP(K394, Status_Mapping!A:B, 2,), "Not Found")</f>
        <v>Rejected</v>
      </c>
      <c r="N394" s="29" t="str">
        <f>IF(M394="","",M394-B394)</f>
        <v/>
      </c>
      <c r="O394" s="1" t="str">
        <f t="shared" si="26"/>
        <v>Starter</v>
      </c>
      <c r="P394" t="str">
        <f>TEXT(B394, "mmmm")</f>
        <v>July</v>
      </c>
      <c r="Q394" t="str">
        <f t="shared" si="27"/>
        <v>Q3</v>
      </c>
      <c r="R394" t="str">
        <f>IFERROR(VLOOKUP(TRIM(CLEAN(G394)),Sheet14!$A$2:$B$19,2,FALSE),"Not Mapped")</f>
        <v>West</v>
      </c>
    </row>
    <row r="395" spans="1:18">
      <c r="A395" t="str">
        <f t="shared" si="24"/>
        <v>EOS0394</v>
      </c>
      <c r="B395" s="35" t="s">
        <v>857</v>
      </c>
      <c r="C395" s="1" t="s">
        <v>267</v>
      </c>
      <c r="D395" s="1" t="str">
        <f t="shared" si="25"/>
        <v>FB</v>
      </c>
      <c r="E395" s="1" t="s">
        <v>861</v>
      </c>
      <c r="F395" s="1" t="s">
        <v>304</v>
      </c>
      <c r="G395" s="1" t="s">
        <v>223</v>
      </c>
      <c r="H395" s="1" t="s">
        <v>149</v>
      </c>
      <c r="I395" s="1">
        <v>108000</v>
      </c>
      <c r="J395" s="45">
        <v>107393</v>
      </c>
      <c r="K395" s="1" t="str">
        <f>TRIM(Cleaned_CRM_Data!H395)</f>
        <v>Rejected</v>
      </c>
      <c r="L395" t="str">
        <f>IFERROR(VLOOKUP(K395, Status_Mapping!A:B, 2,), "Not Found")</f>
        <v>Rejected</v>
      </c>
      <c r="N395" s="29" t="str">
        <f>IF(M395="","",M395-B395)</f>
        <v/>
      </c>
      <c r="O395" s="1" t="str">
        <f t="shared" si="26"/>
        <v>Starter</v>
      </c>
      <c r="P395" t="str">
        <f>TEXT(B395, "mmmm")</f>
        <v>July</v>
      </c>
      <c r="Q395" t="str">
        <f t="shared" si="27"/>
        <v>Q3</v>
      </c>
      <c r="R395" t="str">
        <f>IFERROR(VLOOKUP(TRIM(CLEAN(G395)),Sheet14!$A$2:$B$19,2,FALSE),"Not Mapped")</f>
        <v>West</v>
      </c>
    </row>
    <row r="396" spans="1:18">
      <c r="A396" t="str">
        <f t="shared" si="24"/>
        <v>EOS0395</v>
      </c>
      <c r="B396" s="35" t="s">
        <v>857</v>
      </c>
      <c r="C396" s="1" t="s">
        <v>267</v>
      </c>
      <c r="D396" s="1" t="str">
        <f t="shared" si="25"/>
        <v>FB</v>
      </c>
      <c r="E396" s="1" t="s">
        <v>862</v>
      </c>
      <c r="F396" s="1" t="s">
        <v>275</v>
      </c>
      <c r="G396" s="1" t="s">
        <v>223</v>
      </c>
      <c r="H396" s="1" t="s">
        <v>149</v>
      </c>
      <c r="I396" s="1">
        <v>108000</v>
      </c>
      <c r="J396" s="45">
        <v>107394</v>
      </c>
      <c r="K396" s="1" t="str">
        <f>TRIM(Cleaned_CRM_Data!H396)</f>
        <v>Rejected</v>
      </c>
      <c r="L396" t="str">
        <f>IFERROR(VLOOKUP(K396, Status_Mapping!A:B, 2,), "Not Found")</f>
        <v>Rejected</v>
      </c>
      <c r="N396" s="29" t="str">
        <f>IF(M396="","",M396-B396)</f>
        <v/>
      </c>
      <c r="O396" s="1" t="str">
        <f t="shared" si="26"/>
        <v>Starter</v>
      </c>
      <c r="P396" t="str">
        <f>TEXT(B396, "mmmm")</f>
        <v>July</v>
      </c>
      <c r="Q396" t="str">
        <f t="shared" si="27"/>
        <v>Q3</v>
      </c>
      <c r="R396" t="str">
        <f>IFERROR(VLOOKUP(TRIM(CLEAN(G396)),Sheet14!$A$2:$B$19,2,FALSE),"Not Mapped")</f>
        <v>West</v>
      </c>
    </row>
    <row r="397" spans="1:18">
      <c r="A397" t="str">
        <f t="shared" si="24"/>
        <v>EOS0396</v>
      </c>
      <c r="B397" s="35" t="s">
        <v>857</v>
      </c>
      <c r="C397" s="1" t="s">
        <v>267</v>
      </c>
      <c r="D397" s="1" t="str">
        <f t="shared" si="25"/>
        <v>FB</v>
      </c>
      <c r="E397" s="1" t="s">
        <v>863</v>
      </c>
      <c r="F397" s="1" t="s">
        <v>304</v>
      </c>
      <c r="G397" s="1" t="s">
        <v>223</v>
      </c>
      <c r="H397" s="1" t="s">
        <v>149</v>
      </c>
      <c r="I397" s="1">
        <v>108000</v>
      </c>
      <c r="J397" s="45">
        <v>107395</v>
      </c>
      <c r="K397" s="1" t="str">
        <f>TRIM(Cleaned_CRM_Data!H397)</f>
        <v>Rejected</v>
      </c>
      <c r="L397" t="str">
        <f>IFERROR(VLOOKUP(K397, Status_Mapping!A:B, 2,), "Not Found")</f>
        <v>Rejected</v>
      </c>
      <c r="N397" s="29" t="str">
        <f>IF(M397="","",M397-B397)</f>
        <v/>
      </c>
      <c r="O397" s="1" t="str">
        <f t="shared" si="26"/>
        <v>Starter</v>
      </c>
      <c r="P397" t="str">
        <f>TEXT(B397, "mmmm")</f>
        <v>July</v>
      </c>
      <c r="Q397" t="str">
        <f t="shared" si="27"/>
        <v>Q3</v>
      </c>
      <c r="R397" t="str">
        <f>IFERROR(VLOOKUP(TRIM(CLEAN(G397)),Sheet14!$A$2:$B$19,2,FALSE),"Not Mapped")</f>
        <v>West</v>
      </c>
    </row>
    <row r="398" spans="1:18">
      <c r="A398" t="str">
        <f t="shared" si="24"/>
        <v>EOS0397</v>
      </c>
      <c r="B398" s="35" t="s">
        <v>857</v>
      </c>
      <c r="C398" s="1" t="s">
        <v>267</v>
      </c>
      <c r="D398" s="1" t="str">
        <f t="shared" si="25"/>
        <v>FB</v>
      </c>
      <c r="E398" s="1" t="s">
        <v>864</v>
      </c>
      <c r="F398" s="1" t="s">
        <v>496</v>
      </c>
      <c r="G398" s="1" t="s">
        <v>223</v>
      </c>
      <c r="H398" s="1" t="s">
        <v>149</v>
      </c>
      <c r="I398" s="1">
        <v>108000</v>
      </c>
      <c r="J398" s="45">
        <v>107396</v>
      </c>
      <c r="K398" s="1" t="str">
        <f>TRIM(Cleaned_CRM_Data!H398)</f>
        <v>Rejected</v>
      </c>
      <c r="L398" t="str">
        <f>IFERROR(VLOOKUP(K398, Status_Mapping!A:B, 2,), "Not Found")</f>
        <v>Rejected</v>
      </c>
      <c r="N398" s="29" t="str">
        <f>IF(M398="","",M398-B398)</f>
        <v/>
      </c>
      <c r="O398" s="1" t="str">
        <f t="shared" si="26"/>
        <v>Starter</v>
      </c>
      <c r="P398" t="str">
        <f>TEXT(B398, "mmmm")</f>
        <v>July</v>
      </c>
      <c r="Q398" t="str">
        <f t="shared" si="27"/>
        <v>Q3</v>
      </c>
      <c r="R398" t="str">
        <f>IFERROR(VLOOKUP(TRIM(CLEAN(G398)),Sheet14!$A$2:$B$19,2,FALSE),"Not Mapped")</f>
        <v>West</v>
      </c>
    </row>
    <row r="399" spans="1:18">
      <c r="A399" t="str">
        <f t="shared" si="24"/>
        <v>EOS0398</v>
      </c>
      <c r="B399" s="35" t="s">
        <v>857</v>
      </c>
      <c r="C399" s="1" t="s">
        <v>267</v>
      </c>
      <c r="D399" s="1" t="str">
        <f t="shared" si="25"/>
        <v>FB</v>
      </c>
      <c r="E399" s="1" t="s">
        <v>865</v>
      </c>
      <c r="F399" s="1" t="s">
        <v>489</v>
      </c>
      <c r="G399" s="1" t="s">
        <v>223</v>
      </c>
      <c r="H399" s="1" t="s">
        <v>149</v>
      </c>
      <c r="I399" s="1">
        <v>108000</v>
      </c>
      <c r="J399" s="45">
        <v>107397</v>
      </c>
      <c r="K399" s="1" t="str">
        <f>TRIM(Cleaned_CRM_Data!H399)</f>
        <v>Rejected</v>
      </c>
      <c r="L399" t="str">
        <f>IFERROR(VLOOKUP(K399, Status_Mapping!A:B, 2,), "Not Found")</f>
        <v>Rejected</v>
      </c>
      <c r="N399" s="29" t="str">
        <f>IF(M399="","",M399-B399)</f>
        <v/>
      </c>
      <c r="O399" s="1" t="str">
        <f t="shared" si="26"/>
        <v>Starter</v>
      </c>
      <c r="P399" t="str">
        <f>TEXT(B399, "mmmm")</f>
        <v>July</v>
      </c>
      <c r="Q399" t="str">
        <f t="shared" si="27"/>
        <v>Q3</v>
      </c>
      <c r="R399" t="str">
        <f>IFERROR(VLOOKUP(TRIM(CLEAN(G399)),Sheet14!$A$2:$B$19,2,FALSE),"Not Mapped")</f>
        <v>West</v>
      </c>
    </row>
    <row r="400" spans="1:18">
      <c r="A400" t="str">
        <f t="shared" si="24"/>
        <v>EOS0399</v>
      </c>
      <c r="B400" s="35" t="s">
        <v>857</v>
      </c>
      <c r="C400" s="1" t="s">
        <v>267</v>
      </c>
      <c r="D400" s="1" t="str">
        <f t="shared" si="25"/>
        <v>FB</v>
      </c>
      <c r="E400" s="1" t="s">
        <v>866</v>
      </c>
      <c r="F400" s="1" t="s">
        <v>304</v>
      </c>
      <c r="G400" s="1" t="s">
        <v>223</v>
      </c>
      <c r="H400" s="1" t="s">
        <v>149</v>
      </c>
      <c r="I400" s="1">
        <v>177000</v>
      </c>
      <c r="J400" s="45">
        <v>107398</v>
      </c>
      <c r="K400" s="1" t="str">
        <f>TRIM(Cleaned_CRM_Data!H400)</f>
        <v>Rejected</v>
      </c>
      <c r="L400" t="str">
        <f>IFERROR(VLOOKUP(K400, Status_Mapping!A:B, 2,), "Not Found")</f>
        <v>Rejected</v>
      </c>
      <c r="N400" s="29" t="str">
        <f>IF(M400="","",M400-B400)</f>
        <v/>
      </c>
      <c r="O400" s="1" t="str">
        <f t="shared" si="26"/>
        <v>Growth</v>
      </c>
      <c r="P400" t="str">
        <f>TEXT(B400, "mmmm")</f>
        <v>July</v>
      </c>
      <c r="Q400" t="str">
        <f t="shared" si="27"/>
        <v>Q3</v>
      </c>
      <c r="R400" t="str">
        <f>IFERROR(VLOOKUP(TRIM(CLEAN(G400)),Sheet14!$A$2:$B$19,2,FALSE),"Not Mapped")</f>
        <v>West</v>
      </c>
    </row>
    <row r="401" spans="1:18">
      <c r="A401" t="str">
        <f t="shared" si="24"/>
        <v>EOS0400</v>
      </c>
      <c r="B401" s="35" t="s">
        <v>857</v>
      </c>
      <c r="C401" s="1" t="s">
        <v>267</v>
      </c>
      <c r="D401" s="1" t="str">
        <f t="shared" si="25"/>
        <v>FB</v>
      </c>
      <c r="E401" s="1" t="s">
        <v>867</v>
      </c>
      <c r="F401" s="1" t="s">
        <v>275</v>
      </c>
      <c r="G401" s="1" t="s">
        <v>223</v>
      </c>
      <c r="H401" s="1" t="s">
        <v>149</v>
      </c>
      <c r="I401" s="1">
        <v>130000</v>
      </c>
      <c r="J401" s="45">
        <v>107399</v>
      </c>
      <c r="K401" s="1" t="str">
        <f>TRIM(Cleaned_CRM_Data!H401)</f>
        <v>Rejected</v>
      </c>
      <c r="L401" t="str">
        <f>IFERROR(VLOOKUP(K401, Status_Mapping!A:B, 2,), "Not Found")</f>
        <v>Rejected</v>
      </c>
      <c r="N401" s="29" t="str">
        <f>IF(M401="","",M401-B401)</f>
        <v/>
      </c>
      <c r="O401" s="1" t="str">
        <f t="shared" si="26"/>
        <v>Starter</v>
      </c>
      <c r="P401" t="str">
        <f>TEXT(B401, "mmmm")</f>
        <v>July</v>
      </c>
      <c r="Q401" t="str">
        <f t="shared" si="27"/>
        <v>Q3</v>
      </c>
      <c r="R401" t="str">
        <f>IFERROR(VLOOKUP(TRIM(CLEAN(G401)),Sheet14!$A$2:$B$19,2,FALSE),"Not Mapped")</f>
        <v>West</v>
      </c>
    </row>
    <row r="402" spans="1:18">
      <c r="A402" t="str">
        <f t="shared" si="24"/>
        <v>EOS0401</v>
      </c>
      <c r="B402" s="35" t="s">
        <v>857</v>
      </c>
      <c r="C402" s="1" t="s">
        <v>267</v>
      </c>
      <c r="D402" s="1" t="str">
        <f t="shared" si="25"/>
        <v>FB</v>
      </c>
      <c r="E402" s="1" t="s">
        <v>868</v>
      </c>
      <c r="F402" s="1" t="s">
        <v>869</v>
      </c>
      <c r="G402" s="1" t="s">
        <v>223</v>
      </c>
      <c r="H402" s="1" t="s">
        <v>149</v>
      </c>
      <c r="I402" s="1">
        <v>130000</v>
      </c>
      <c r="J402" s="45">
        <v>107400</v>
      </c>
      <c r="K402" s="1" t="str">
        <f>TRIM(Cleaned_CRM_Data!H402)</f>
        <v>Rejected</v>
      </c>
      <c r="L402" t="str">
        <f>IFERROR(VLOOKUP(K402, Status_Mapping!A:B, 2,), "Not Found")</f>
        <v>Rejected</v>
      </c>
      <c r="N402" s="29" t="str">
        <f>IF(M402="","",M402-B402)</f>
        <v/>
      </c>
      <c r="O402" s="1" t="str">
        <f t="shared" si="26"/>
        <v>Starter</v>
      </c>
      <c r="P402" t="str">
        <f>TEXT(B402, "mmmm")</f>
        <v>July</v>
      </c>
      <c r="Q402" t="str">
        <f t="shared" si="27"/>
        <v>Q3</v>
      </c>
      <c r="R402" t="str">
        <f>IFERROR(VLOOKUP(TRIM(CLEAN(G402)),Sheet14!$A$2:$B$19,2,FALSE),"Not Mapped")</f>
        <v>West</v>
      </c>
    </row>
    <row r="403" spans="1:18">
      <c r="A403" t="str">
        <f t="shared" si="24"/>
        <v>EOS0402</v>
      </c>
      <c r="B403" s="35" t="s">
        <v>857</v>
      </c>
      <c r="C403" s="1" t="s">
        <v>267</v>
      </c>
      <c r="D403" s="1" t="str">
        <f t="shared" si="25"/>
        <v>FB</v>
      </c>
      <c r="E403" s="1" t="s">
        <v>870</v>
      </c>
      <c r="F403" s="1" t="s">
        <v>304</v>
      </c>
      <c r="G403" s="1" t="s">
        <v>223</v>
      </c>
      <c r="H403" s="1" t="s">
        <v>149</v>
      </c>
      <c r="I403" s="1">
        <v>130000</v>
      </c>
      <c r="J403" s="45">
        <v>107401</v>
      </c>
      <c r="K403" s="1" t="str">
        <f>TRIM(Cleaned_CRM_Data!H403)</f>
        <v>Rejected</v>
      </c>
      <c r="L403" t="str">
        <f>IFERROR(VLOOKUP(K403, Status_Mapping!A:B, 2,), "Not Found")</f>
        <v>Rejected</v>
      </c>
      <c r="N403" s="29" t="str">
        <f>IF(M403="","",M403-B403)</f>
        <v/>
      </c>
      <c r="O403" s="1" t="str">
        <f t="shared" si="26"/>
        <v>Starter</v>
      </c>
      <c r="P403" t="str">
        <f>TEXT(B403, "mmmm")</f>
        <v>July</v>
      </c>
      <c r="Q403" t="str">
        <f t="shared" si="27"/>
        <v>Q3</v>
      </c>
      <c r="R403" t="str">
        <f>IFERROR(VLOOKUP(TRIM(CLEAN(G403)),Sheet14!$A$2:$B$19,2,FALSE),"Not Mapped")</f>
        <v>West</v>
      </c>
    </row>
    <row r="404" spans="1:18">
      <c r="A404" t="str">
        <f t="shared" si="24"/>
        <v>EOS0403</v>
      </c>
      <c r="B404" s="35" t="s">
        <v>857</v>
      </c>
      <c r="C404" s="1" t="s">
        <v>267</v>
      </c>
      <c r="D404" s="1" t="str">
        <f t="shared" si="25"/>
        <v>FB</v>
      </c>
      <c r="E404" s="1" t="s">
        <v>871</v>
      </c>
      <c r="F404" s="1" t="s">
        <v>782</v>
      </c>
      <c r="G404" s="1" t="s">
        <v>228</v>
      </c>
      <c r="H404" s="1" t="s">
        <v>149</v>
      </c>
      <c r="I404" s="1">
        <v>108000</v>
      </c>
      <c r="J404" s="45">
        <v>107402</v>
      </c>
      <c r="K404" s="1" t="str">
        <f>TRIM(Cleaned_CRM_Data!H404)</f>
        <v>Rejected</v>
      </c>
      <c r="L404" t="str">
        <f>IFERROR(VLOOKUP(K404, Status_Mapping!A:B, 2,), "Not Found")</f>
        <v>Rejected</v>
      </c>
      <c r="N404" s="29" t="str">
        <f>IF(M404="","",M404-B404)</f>
        <v/>
      </c>
      <c r="O404" s="1" t="str">
        <f t="shared" si="26"/>
        <v>Starter</v>
      </c>
      <c r="P404" t="str">
        <f>TEXT(B404, "mmmm")</f>
        <v>July</v>
      </c>
      <c r="Q404" t="str">
        <f t="shared" si="27"/>
        <v>Q3</v>
      </c>
      <c r="R404" t="str">
        <f>IFERROR(VLOOKUP(TRIM(CLEAN(G404)),Sheet14!$A$2:$B$19,2,FALSE),"Not Mapped")</f>
        <v>Central</v>
      </c>
    </row>
    <row r="405" spans="1:18">
      <c r="A405" t="str">
        <f t="shared" si="24"/>
        <v>EOS0404</v>
      </c>
      <c r="B405" s="35" t="s">
        <v>857</v>
      </c>
      <c r="C405" s="1" t="s">
        <v>267</v>
      </c>
      <c r="D405" s="1" t="str">
        <f t="shared" si="25"/>
        <v>FB</v>
      </c>
      <c r="E405" s="1" t="s">
        <v>872</v>
      </c>
      <c r="F405" s="1"/>
      <c r="G405" s="1" t="s">
        <v>223</v>
      </c>
      <c r="H405" s="1" t="s">
        <v>149</v>
      </c>
      <c r="I405" s="1">
        <v>130000</v>
      </c>
      <c r="J405" s="45">
        <v>107403</v>
      </c>
      <c r="K405" s="1" t="str">
        <f>TRIM(Cleaned_CRM_Data!H405)</f>
        <v>Rejected</v>
      </c>
      <c r="L405" t="str">
        <f>IFERROR(VLOOKUP(K405, Status_Mapping!A:B, 2,), "Not Found")</f>
        <v>Rejected</v>
      </c>
      <c r="N405" s="29" t="str">
        <f>IF(M405="","",M405-B405)</f>
        <v/>
      </c>
      <c r="O405" s="1" t="str">
        <f t="shared" si="26"/>
        <v>Starter</v>
      </c>
      <c r="P405" t="str">
        <f>TEXT(B405, "mmmm")</f>
        <v>July</v>
      </c>
      <c r="Q405" t="str">
        <f t="shared" si="27"/>
        <v>Q3</v>
      </c>
      <c r="R405" t="str">
        <f>IFERROR(VLOOKUP(TRIM(CLEAN(G405)),Sheet14!$A$2:$B$19,2,FALSE),"Not Mapped")</f>
        <v>West</v>
      </c>
    </row>
    <row r="406" spans="1:18">
      <c r="A406" t="str">
        <f t="shared" si="24"/>
        <v>EOS0405</v>
      </c>
      <c r="B406" s="35" t="s">
        <v>873</v>
      </c>
      <c r="C406" s="1" t="s">
        <v>267</v>
      </c>
      <c r="D406" s="1" t="str">
        <f t="shared" si="25"/>
        <v>FB</v>
      </c>
      <c r="E406" s="1" t="s">
        <v>874</v>
      </c>
      <c r="F406" s="1" t="s">
        <v>875</v>
      </c>
      <c r="G406" s="1" t="s">
        <v>223</v>
      </c>
      <c r="H406" s="1" t="s">
        <v>149</v>
      </c>
      <c r="I406" s="1">
        <v>130000</v>
      </c>
      <c r="J406" s="45">
        <v>107404</v>
      </c>
      <c r="K406" s="1" t="str">
        <f>TRIM(Cleaned_CRM_Data!H406)</f>
        <v>Rejected</v>
      </c>
      <c r="L406" t="str">
        <f>IFERROR(VLOOKUP(K406, Status_Mapping!A:B, 2,), "Not Found")</f>
        <v>Rejected</v>
      </c>
      <c r="N406" s="29" t="str">
        <f>IF(M406="","",M406-B406)</f>
        <v/>
      </c>
      <c r="O406" s="1" t="str">
        <f t="shared" si="26"/>
        <v>Starter</v>
      </c>
      <c r="P406" t="str">
        <f>TEXT(B406, "mmmm")</f>
        <v>July</v>
      </c>
      <c r="Q406" t="str">
        <f t="shared" si="27"/>
        <v>Q3</v>
      </c>
      <c r="R406" t="str">
        <f>IFERROR(VLOOKUP(TRIM(CLEAN(G406)),Sheet14!$A$2:$B$19,2,FALSE),"Not Mapped")</f>
        <v>West</v>
      </c>
    </row>
    <row r="407" spans="1:18">
      <c r="A407" t="str">
        <f t="shared" si="24"/>
        <v>EOS0406</v>
      </c>
      <c r="B407" s="35" t="s">
        <v>873</v>
      </c>
      <c r="C407" s="1" t="s">
        <v>267</v>
      </c>
      <c r="D407" s="1" t="str">
        <f t="shared" si="25"/>
        <v>FB</v>
      </c>
      <c r="E407" s="1" t="s">
        <v>876</v>
      </c>
      <c r="F407" s="1" t="s">
        <v>412</v>
      </c>
      <c r="G407" s="1" t="s">
        <v>223</v>
      </c>
      <c r="H407" s="1" t="s">
        <v>149</v>
      </c>
      <c r="I407" s="1">
        <v>108000</v>
      </c>
      <c r="J407" s="45">
        <v>107405</v>
      </c>
      <c r="K407" s="1" t="str">
        <f>TRIM(Cleaned_CRM_Data!H407)</f>
        <v>Rejected</v>
      </c>
      <c r="L407" t="str">
        <f>IFERROR(VLOOKUP(K407, Status_Mapping!A:B, 2,), "Not Found")</f>
        <v>Rejected</v>
      </c>
      <c r="N407" s="29" t="str">
        <f>IF(M407="","",M407-B407)</f>
        <v/>
      </c>
      <c r="O407" s="1" t="str">
        <f t="shared" si="26"/>
        <v>Starter</v>
      </c>
      <c r="P407" t="str">
        <f>TEXT(B407, "mmmm")</f>
        <v>July</v>
      </c>
      <c r="Q407" t="str">
        <f t="shared" si="27"/>
        <v>Q3</v>
      </c>
      <c r="R407" t="str">
        <f>IFERROR(VLOOKUP(TRIM(CLEAN(G407)),Sheet14!$A$2:$B$19,2,FALSE),"Not Mapped")</f>
        <v>West</v>
      </c>
    </row>
    <row r="408" spans="1:18">
      <c r="A408" t="str">
        <f t="shared" si="24"/>
        <v>EOS0407</v>
      </c>
      <c r="B408" s="35" t="s">
        <v>873</v>
      </c>
      <c r="C408" s="1" t="s">
        <v>267</v>
      </c>
      <c r="D408" s="1" t="str">
        <f t="shared" si="25"/>
        <v>FB</v>
      </c>
      <c r="E408" s="1" t="s">
        <v>877</v>
      </c>
      <c r="F408" s="1" t="s">
        <v>661</v>
      </c>
      <c r="G408" s="1" t="s">
        <v>223</v>
      </c>
      <c r="H408" s="1" t="s">
        <v>149</v>
      </c>
      <c r="I408" s="1">
        <v>130000</v>
      </c>
      <c r="J408" s="45">
        <v>107406</v>
      </c>
      <c r="K408" s="1" t="str">
        <f>TRIM(Cleaned_CRM_Data!H408)</f>
        <v>Rejected</v>
      </c>
      <c r="L408" t="str">
        <f>IFERROR(VLOOKUP(K408, Status_Mapping!A:B, 2,), "Not Found")</f>
        <v>Rejected</v>
      </c>
      <c r="N408" s="29" t="str">
        <f>IF(M408="","",M408-B408)</f>
        <v/>
      </c>
      <c r="O408" s="1" t="str">
        <f t="shared" si="26"/>
        <v>Starter</v>
      </c>
      <c r="P408" t="str">
        <f>TEXT(B408, "mmmm")</f>
        <v>July</v>
      </c>
      <c r="Q408" t="str">
        <f t="shared" si="27"/>
        <v>Q3</v>
      </c>
      <c r="R408" t="str">
        <f>IFERROR(VLOOKUP(TRIM(CLEAN(G408)),Sheet14!$A$2:$B$19,2,FALSE),"Not Mapped")</f>
        <v>West</v>
      </c>
    </row>
    <row r="409" spans="1:18">
      <c r="A409" t="str">
        <f t="shared" si="24"/>
        <v>EOS0408</v>
      </c>
      <c r="B409" s="35" t="s">
        <v>873</v>
      </c>
      <c r="C409" s="1" t="s">
        <v>267</v>
      </c>
      <c r="D409" s="1" t="str">
        <f t="shared" si="25"/>
        <v>FB</v>
      </c>
      <c r="E409" s="1" t="s">
        <v>878</v>
      </c>
      <c r="F409" s="1" t="s">
        <v>300</v>
      </c>
      <c r="G409" s="1" t="s">
        <v>223</v>
      </c>
      <c r="H409" s="1" t="s">
        <v>149</v>
      </c>
      <c r="I409" s="1">
        <v>130000</v>
      </c>
      <c r="J409" s="45">
        <v>107407</v>
      </c>
      <c r="K409" s="1" t="str">
        <f>TRIM(Cleaned_CRM_Data!H409)</f>
        <v>Rejected</v>
      </c>
      <c r="L409" t="str">
        <f>IFERROR(VLOOKUP(K409, Status_Mapping!A:B, 2,), "Not Found")</f>
        <v>Rejected</v>
      </c>
      <c r="N409" s="29" t="str">
        <f>IF(M409="","",M409-B409)</f>
        <v/>
      </c>
      <c r="O409" s="1" t="str">
        <f t="shared" si="26"/>
        <v>Starter</v>
      </c>
      <c r="P409" t="str">
        <f>TEXT(B409, "mmmm")</f>
        <v>July</v>
      </c>
      <c r="Q409" t="str">
        <f t="shared" si="27"/>
        <v>Q3</v>
      </c>
      <c r="R409" t="str">
        <f>IFERROR(VLOOKUP(TRIM(CLEAN(G409)),Sheet14!$A$2:$B$19,2,FALSE),"Not Mapped")</f>
        <v>West</v>
      </c>
    </row>
    <row r="410" spans="1:18">
      <c r="A410" t="str">
        <f t="shared" si="24"/>
        <v>EOS0409</v>
      </c>
      <c r="B410" s="35" t="s">
        <v>873</v>
      </c>
      <c r="C410" s="1" t="s">
        <v>267</v>
      </c>
      <c r="D410" s="1" t="str">
        <f t="shared" si="25"/>
        <v>FB</v>
      </c>
      <c r="E410" s="1" t="s">
        <v>879</v>
      </c>
      <c r="F410" s="1" t="s">
        <v>304</v>
      </c>
      <c r="G410" s="1" t="s">
        <v>223</v>
      </c>
      <c r="H410" s="1" t="s">
        <v>149</v>
      </c>
      <c r="I410" s="1">
        <v>130000</v>
      </c>
      <c r="J410" s="45">
        <v>107408</v>
      </c>
      <c r="K410" s="1" t="str">
        <f>TRIM(Cleaned_CRM_Data!H410)</f>
        <v>Rejected</v>
      </c>
      <c r="L410" t="str">
        <f>IFERROR(VLOOKUP(K410, Status_Mapping!A:B, 2,), "Not Found")</f>
        <v>Rejected</v>
      </c>
      <c r="N410" s="29" t="str">
        <f>IF(M410="","",M410-B410)</f>
        <v/>
      </c>
      <c r="O410" s="1" t="str">
        <f t="shared" si="26"/>
        <v>Starter</v>
      </c>
      <c r="P410" t="str">
        <f>TEXT(B410, "mmmm")</f>
        <v>July</v>
      </c>
      <c r="Q410" t="str">
        <f t="shared" si="27"/>
        <v>Q3</v>
      </c>
      <c r="R410" t="str">
        <f>IFERROR(VLOOKUP(TRIM(CLEAN(G410)),Sheet14!$A$2:$B$19,2,FALSE),"Not Mapped")</f>
        <v>West</v>
      </c>
    </row>
    <row r="411" spans="1:18">
      <c r="A411" t="str">
        <f t="shared" si="24"/>
        <v>EOS0410</v>
      </c>
      <c r="B411" s="35" t="s">
        <v>873</v>
      </c>
      <c r="C411" s="1" t="s">
        <v>267</v>
      </c>
      <c r="D411" s="1" t="str">
        <f t="shared" si="25"/>
        <v>FB</v>
      </c>
      <c r="E411" s="1" t="s">
        <v>880</v>
      </c>
      <c r="F411" s="1" t="s">
        <v>881</v>
      </c>
      <c r="G411" s="1" t="s">
        <v>223</v>
      </c>
      <c r="H411" s="1" t="s">
        <v>149</v>
      </c>
      <c r="I411" s="1">
        <v>108000</v>
      </c>
      <c r="J411" s="45">
        <v>107409</v>
      </c>
      <c r="K411" s="1" t="str">
        <f>TRIM(Cleaned_CRM_Data!H411)</f>
        <v>Rejected</v>
      </c>
      <c r="L411" t="str">
        <f>IFERROR(VLOOKUP(K411, Status_Mapping!A:B, 2,), "Not Found")</f>
        <v>Rejected</v>
      </c>
      <c r="N411" s="29" t="str">
        <f>IF(M411="","",M411-B411)</f>
        <v/>
      </c>
      <c r="O411" s="1" t="str">
        <f t="shared" si="26"/>
        <v>Starter</v>
      </c>
      <c r="P411" t="str">
        <f>TEXT(B411, "mmmm")</f>
        <v>July</v>
      </c>
      <c r="Q411" t="str">
        <f t="shared" si="27"/>
        <v>Q3</v>
      </c>
      <c r="R411" t="str">
        <f>IFERROR(VLOOKUP(TRIM(CLEAN(G411)),Sheet14!$A$2:$B$19,2,FALSE),"Not Mapped")</f>
        <v>West</v>
      </c>
    </row>
    <row r="412" spans="1:18">
      <c r="A412" t="str">
        <f t="shared" si="24"/>
        <v>EOS0411</v>
      </c>
      <c r="B412" s="35" t="s">
        <v>873</v>
      </c>
      <c r="C412" s="1" t="s">
        <v>267</v>
      </c>
      <c r="D412" s="1" t="str">
        <f t="shared" si="25"/>
        <v>FB</v>
      </c>
      <c r="E412" s="1" t="s">
        <v>882</v>
      </c>
      <c r="F412" s="1" t="s">
        <v>599</v>
      </c>
      <c r="G412" s="1" t="s">
        <v>223</v>
      </c>
      <c r="H412" s="1" t="s">
        <v>149</v>
      </c>
      <c r="I412" s="1">
        <v>108000</v>
      </c>
      <c r="J412" s="45">
        <v>107410</v>
      </c>
      <c r="K412" s="1" t="str">
        <f>TRIM(Cleaned_CRM_Data!H412)</f>
        <v>Rejected</v>
      </c>
      <c r="L412" t="str">
        <f>IFERROR(VLOOKUP(K412, Status_Mapping!A:B, 2,), "Not Found")</f>
        <v>Rejected</v>
      </c>
      <c r="N412" s="29" t="str">
        <f>IF(M412="","",M412-B412)</f>
        <v/>
      </c>
      <c r="O412" s="1" t="str">
        <f t="shared" si="26"/>
        <v>Starter</v>
      </c>
      <c r="P412" t="str">
        <f>TEXT(B412, "mmmm")</f>
        <v>July</v>
      </c>
      <c r="Q412" t="str">
        <f t="shared" si="27"/>
        <v>Q3</v>
      </c>
      <c r="R412" t="str">
        <f>IFERROR(VLOOKUP(TRIM(CLEAN(G412)),Sheet14!$A$2:$B$19,2,FALSE),"Not Mapped")</f>
        <v>West</v>
      </c>
    </row>
    <row r="413" spans="1:18">
      <c r="A413" t="str">
        <f t="shared" si="24"/>
        <v>EOS0412</v>
      </c>
      <c r="B413" s="35" t="s">
        <v>873</v>
      </c>
      <c r="C413" s="1" t="s">
        <v>267</v>
      </c>
      <c r="D413" s="1" t="str">
        <f t="shared" si="25"/>
        <v>FB</v>
      </c>
      <c r="E413" s="1" t="s">
        <v>883</v>
      </c>
      <c r="F413" s="1" t="s">
        <v>661</v>
      </c>
      <c r="G413" s="1" t="s">
        <v>223</v>
      </c>
      <c r="H413" s="1" t="s">
        <v>149</v>
      </c>
      <c r="I413" s="1">
        <v>108000</v>
      </c>
      <c r="J413" s="45">
        <v>107411</v>
      </c>
      <c r="K413" s="1" t="str">
        <f>TRIM(Cleaned_CRM_Data!H413)</f>
        <v>Rejected</v>
      </c>
      <c r="L413" t="str">
        <f>IFERROR(VLOOKUP(K413, Status_Mapping!A:B, 2,), "Not Found")</f>
        <v>Rejected</v>
      </c>
      <c r="N413" s="29" t="str">
        <f>IF(M413="","",M413-B413)</f>
        <v/>
      </c>
      <c r="O413" s="1" t="str">
        <f t="shared" si="26"/>
        <v>Starter</v>
      </c>
      <c r="P413" t="str">
        <f>TEXT(B413, "mmmm")</f>
        <v>July</v>
      </c>
      <c r="Q413" t="str">
        <f t="shared" si="27"/>
        <v>Q3</v>
      </c>
      <c r="R413" t="str">
        <f>IFERROR(VLOOKUP(TRIM(CLEAN(G413)),Sheet14!$A$2:$B$19,2,FALSE),"Not Mapped")</f>
        <v>West</v>
      </c>
    </row>
    <row r="414" spans="1:18">
      <c r="A414" t="str">
        <f t="shared" si="24"/>
        <v>EOS0413</v>
      </c>
      <c r="B414" s="35" t="s">
        <v>873</v>
      </c>
      <c r="C414" s="1" t="s">
        <v>267</v>
      </c>
      <c r="D414" s="1" t="str">
        <f t="shared" si="25"/>
        <v>FB</v>
      </c>
      <c r="E414" s="1" t="s">
        <v>884</v>
      </c>
      <c r="F414" s="1" t="s">
        <v>275</v>
      </c>
      <c r="G414" s="1" t="s">
        <v>223</v>
      </c>
      <c r="H414" s="1" t="s">
        <v>149</v>
      </c>
      <c r="I414" s="1">
        <v>177000</v>
      </c>
      <c r="J414" s="45">
        <v>107412</v>
      </c>
      <c r="K414" s="1" t="str">
        <f>TRIM(Cleaned_CRM_Data!H414)</f>
        <v>Rejected</v>
      </c>
      <c r="L414" t="str">
        <f>IFERROR(VLOOKUP(K414, Status_Mapping!A:B, 2,), "Not Found")</f>
        <v>Rejected</v>
      </c>
      <c r="N414" s="29" t="str">
        <f>IF(M414="","",M414-B414)</f>
        <v/>
      </c>
      <c r="O414" s="1" t="str">
        <f t="shared" si="26"/>
        <v>Growth</v>
      </c>
      <c r="P414" t="str">
        <f>TEXT(B414, "mmmm")</f>
        <v>July</v>
      </c>
      <c r="Q414" t="str">
        <f t="shared" si="27"/>
        <v>Q3</v>
      </c>
      <c r="R414" t="str">
        <f>IFERROR(VLOOKUP(TRIM(CLEAN(G414)),Sheet14!$A$2:$B$19,2,FALSE),"Not Mapped")</f>
        <v>West</v>
      </c>
    </row>
    <row r="415" spans="1:18">
      <c r="A415" t="str">
        <f t="shared" si="24"/>
        <v>EOS0414</v>
      </c>
      <c r="B415" s="35" t="s">
        <v>873</v>
      </c>
      <c r="C415" s="1" t="s">
        <v>267</v>
      </c>
      <c r="D415" s="1" t="str">
        <f t="shared" si="25"/>
        <v>FB</v>
      </c>
      <c r="E415" s="1" t="s">
        <v>885</v>
      </c>
      <c r="F415" s="1" t="s">
        <v>333</v>
      </c>
      <c r="G415" s="1" t="s">
        <v>223</v>
      </c>
      <c r="H415" s="1" t="s">
        <v>149</v>
      </c>
      <c r="I415" s="1">
        <v>108000</v>
      </c>
      <c r="J415" s="45">
        <v>107413</v>
      </c>
      <c r="K415" s="1" t="str">
        <f>TRIM(Cleaned_CRM_Data!H415)</f>
        <v>Rejected</v>
      </c>
      <c r="L415" t="str">
        <f>IFERROR(VLOOKUP(K415, Status_Mapping!A:B, 2,), "Not Found")</f>
        <v>Rejected</v>
      </c>
      <c r="N415" s="29" t="str">
        <f>IF(M415="","",M415-B415)</f>
        <v/>
      </c>
      <c r="O415" s="1" t="str">
        <f t="shared" si="26"/>
        <v>Starter</v>
      </c>
      <c r="P415" t="str">
        <f>TEXT(B415, "mmmm")</f>
        <v>July</v>
      </c>
      <c r="Q415" t="str">
        <f t="shared" si="27"/>
        <v>Q3</v>
      </c>
      <c r="R415" t="str">
        <f>IFERROR(VLOOKUP(TRIM(CLEAN(G415)),Sheet14!$A$2:$B$19,2,FALSE),"Not Mapped")</f>
        <v>West</v>
      </c>
    </row>
    <row r="416" spans="1:18">
      <c r="A416" t="str">
        <f t="shared" si="24"/>
        <v>EOS0415</v>
      </c>
      <c r="B416" s="35" t="s">
        <v>873</v>
      </c>
      <c r="C416" s="1" t="s">
        <v>267</v>
      </c>
      <c r="D416" s="1" t="str">
        <f t="shared" si="25"/>
        <v>FB</v>
      </c>
      <c r="E416" s="1" t="s">
        <v>886</v>
      </c>
      <c r="F416" s="1"/>
      <c r="G416" s="1" t="s">
        <v>235</v>
      </c>
      <c r="H416" s="1" t="s">
        <v>149</v>
      </c>
      <c r="I416" s="1">
        <v>130000</v>
      </c>
      <c r="J416" s="45">
        <v>107414</v>
      </c>
      <c r="K416" s="1" t="str">
        <f>TRIM(Cleaned_CRM_Data!H416)</f>
        <v>Rejected</v>
      </c>
      <c r="L416" t="str">
        <f>IFERROR(VLOOKUP(K416, Status_Mapping!A:B, 2,), "Not Found")</f>
        <v>Rejected</v>
      </c>
      <c r="N416" s="29" t="str">
        <f>IF(M416="","",M416-B416)</f>
        <v/>
      </c>
      <c r="O416" s="1" t="str">
        <f t="shared" si="26"/>
        <v>Starter</v>
      </c>
      <c r="P416" t="str">
        <f>TEXT(B416, "mmmm")</f>
        <v>July</v>
      </c>
      <c r="Q416" t="str">
        <f t="shared" si="27"/>
        <v>Q3</v>
      </c>
      <c r="R416" t="str">
        <f>IFERROR(VLOOKUP(TRIM(CLEAN(G416)),Sheet14!$A$2:$B$19,2,FALSE),"Not Mapped")</f>
        <v>West</v>
      </c>
    </row>
    <row r="417" spans="1:18">
      <c r="A417" t="str">
        <f t="shared" si="24"/>
        <v>EOS0416</v>
      </c>
      <c r="B417" s="35" t="s">
        <v>873</v>
      </c>
      <c r="C417" s="1" t="s">
        <v>267</v>
      </c>
      <c r="D417" s="1" t="str">
        <f t="shared" si="25"/>
        <v>FB</v>
      </c>
      <c r="E417" s="1" t="s">
        <v>887</v>
      </c>
      <c r="F417" s="1" t="s">
        <v>888</v>
      </c>
      <c r="G417" s="1" t="s">
        <v>239</v>
      </c>
      <c r="H417" s="1" t="s">
        <v>149</v>
      </c>
      <c r="I417" s="1">
        <v>130000</v>
      </c>
      <c r="J417" s="45">
        <v>107415</v>
      </c>
      <c r="K417" s="1" t="str">
        <f>TRIM(Cleaned_CRM_Data!H417)</f>
        <v>Rejected</v>
      </c>
      <c r="L417" t="str">
        <f>IFERROR(VLOOKUP(K417, Status_Mapping!A:B, 2,), "Not Found")</f>
        <v>Rejected</v>
      </c>
      <c r="N417" s="29" t="str">
        <f>IF(M417="","",M417-B417)</f>
        <v/>
      </c>
      <c r="O417" s="1" t="str">
        <f t="shared" si="26"/>
        <v>Starter</v>
      </c>
      <c r="P417" t="str">
        <f>TEXT(B417, "mmmm")</f>
        <v>July</v>
      </c>
      <c r="Q417" t="str">
        <f t="shared" si="27"/>
        <v>Q3</v>
      </c>
      <c r="R417" t="str">
        <f>IFERROR(VLOOKUP(TRIM(CLEAN(G417)),Sheet14!$A$2:$B$19,2,FALSE),"Not Mapped")</f>
        <v>East</v>
      </c>
    </row>
    <row r="418" spans="1:18">
      <c r="A418" t="str">
        <f t="shared" si="24"/>
        <v>EOS0417</v>
      </c>
      <c r="B418" s="35" t="s">
        <v>873</v>
      </c>
      <c r="C418" s="1" t="s">
        <v>267</v>
      </c>
      <c r="D418" s="1" t="str">
        <f t="shared" si="25"/>
        <v>FB</v>
      </c>
      <c r="E418" s="1" t="s">
        <v>889</v>
      </c>
      <c r="F418" s="1" t="s">
        <v>890</v>
      </c>
      <c r="G418" s="1" t="s">
        <v>235</v>
      </c>
      <c r="H418" s="1" t="s">
        <v>149</v>
      </c>
      <c r="I418" s="1">
        <v>108000</v>
      </c>
      <c r="J418" s="45">
        <v>107416</v>
      </c>
      <c r="K418" s="1" t="str">
        <f>TRIM(Cleaned_CRM_Data!H418)</f>
        <v>Rejected</v>
      </c>
      <c r="L418" t="str">
        <f>IFERROR(VLOOKUP(K418, Status_Mapping!A:B, 2,), "Not Found")</f>
        <v>Rejected</v>
      </c>
      <c r="N418" s="29" t="str">
        <f>IF(M418="","",M418-B418)</f>
        <v/>
      </c>
      <c r="O418" s="1" t="str">
        <f t="shared" si="26"/>
        <v>Starter</v>
      </c>
      <c r="P418" t="str">
        <f>TEXT(B418, "mmmm")</f>
        <v>July</v>
      </c>
      <c r="Q418" t="str">
        <f t="shared" si="27"/>
        <v>Q3</v>
      </c>
      <c r="R418" t="str">
        <f>IFERROR(VLOOKUP(TRIM(CLEAN(G418)),Sheet14!$A$2:$B$19,2,FALSE),"Not Mapped")</f>
        <v>West</v>
      </c>
    </row>
    <row r="419" spans="1:18">
      <c r="A419" t="str">
        <f t="shared" si="24"/>
        <v>EOS0418</v>
      </c>
      <c r="B419" s="35" t="s">
        <v>891</v>
      </c>
      <c r="C419" s="1" t="s">
        <v>267</v>
      </c>
      <c r="D419" s="1" t="str">
        <f t="shared" si="25"/>
        <v>FB</v>
      </c>
      <c r="E419" s="1" t="s">
        <v>892</v>
      </c>
      <c r="F419" s="1" t="s">
        <v>893</v>
      </c>
      <c r="G419" s="1" t="s">
        <v>223</v>
      </c>
      <c r="H419" s="1" t="s">
        <v>149</v>
      </c>
      <c r="I419" s="1">
        <v>108000</v>
      </c>
      <c r="J419" s="45">
        <v>107417</v>
      </c>
      <c r="K419" s="1" t="str">
        <f>TRIM(Cleaned_CRM_Data!H419)</f>
        <v>Rejected</v>
      </c>
      <c r="L419" t="str">
        <f>IFERROR(VLOOKUP(K419, Status_Mapping!A:B, 2,), "Not Found")</f>
        <v>Rejected</v>
      </c>
      <c r="N419" s="29" t="str">
        <f>IF(M419="","",M419-B419)</f>
        <v/>
      </c>
      <c r="O419" s="1" t="str">
        <f t="shared" si="26"/>
        <v>Starter</v>
      </c>
      <c r="P419" t="str">
        <f>TEXT(B419, "mmmm")</f>
        <v>July</v>
      </c>
      <c r="Q419" t="str">
        <f t="shared" si="27"/>
        <v>Q3</v>
      </c>
      <c r="R419" t="str">
        <f>IFERROR(VLOOKUP(TRIM(CLEAN(G419)),Sheet14!$A$2:$B$19,2,FALSE),"Not Mapped")</f>
        <v>West</v>
      </c>
    </row>
    <row r="420" spans="1:18">
      <c r="A420" t="str">
        <f t="shared" si="24"/>
        <v>EOS0419</v>
      </c>
      <c r="B420" s="35" t="s">
        <v>894</v>
      </c>
      <c r="C420" s="1" t="s">
        <v>267</v>
      </c>
      <c r="D420" s="1" t="str">
        <f t="shared" si="25"/>
        <v>FB</v>
      </c>
      <c r="E420" s="1" t="s">
        <v>895</v>
      </c>
      <c r="F420" s="1" t="s">
        <v>271</v>
      </c>
      <c r="G420" s="1" t="s">
        <v>223</v>
      </c>
      <c r="H420" s="1" t="s">
        <v>149</v>
      </c>
      <c r="I420" s="1">
        <v>108000</v>
      </c>
      <c r="J420" s="45">
        <v>107418</v>
      </c>
      <c r="K420" s="1" t="str">
        <f>TRIM(Cleaned_CRM_Data!H420)</f>
        <v>Rejected</v>
      </c>
      <c r="L420" t="str">
        <f>IFERROR(VLOOKUP(K420, Status_Mapping!A:B, 2,), "Not Found")</f>
        <v>Rejected</v>
      </c>
      <c r="N420" s="29" t="str">
        <f>IF(M420="","",M420-B420)</f>
        <v/>
      </c>
      <c r="O420" s="1" t="str">
        <f t="shared" si="26"/>
        <v>Starter</v>
      </c>
      <c r="P420" t="str">
        <f>TEXT(B420, "mmmm")</f>
        <v>July</v>
      </c>
      <c r="Q420" t="str">
        <f t="shared" si="27"/>
        <v>Q3</v>
      </c>
      <c r="R420" t="str">
        <f>IFERROR(VLOOKUP(TRIM(CLEAN(G420)),Sheet14!$A$2:$B$19,2,FALSE),"Not Mapped")</f>
        <v>West</v>
      </c>
    </row>
    <row r="421" spans="1:18">
      <c r="A421" t="str">
        <f t="shared" si="24"/>
        <v>EOS0420</v>
      </c>
      <c r="B421" s="35">
        <v>45862</v>
      </c>
      <c r="C421" s="1" t="s">
        <v>267</v>
      </c>
      <c r="D421" s="1" t="str">
        <f t="shared" si="25"/>
        <v>FB</v>
      </c>
      <c r="E421" s="1" t="s">
        <v>896</v>
      </c>
      <c r="F421" s="1" t="s">
        <v>300</v>
      </c>
      <c r="G421" s="1" t="s">
        <v>223</v>
      </c>
      <c r="H421" s="1" t="s">
        <v>149</v>
      </c>
      <c r="I421" s="1">
        <v>177000</v>
      </c>
      <c r="J421" s="45">
        <v>107419</v>
      </c>
      <c r="K421" s="1" t="str">
        <f>TRIM(Cleaned_CRM_Data!H421)</f>
        <v>Rejected</v>
      </c>
      <c r="L421" t="str">
        <f>IFERROR(VLOOKUP(K421, Status_Mapping!A:B, 2,), "Not Found")</f>
        <v>Rejected</v>
      </c>
      <c r="N421" s="29" t="str">
        <f>IF(M421="","",M421-B421)</f>
        <v/>
      </c>
      <c r="O421" s="1" t="str">
        <f t="shared" si="26"/>
        <v>Growth</v>
      </c>
      <c r="P421" t="str">
        <f>TEXT(B421, "mmmm")</f>
        <v>July</v>
      </c>
      <c r="Q421" t="str">
        <f t="shared" si="27"/>
        <v>Q3</v>
      </c>
      <c r="R421" t="str">
        <f>IFERROR(VLOOKUP(TRIM(CLEAN(G421)),Sheet14!$A$2:$B$19,2,FALSE),"Not Mapped")</f>
        <v>West</v>
      </c>
    </row>
    <row r="422" spans="1:18">
      <c r="A422" t="str">
        <f t="shared" si="24"/>
        <v>EOS0421</v>
      </c>
      <c r="B422" s="35" t="s">
        <v>891</v>
      </c>
      <c r="C422" s="1" t="s">
        <v>267</v>
      </c>
      <c r="D422" s="1" t="str">
        <f t="shared" si="25"/>
        <v>FB</v>
      </c>
      <c r="E422" s="1" t="s">
        <v>897</v>
      </c>
      <c r="F422" s="1" t="s">
        <v>304</v>
      </c>
      <c r="G422" s="1" t="s">
        <v>223</v>
      </c>
      <c r="H422" s="1" t="s">
        <v>149</v>
      </c>
      <c r="I422" s="1">
        <v>108000</v>
      </c>
      <c r="J422" s="45">
        <v>107420</v>
      </c>
      <c r="K422" s="1" t="str">
        <f>TRIM(Cleaned_CRM_Data!H422)</f>
        <v>Rejected</v>
      </c>
      <c r="L422" t="str">
        <f>IFERROR(VLOOKUP(K422, Status_Mapping!A:B, 2,), "Not Found")</f>
        <v>Rejected</v>
      </c>
      <c r="N422" s="29" t="str">
        <f>IF(M422="","",M422-B422)</f>
        <v/>
      </c>
      <c r="O422" s="1" t="str">
        <f t="shared" si="26"/>
        <v>Starter</v>
      </c>
      <c r="P422" t="str">
        <f>TEXT(B422, "mmmm")</f>
        <v>July</v>
      </c>
      <c r="Q422" t="str">
        <f t="shared" si="27"/>
        <v>Q3</v>
      </c>
      <c r="R422" t="str">
        <f>IFERROR(VLOOKUP(TRIM(CLEAN(G422)),Sheet14!$A$2:$B$19,2,FALSE),"Not Mapped")</f>
        <v>West</v>
      </c>
    </row>
    <row r="423" spans="1:18">
      <c r="A423" t="str">
        <f t="shared" si="24"/>
        <v>EOS0422</v>
      </c>
      <c r="B423" s="35" t="s">
        <v>891</v>
      </c>
      <c r="C423" s="1" t="s">
        <v>267</v>
      </c>
      <c r="D423" s="1" t="str">
        <f t="shared" si="25"/>
        <v>FB</v>
      </c>
      <c r="E423" s="1" t="s">
        <v>898</v>
      </c>
      <c r="F423" s="1" t="s">
        <v>893</v>
      </c>
      <c r="G423" s="1" t="s">
        <v>223</v>
      </c>
      <c r="H423" s="1" t="s">
        <v>149</v>
      </c>
      <c r="I423" s="1">
        <v>177000</v>
      </c>
      <c r="J423" s="45">
        <v>107421</v>
      </c>
      <c r="K423" s="1" t="str">
        <f>TRIM(Cleaned_CRM_Data!H423)</f>
        <v>Rejected</v>
      </c>
      <c r="L423" t="str">
        <f>IFERROR(VLOOKUP(K423, Status_Mapping!A:B, 2,), "Not Found")</f>
        <v>Rejected</v>
      </c>
      <c r="N423" s="29" t="str">
        <f>IF(M423="","",M423-B423)</f>
        <v/>
      </c>
      <c r="O423" s="1" t="str">
        <f t="shared" si="26"/>
        <v>Growth</v>
      </c>
      <c r="P423" t="str">
        <f>TEXT(B423, "mmmm")</f>
        <v>July</v>
      </c>
      <c r="Q423" t="str">
        <f t="shared" si="27"/>
        <v>Q3</v>
      </c>
      <c r="R423" t="str">
        <f>IFERROR(VLOOKUP(TRIM(CLEAN(G423)),Sheet14!$A$2:$B$19,2,FALSE),"Not Mapped")</f>
        <v>West</v>
      </c>
    </row>
    <row r="424" spans="1:18">
      <c r="A424" t="str">
        <f t="shared" si="24"/>
        <v>EOS0423</v>
      </c>
      <c r="B424" s="35" t="s">
        <v>891</v>
      </c>
      <c r="C424" s="1" t="s">
        <v>267</v>
      </c>
      <c r="D424" s="1" t="str">
        <f t="shared" si="25"/>
        <v>FB</v>
      </c>
      <c r="E424" s="1" t="s">
        <v>899</v>
      </c>
      <c r="F424" s="1" t="s">
        <v>900</v>
      </c>
      <c r="G424" s="1" t="s">
        <v>223</v>
      </c>
      <c r="H424" s="1" t="s">
        <v>149</v>
      </c>
      <c r="I424" s="1">
        <v>108000</v>
      </c>
      <c r="J424" s="45">
        <v>107422</v>
      </c>
      <c r="K424" s="1" t="str">
        <f>TRIM(Cleaned_CRM_Data!H424)</f>
        <v>Rejected</v>
      </c>
      <c r="L424" t="str">
        <f>IFERROR(VLOOKUP(K424, Status_Mapping!A:B, 2,), "Not Found")</f>
        <v>Rejected</v>
      </c>
      <c r="N424" s="29" t="str">
        <f>IF(M424="","",M424-B424)</f>
        <v/>
      </c>
      <c r="O424" s="1" t="str">
        <f t="shared" si="26"/>
        <v>Starter</v>
      </c>
      <c r="P424" t="str">
        <f>TEXT(B424, "mmmm")</f>
        <v>July</v>
      </c>
      <c r="Q424" t="str">
        <f t="shared" si="27"/>
        <v>Q3</v>
      </c>
      <c r="R424" t="str">
        <f>IFERROR(VLOOKUP(TRIM(CLEAN(G424)),Sheet14!$A$2:$B$19,2,FALSE),"Not Mapped")</f>
        <v>West</v>
      </c>
    </row>
    <row r="425" spans="1:18">
      <c r="A425" t="str">
        <f t="shared" si="24"/>
        <v>EOS0424</v>
      </c>
      <c r="B425" s="35" t="s">
        <v>891</v>
      </c>
      <c r="C425" s="1" t="s">
        <v>267</v>
      </c>
      <c r="D425" s="1" t="str">
        <f t="shared" si="25"/>
        <v>FB</v>
      </c>
      <c r="E425" s="1" t="s">
        <v>901</v>
      </c>
      <c r="F425" s="1" t="s">
        <v>362</v>
      </c>
      <c r="G425" s="1" t="s">
        <v>223</v>
      </c>
      <c r="H425" s="1" t="s">
        <v>149</v>
      </c>
      <c r="I425" s="1">
        <v>108000</v>
      </c>
      <c r="J425" s="45">
        <v>107423</v>
      </c>
      <c r="K425" s="1" t="str">
        <f>TRIM(Cleaned_CRM_Data!H425)</f>
        <v>Rejected</v>
      </c>
      <c r="L425" t="str">
        <f>IFERROR(VLOOKUP(K425, Status_Mapping!A:B, 2,), "Not Found")</f>
        <v>Rejected</v>
      </c>
      <c r="N425" s="29" t="str">
        <f>IF(M425="","",M425-B425)</f>
        <v/>
      </c>
      <c r="O425" s="1" t="str">
        <f t="shared" si="26"/>
        <v>Starter</v>
      </c>
      <c r="P425" t="str">
        <f>TEXT(B425, "mmmm")</f>
        <v>July</v>
      </c>
      <c r="Q425" t="str">
        <f t="shared" si="27"/>
        <v>Q3</v>
      </c>
      <c r="R425" t="str">
        <f>IFERROR(VLOOKUP(TRIM(CLEAN(G425)),Sheet14!$A$2:$B$19,2,FALSE),"Not Mapped")</f>
        <v>West</v>
      </c>
    </row>
    <row r="426" spans="1:18">
      <c r="A426" t="str">
        <f t="shared" si="24"/>
        <v>EOS0425</v>
      </c>
      <c r="B426" s="35" t="s">
        <v>891</v>
      </c>
      <c r="C426" s="1" t="s">
        <v>267</v>
      </c>
      <c r="D426" s="1" t="str">
        <f t="shared" si="25"/>
        <v>FB</v>
      </c>
      <c r="E426" s="1" t="s">
        <v>902</v>
      </c>
      <c r="F426" s="1" t="s">
        <v>903</v>
      </c>
      <c r="G426" s="1" t="s">
        <v>223</v>
      </c>
      <c r="H426" s="1" t="s">
        <v>149</v>
      </c>
      <c r="I426" s="1">
        <v>130000</v>
      </c>
      <c r="J426" s="45">
        <v>107424</v>
      </c>
      <c r="K426" s="1" t="s">
        <v>40</v>
      </c>
      <c r="L426" t="str">
        <f>IFERROR(VLOOKUP(K426, Status_Mapping!A:B, 2,), "Not Found")</f>
        <v>Converted</v>
      </c>
      <c r="N426" s="29" t="str">
        <f>IF(M426="","",M426-B426)</f>
        <v/>
      </c>
      <c r="O426" s="1" t="str">
        <f t="shared" si="26"/>
        <v>Starter</v>
      </c>
      <c r="P426" t="str">
        <f>TEXT(B426, "mmmm")</f>
        <v>July</v>
      </c>
      <c r="Q426" t="str">
        <f t="shared" si="27"/>
        <v>Q3</v>
      </c>
      <c r="R426" t="str">
        <f>IFERROR(VLOOKUP(TRIM(CLEAN(G426)),Sheet14!$A$2:$B$19,2,FALSE),"Not Mapped")</f>
        <v>West</v>
      </c>
    </row>
    <row r="427" spans="1:18">
      <c r="A427" t="str">
        <f t="shared" si="24"/>
        <v>EOS0426</v>
      </c>
      <c r="B427" s="35" t="s">
        <v>891</v>
      </c>
      <c r="C427" s="1" t="s">
        <v>267</v>
      </c>
      <c r="D427" s="1" t="str">
        <f t="shared" si="25"/>
        <v>FB</v>
      </c>
      <c r="E427" s="1" t="s">
        <v>904</v>
      </c>
      <c r="F427" s="1" t="s">
        <v>273</v>
      </c>
      <c r="G427" s="1" t="s">
        <v>223</v>
      </c>
      <c r="H427" s="1" t="s">
        <v>149</v>
      </c>
      <c r="I427" s="1">
        <v>108000</v>
      </c>
      <c r="J427" s="45">
        <v>107425</v>
      </c>
      <c r="K427" s="1" t="str">
        <f>TRIM(Cleaned_CRM_Data!H427)</f>
        <v>Rejected</v>
      </c>
      <c r="L427" t="str">
        <f>IFERROR(VLOOKUP(K427, Status_Mapping!A:B, 2,), "Not Found")</f>
        <v>Rejected</v>
      </c>
      <c r="N427" s="29" t="str">
        <f>IF(M427="","",M427-B427)</f>
        <v/>
      </c>
      <c r="O427" s="1" t="str">
        <f t="shared" si="26"/>
        <v>Starter</v>
      </c>
      <c r="P427" t="str">
        <f>TEXT(B427, "mmmm")</f>
        <v>July</v>
      </c>
      <c r="Q427" t="str">
        <f t="shared" si="27"/>
        <v>Q3</v>
      </c>
      <c r="R427" t="str">
        <f>IFERROR(VLOOKUP(TRIM(CLEAN(G427)),Sheet14!$A$2:$B$19,2,FALSE),"Not Mapped")</f>
        <v>West</v>
      </c>
    </row>
    <row r="428" spans="1:18">
      <c r="A428" t="str">
        <f t="shared" si="24"/>
        <v>EOS0427</v>
      </c>
      <c r="B428" s="35" t="s">
        <v>891</v>
      </c>
      <c r="C428" s="1" t="s">
        <v>267</v>
      </c>
      <c r="D428" s="1" t="str">
        <f t="shared" si="25"/>
        <v>FB</v>
      </c>
      <c r="E428" s="1" t="s">
        <v>905</v>
      </c>
      <c r="F428" s="1" t="s">
        <v>358</v>
      </c>
      <c r="G428" s="1" t="s">
        <v>223</v>
      </c>
      <c r="H428" s="1" t="s">
        <v>149</v>
      </c>
      <c r="I428" s="1">
        <v>130000</v>
      </c>
      <c r="J428" s="45">
        <v>107426</v>
      </c>
      <c r="K428" s="1" t="str">
        <f>TRIM(Cleaned_CRM_Data!H428)</f>
        <v>Rejected</v>
      </c>
      <c r="L428" t="str">
        <f>IFERROR(VLOOKUP(K428, Status_Mapping!A:B, 2,), "Not Found")</f>
        <v>Rejected</v>
      </c>
      <c r="N428" s="29" t="str">
        <f>IF(M428="","",M428-B428)</f>
        <v/>
      </c>
      <c r="O428" s="1" t="str">
        <f t="shared" si="26"/>
        <v>Starter</v>
      </c>
      <c r="P428" t="str">
        <f>TEXT(B428, "mmmm")</f>
        <v>July</v>
      </c>
      <c r="Q428" t="str">
        <f t="shared" si="27"/>
        <v>Q3</v>
      </c>
      <c r="R428" t="str">
        <f>IFERROR(VLOOKUP(TRIM(CLEAN(G428)),Sheet14!$A$2:$B$19,2,FALSE),"Not Mapped")</f>
        <v>West</v>
      </c>
    </row>
    <row r="429" spans="1:18">
      <c r="A429" t="str">
        <f t="shared" si="24"/>
        <v>EOS0428</v>
      </c>
      <c r="B429" s="35" t="s">
        <v>891</v>
      </c>
      <c r="C429" s="1" t="s">
        <v>267</v>
      </c>
      <c r="D429" s="1" t="str">
        <f t="shared" si="25"/>
        <v>FB</v>
      </c>
      <c r="E429" s="1" t="s">
        <v>906</v>
      </c>
      <c r="F429" s="1" t="s">
        <v>661</v>
      </c>
      <c r="G429" s="1" t="s">
        <v>223</v>
      </c>
      <c r="H429" s="1" t="s">
        <v>149</v>
      </c>
      <c r="I429" s="1">
        <v>130000</v>
      </c>
      <c r="J429" s="45">
        <v>107427</v>
      </c>
      <c r="K429" s="1" t="str">
        <f>TRIM(Cleaned_CRM_Data!H429)</f>
        <v>Rejected</v>
      </c>
      <c r="L429" t="str">
        <f>IFERROR(VLOOKUP(K429, Status_Mapping!A:B, 2,), "Not Found")</f>
        <v>Rejected</v>
      </c>
      <c r="N429" s="29" t="str">
        <f>IF(M429="","",M429-B429)</f>
        <v/>
      </c>
      <c r="O429" s="1" t="str">
        <f t="shared" si="26"/>
        <v>Starter</v>
      </c>
      <c r="P429" t="str">
        <f>TEXT(B429, "mmmm")</f>
        <v>July</v>
      </c>
      <c r="Q429" t="str">
        <f t="shared" si="27"/>
        <v>Q3</v>
      </c>
      <c r="R429" t="str">
        <f>IFERROR(VLOOKUP(TRIM(CLEAN(G429)),Sheet14!$A$2:$B$19,2,FALSE),"Not Mapped")</f>
        <v>West</v>
      </c>
    </row>
    <row r="430" spans="1:18">
      <c r="A430" t="str">
        <f t="shared" si="24"/>
        <v>EOS0429</v>
      </c>
      <c r="B430" s="35" t="s">
        <v>891</v>
      </c>
      <c r="C430" s="1" t="s">
        <v>267</v>
      </c>
      <c r="D430" s="1" t="str">
        <f t="shared" si="25"/>
        <v>FB</v>
      </c>
      <c r="E430" s="1" t="s">
        <v>907</v>
      </c>
      <c r="F430" s="1" t="s">
        <v>645</v>
      </c>
      <c r="G430" s="1" t="s">
        <v>223</v>
      </c>
      <c r="H430" s="1" t="s">
        <v>149</v>
      </c>
      <c r="I430" s="1">
        <v>130000</v>
      </c>
      <c r="J430" s="45">
        <v>107428</v>
      </c>
      <c r="K430" s="1" t="str">
        <f>TRIM(Cleaned_CRM_Data!H430)</f>
        <v>Rejected</v>
      </c>
      <c r="L430" t="str">
        <f>IFERROR(VLOOKUP(K430, Status_Mapping!A:B, 2,), "Not Found")</f>
        <v>Rejected</v>
      </c>
      <c r="N430" s="29" t="str">
        <f>IF(M430="","",M430-B430)</f>
        <v/>
      </c>
      <c r="O430" s="1" t="str">
        <f t="shared" si="26"/>
        <v>Starter</v>
      </c>
      <c r="P430" t="str">
        <f>TEXT(B430, "mmmm")</f>
        <v>July</v>
      </c>
      <c r="Q430" t="str">
        <f t="shared" si="27"/>
        <v>Q3</v>
      </c>
      <c r="R430" t="str">
        <f>IFERROR(VLOOKUP(TRIM(CLEAN(G430)),Sheet14!$A$2:$B$19,2,FALSE),"Not Mapped")</f>
        <v>West</v>
      </c>
    </row>
    <row r="431" spans="1:18">
      <c r="A431" t="str">
        <f t="shared" si="24"/>
        <v>EOS0430</v>
      </c>
      <c r="B431" s="35" t="s">
        <v>891</v>
      </c>
      <c r="C431" s="1" t="s">
        <v>267</v>
      </c>
      <c r="D431" s="1" t="str">
        <f t="shared" si="25"/>
        <v>FB</v>
      </c>
      <c r="E431" s="1" t="s">
        <v>908</v>
      </c>
      <c r="F431" s="1" t="s">
        <v>413</v>
      </c>
      <c r="G431" s="1" t="s">
        <v>223</v>
      </c>
      <c r="H431" s="1" t="s">
        <v>149</v>
      </c>
      <c r="I431" s="1">
        <v>108000</v>
      </c>
      <c r="J431" s="45">
        <v>107429</v>
      </c>
      <c r="K431" s="1" t="str">
        <f>TRIM(Cleaned_CRM_Data!H431)</f>
        <v>Rejected</v>
      </c>
      <c r="L431" t="str">
        <f>IFERROR(VLOOKUP(K431, Status_Mapping!A:B, 2,), "Not Found")</f>
        <v>Rejected</v>
      </c>
      <c r="N431" s="29" t="str">
        <f>IF(M431="","",M431-B431)</f>
        <v/>
      </c>
      <c r="O431" s="1" t="str">
        <f t="shared" si="26"/>
        <v>Starter</v>
      </c>
      <c r="P431" t="str">
        <f>TEXT(B431, "mmmm")</f>
        <v>July</v>
      </c>
      <c r="Q431" t="str">
        <f t="shared" si="27"/>
        <v>Q3</v>
      </c>
      <c r="R431" t="str">
        <f>IFERROR(VLOOKUP(TRIM(CLEAN(G431)),Sheet14!$A$2:$B$19,2,FALSE),"Not Mapped")</f>
        <v>West</v>
      </c>
    </row>
    <row r="432" spans="1:18">
      <c r="A432" t="str">
        <f t="shared" si="24"/>
        <v>EOS0431</v>
      </c>
      <c r="B432" s="35" t="s">
        <v>891</v>
      </c>
      <c r="C432" s="1" t="s">
        <v>267</v>
      </c>
      <c r="D432" s="1" t="str">
        <f t="shared" si="25"/>
        <v>FB</v>
      </c>
      <c r="E432" s="1" t="s">
        <v>909</v>
      </c>
      <c r="F432" s="1" t="s">
        <v>771</v>
      </c>
      <c r="G432" s="1" t="s">
        <v>223</v>
      </c>
      <c r="H432" s="1" t="s">
        <v>212</v>
      </c>
      <c r="I432" s="1">
        <v>108000</v>
      </c>
      <c r="J432" s="45">
        <v>107430</v>
      </c>
      <c r="K432" s="1" t="str">
        <f>TRIM(Cleaned_CRM_Data!H432)</f>
        <v>Deal</v>
      </c>
      <c r="L432" t="str">
        <f>IFERROR(VLOOKUP(K432, Status_Mapping!A:B, 2,), "Not Found")</f>
        <v>Converted</v>
      </c>
      <c r="M432" s="32">
        <v>45868</v>
      </c>
      <c r="N432" s="29">
        <f>IF(M432="","",M432-B432)</f>
        <v>6</v>
      </c>
      <c r="O432" s="1" t="str">
        <f t="shared" si="26"/>
        <v>Starter</v>
      </c>
      <c r="P432" t="str">
        <f>TEXT(B432, "mmmm")</f>
        <v>July</v>
      </c>
      <c r="Q432" t="str">
        <f t="shared" si="27"/>
        <v>Q3</v>
      </c>
      <c r="R432" t="str">
        <f>IFERROR(VLOOKUP(TRIM(CLEAN(G432)),Sheet14!$A$2:$B$19,2,FALSE),"Not Mapped")</f>
        <v>West</v>
      </c>
    </row>
    <row r="433" spans="1:18">
      <c r="A433" t="str">
        <f t="shared" si="24"/>
        <v>EOS0432</v>
      </c>
      <c r="B433" s="35" t="s">
        <v>891</v>
      </c>
      <c r="C433" s="1" t="s">
        <v>267</v>
      </c>
      <c r="D433" s="1" t="str">
        <f t="shared" si="25"/>
        <v>FB</v>
      </c>
      <c r="E433" s="1" t="s">
        <v>910</v>
      </c>
      <c r="F433" s="1" t="s">
        <v>412</v>
      </c>
      <c r="G433" s="1" t="s">
        <v>223</v>
      </c>
      <c r="H433" s="1" t="s">
        <v>149</v>
      </c>
      <c r="I433" s="1">
        <v>130000</v>
      </c>
      <c r="J433" s="45">
        <v>107431</v>
      </c>
      <c r="K433" s="1" t="str">
        <f>TRIM(Cleaned_CRM_Data!H433)</f>
        <v>Rejected</v>
      </c>
      <c r="L433" t="str">
        <f>IFERROR(VLOOKUP(K433, Status_Mapping!A:B, 2,), "Not Found")</f>
        <v>Rejected</v>
      </c>
      <c r="N433" s="29" t="str">
        <f>IF(M433="","",M433-B433)</f>
        <v/>
      </c>
      <c r="O433" s="1" t="str">
        <f t="shared" si="26"/>
        <v>Starter</v>
      </c>
      <c r="P433" t="str">
        <f>TEXT(B433, "mmmm")</f>
        <v>July</v>
      </c>
      <c r="Q433" t="str">
        <f t="shared" si="27"/>
        <v>Q3</v>
      </c>
      <c r="R433" t="str">
        <f>IFERROR(VLOOKUP(TRIM(CLEAN(G433)),Sheet14!$A$2:$B$19,2,FALSE),"Not Mapped")</f>
        <v>West</v>
      </c>
    </row>
    <row r="434" spans="1:18">
      <c r="A434" t="str">
        <f t="shared" si="24"/>
        <v>EOS0433</v>
      </c>
      <c r="B434" s="35" t="s">
        <v>891</v>
      </c>
      <c r="C434" s="1" t="s">
        <v>911</v>
      </c>
      <c r="D434" s="1"/>
      <c r="E434" s="1" t="s">
        <v>551</v>
      </c>
      <c r="F434" s="1" t="s">
        <v>912</v>
      </c>
      <c r="G434" s="1" t="s">
        <v>223</v>
      </c>
      <c r="H434" s="1" t="s">
        <v>149</v>
      </c>
      <c r="I434" s="1">
        <v>177000</v>
      </c>
      <c r="J434" s="45">
        <v>107432</v>
      </c>
      <c r="K434" s="1" t="str">
        <f>TRIM(Cleaned_CRM_Data!H434)</f>
        <v>Rejected</v>
      </c>
      <c r="L434" t="str">
        <f>IFERROR(VLOOKUP(K434, Status_Mapping!A:B, 2,), "Not Found")</f>
        <v>Rejected</v>
      </c>
      <c r="N434" s="29" t="str">
        <f>IF(M434="","",M434-B434)</f>
        <v/>
      </c>
      <c r="O434" s="1" t="str">
        <f t="shared" si="26"/>
        <v>Growth</v>
      </c>
      <c r="P434" t="str">
        <f>TEXT(B434, "mmmm")</f>
        <v>July</v>
      </c>
      <c r="Q434" t="str">
        <f t="shared" si="27"/>
        <v>Q3</v>
      </c>
      <c r="R434" t="str">
        <f>IFERROR(VLOOKUP(TRIM(CLEAN(G434)),Sheet14!$A$2:$B$19,2,FALSE),"Not Mapped")</f>
        <v>West</v>
      </c>
    </row>
    <row r="435" spans="1:18">
      <c r="A435" t="str">
        <f t="shared" si="24"/>
        <v>EOS0434</v>
      </c>
      <c r="B435" s="35" t="s">
        <v>913</v>
      </c>
      <c r="C435" s="1" t="s">
        <v>267</v>
      </c>
      <c r="D435" s="1" t="str">
        <f t="shared" ref="D435:D454" si="28">TRIM(CLEAN(SUBSTITUTE(C435,CHAR(160),"")))</f>
        <v>FB</v>
      </c>
      <c r="E435" s="1" t="s">
        <v>914</v>
      </c>
      <c r="F435" s="1" t="s">
        <v>271</v>
      </c>
      <c r="G435" s="1" t="s">
        <v>223</v>
      </c>
      <c r="H435" s="1" t="s">
        <v>149</v>
      </c>
      <c r="I435" s="1">
        <v>177000</v>
      </c>
      <c r="J435" s="45">
        <v>107433</v>
      </c>
      <c r="K435" s="1" t="str">
        <f>TRIM(Cleaned_CRM_Data!H435)</f>
        <v>Rejected</v>
      </c>
      <c r="L435" t="str">
        <f>IFERROR(VLOOKUP(K435, Status_Mapping!A:B, 2,), "Not Found")</f>
        <v>Rejected</v>
      </c>
      <c r="N435" s="29" t="str">
        <f>IF(M435="","",M435-B435)</f>
        <v/>
      </c>
      <c r="O435" s="1" t="str">
        <f t="shared" si="26"/>
        <v>Growth</v>
      </c>
      <c r="P435" t="str">
        <f>TEXT(B435, "mmmm")</f>
        <v>July</v>
      </c>
      <c r="Q435" t="str">
        <f t="shared" si="27"/>
        <v>Q3</v>
      </c>
      <c r="R435" t="str">
        <f>IFERROR(VLOOKUP(TRIM(CLEAN(G435)),Sheet14!$A$2:$B$19,2,FALSE),"Not Mapped")</f>
        <v>West</v>
      </c>
    </row>
    <row r="436" spans="1:18">
      <c r="A436" t="str">
        <f t="shared" si="24"/>
        <v>EOS0435</v>
      </c>
      <c r="B436" s="35" t="s">
        <v>913</v>
      </c>
      <c r="C436" s="1" t="s">
        <v>267</v>
      </c>
      <c r="D436" s="1" t="str">
        <f t="shared" si="28"/>
        <v>FB</v>
      </c>
      <c r="E436" s="1" t="s">
        <v>915</v>
      </c>
      <c r="F436" s="1" t="s">
        <v>304</v>
      </c>
      <c r="G436" s="1" t="s">
        <v>223</v>
      </c>
      <c r="H436" s="1" t="s">
        <v>149</v>
      </c>
      <c r="I436" s="1">
        <v>177000</v>
      </c>
      <c r="J436" s="45">
        <v>107434</v>
      </c>
      <c r="K436" s="1" t="str">
        <f>TRIM(Cleaned_CRM_Data!H436)</f>
        <v>Rejected</v>
      </c>
      <c r="L436" t="str">
        <f>IFERROR(VLOOKUP(K436, Status_Mapping!A:B, 2,), "Not Found")</f>
        <v>Rejected</v>
      </c>
      <c r="N436" s="29" t="str">
        <f>IF(M436="","",M436-B436)</f>
        <v/>
      </c>
      <c r="O436" s="1" t="str">
        <f t="shared" si="26"/>
        <v>Growth</v>
      </c>
      <c r="P436" t="str">
        <f>TEXT(B436, "mmmm")</f>
        <v>July</v>
      </c>
      <c r="Q436" t="str">
        <f t="shared" si="27"/>
        <v>Q3</v>
      </c>
      <c r="R436" t="str">
        <f>IFERROR(VLOOKUP(TRIM(CLEAN(G436)),Sheet14!$A$2:$B$19,2,FALSE),"Not Mapped")</f>
        <v>West</v>
      </c>
    </row>
    <row r="437" spans="1:18">
      <c r="A437" t="str">
        <f t="shared" si="24"/>
        <v>EOS0436</v>
      </c>
      <c r="B437" s="35" t="s">
        <v>913</v>
      </c>
      <c r="C437" s="1" t="s">
        <v>267</v>
      </c>
      <c r="D437" s="1" t="str">
        <f t="shared" si="28"/>
        <v>FB</v>
      </c>
      <c r="E437" s="1" t="s">
        <v>916</v>
      </c>
      <c r="F437" s="1" t="s">
        <v>304</v>
      </c>
      <c r="G437" s="1" t="s">
        <v>223</v>
      </c>
      <c r="H437" s="1" t="s">
        <v>149</v>
      </c>
      <c r="I437" s="1">
        <v>130000</v>
      </c>
      <c r="J437" s="45">
        <v>107435</v>
      </c>
      <c r="K437" s="1" t="str">
        <f>TRIM(Cleaned_CRM_Data!H437)</f>
        <v>Rejected</v>
      </c>
      <c r="L437" t="str">
        <f>IFERROR(VLOOKUP(K437, Status_Mapping!A:B, 2,), "Not Found")</f>
        <v>Rejected</v>
      </c>
      <c r="N437" s="29" t="str">
        <f>IF(M437="","",M437-B437)</f>
        <v/>
      </c>
      <c r="O437" s="1" t="str">
        <f t="shared" si="26"/>
        <v>Starter</v>
      </c>
      <c r="P437" t="str">
        <f>TEXT(B437, "mmmm")</f>
        <v>July</v>
      </c>
      <c r="Q437" t="str">
        <f t="shared" si="27"/>
        <v>Q3</v>
      </c>
      <c r="R437" t="str">
        <f>IFERROR(VLOOKUP(TRIM(CLEAN(G437)),Sheet14!$A$2:$B$19,2,FALSE),"Not Mapped")</f>
        <v>West</v>
      </c>
    </row>
    <row r="438" spans="1:18">
      <c r="A438" t="str">
        <f t="shared" si="24"/>
        <v>EOS0437</v>
      </c>
      <c r="B438" s="35" t="s">
        <v>913</v>
      </c>
      <c r="C438" s="1" t="s">
        <v>267</v>
      </c>
      <c r="D438" s="1" t="str">
        <f t="shared" si="28"/>
        <v>FB</v>
      </c>
      <c r="E438" s="1" t="s">
        <v>917</v>
      </c>
      <c r="F438" s="1" t="s">
        <v>661</v>
      </c>
      <c r="G438" s="1" t="s">
        <v>223</v>
      </c>
      <c r="H438" s="1" t="s">
        <v>149</v>
      </c>
      <c r="I438" s="1">
        <v>130000</v>
      </c>
      <c r="J438" s="45">
        <v>107436</v>
      </c>
      <c r="K438" s="1" t="str">
        <f>TRIM(Cleaned_CRM_Data!H438)</f>
        <v>Rejected</v>
      </c>
      <c r="L438" t="str">
        <f>IFERROR(VLOOKUP(K438, Status_Mapping!A:B, 2,), "Not Found")</f>
        <v>Rejected</v>
      </c>
      <c r="N438" s="29" t="str">
        <f>IF(M438="","",M438-B438)</f>
        <v/>
      </c>
      <c r="O438" s="1" t="str">
        <f t="shared" si="26"/>
        <v>Starter</v>
      </c>
      <c r="P438" t="str">
        <f>TEXT(B438, "mmmm")</f>
        <v>July</v>
      </c>
      <c r="Q438" t="str">
        <f t="shared" si="27"/>
        <v>Q3</v>
      </c>
      <c r="R438" t="str">
        <f>IFERROR(VLOOKUP(TRIM(CLEAN(G438)),Sheet14!$A$2:$B$19,2,FALSE),"Not Mapped")</f>
        <v>West</v>
      </c>
    </row>
    <row r="439" spans="1:18">
      <c r="A439" t="str">
        <f t="shared" si="24"/>
        <v>EOS0438</v>
      </c>
      <c r="B439" s="35" t="s">
        <v>913</v>
      </c>
      <c r="C439" s="1" t="s">
        <v>267</v>
      </c>
      <c r="D439" s="1" t="str">
        <f t="shared" si="28"/>
        <v>FB</v>
      </c>
      <c r="E439" s="1" t="s">
        <v>918</v>
      </c>
      <c r="F439" s="1" t="s">
        <v>412</v>
      </c>
      <c r="G439" s="1" t="s">
        <v>223</v>
      </c>
      <c r="H439" s="1" t="s">
        <v>149</v>
      </c>
      <c r="I439" s="1">
        <v>130000</v>
      </c>
      <c r="J439" s="45">
        <v>107437</v>
      </c>
      <c r="K439" s="1" t="str">
        <f>TRIM(Cleaned_CRM_Data!H439)</f>
        <v>Rejected</v>
      </c>
      <c r="L439" t="str">
        <f>IFERROR(VLOOKUP(K439, Status_Mapping!A:B, 2,), "Not Found")</f>
        <v>Rejected</v>
      </c>
      <c r="N439" s="29" t="str">
        <f>IF(M439="","",M439-B439)</f>
        <v/>
      </c>
      <c r="O439" s="1" t="str">
        <f t="shared" si="26"/>
        <v>Starter</v>
      </c>
      <c r="P439" t="str">
        <f>TEXT(B439, "mmmm")</f>
        <v>July</v>
      </c>
      <c r="Q439" t="str">
        <f t="shared" si="27"/>
        <v>Q3</v>
      </c>
      <c r="R439" t="str">
        <f>IFERROR(VLOOKUP(TRIM(CLEAN(G439)),Sheet14!$A$2:$B$19,2,FALSE),"Not Mapped")</f>
        <v>West</v>
      </c>
    </row>
    <row r="440" spans="1:18">
      <c r="A440" t="str">
        <f t="shared" si="24"/>
        <v>EOS0439</v>
      </c>
      <c r="B440" s="35" t="s">
        <v>913</v>
      </c>
      <c r="C440" s="1" t="s">
        <v>267</v>
      </c>
      <c r="D440" s="1" t="str">
        <f t="shared" si="28"/>
        <v>FB</v>
      </c>
      <c r="E440" s="1" t="s">
        <v>919</v>
      </c>
      <c r="F440" s="1" t="s">
        <v>300</v>
      </c>
      <c r="G440" s="1" t="s">
        <v>223</v>
      </c>
      <c r="H440" s="1" t="s">
        <v>149</v>
      </c>
      <c r="I440" s="1">
        <v>108000</v>
      </c>
      <c r="J440" s="45">
        <v>107438</v>
      </c>
      <c r="K440" s="1" t="str">
        <f>TRIM(Cleaned_CRM_Data!H440)</f>
        <v>Rejected</v>
      </c>
      <c r="L440" t="str">
        <f>IFERROR(VLOOKUP(K440, Status_Mapping!A:B, 2,), "Not Found")</f>
        <v>Rejected</v>
      </c>
      <c r="N440" s="29" t="str">
        <f>IF(M440="","",M440-B440)</f>
        <v/>
      </c>
      <c r="O440" s="1" t="str">
        <f t="shared" si="26"/>
        <v>Starter</v>
      </c>
      <c r="P440" t="str">
        <f>TEXT(B440, "mmmm")</f>
        <v>July</v>
      </c>
      <c r="Q440" t="str">
        <f t="shared" si="27"/>
        <v>Q3</v>
      </c>
      <c r="R440" t="str">
        <f>IFERROR(VLOOKUP(TRIM(CLEAN(G440)),Sheet14!$A$2:$B$19,2,FALSE),"Not Mapped")</f>
        <v>West</v>
      </c>
    </row>
    <row r="441" spans="1:18">
      <c r="A441" t="str">
        <f t="shared" si="24"/>
        <v>EOS0440</v>
      </c>
      <c r="B441" s="35" t="s">
        <v>913</v>
      </c>
      <c r="C441" s="1" t="s">
        <v>267</v>
      </c>
      <c r="D441" s="1" t="str">
        <f t="shared" si="28"/>
        <v>FB</v>
      </c>
      <c r="E441" s="1" t="s">
        <v>920</v>
      </c>
      <c r="F441" s="1" t="s">
        <v>533</v>
      </c>
      <c r="G441" s="1" t="s">
        <v>223</v>
      </c>
      <c r="H441" s="1" t="s">
        <v>149</v>
      </c>
      <c r="I441" s="1">
        <v>308000</v>
      </c>
      <c r="J441" s="45">
        <v>107439</v>
      </c>
      <c r="K441" s="1" t="str">
        <f>TRIM(Cleaned_CRM_Data!H441)</f>
        <v>Rejected</v>
      </c>
      <c r="L441" t="str">
        <f>IFERROR(VLOOKUP(K441, Status_Mapping!A:B, 2,), "Not Found")</f>
        <v>Rejected</v>
      </c>
      <c r="N441" s="29" t="str">
        <f>IF(M441="","",M441-B441)</f>
        <v/>
      </c>
      <c r="O441" s="1" t="str">
        <f t="shared" si="26"/>
        <v>Premium</v>
      </c>
      <c r="P441" t="str">
        <f>TEXT(B441, "mmmm")</f>
        <v>July</v>
      </c>
      <c r="Q441" t="str">
        <f t="shared" si="27"/>
        <v>Q3</v>
      </c>
      <c r="R441" t="str">
        <f>IFERROR(VLOOKUP(TRIM(CLEAN(G441)),Sheet14!$A$2:$B$19,2,FALSE),"Not Mapped")</f>
        <v>West</v>
      </c>
    </row>
    <row r="442" spans="1:18">
      <c r="A442" t="str">
        <f t="shared" si="24"/>
        <v>EOS0441</v>
      </c>
      <c r="B442" s="35" t="s">
        <v>913</v>
      </c>
      <c r="C442" s="1" t="s">
        <v>267</v>
      </c>
      <c r="D442" s="1" t="str">
        <f t="shared" si="28"/>
        <v>FB</v>
      </c>
      <c r="E442" s="1" t="s">
        <v>921</v>
      </c>
      <c r="F442" s="1" t="s">
        <v>275</v>
      </c>
      <c r="G442" s="1" t="s">
        <v>223</v>
      </c>
      <c r="H442" s="1" t="s">
        <v>149</v>
      </c>
      <c r="I442" s="1">
        <v>108000</v>
      </c>
      <c r="J442" s="45">
        <v>107440</v>
      </c>
      <c r="K442" s="1" t="str">
        <f>TRIM(Cleaned_CRM_Data!H442)</f>
        <v>Rejected</v>
      </c>
      <c r="L442" t="str">
        <f>IFERROR(VLOOKUP(K442, Status_Mapping!A:B, 2,), "Not Found")</f>
        <v>Rejected</v>
      </c>
      <c r="N442" s="29" t="str">
        <f>IF(M442="","",M442-B442)</f>
        <v/>
      </c>
      <c r="O442" s="1" t="str">
        <f t="shared" si="26"/>
        <v>Starter</v>
      </c>
      <c r="P442" t="str">
        <f>TEXT(B442, "mmmm")</f>
        <v>July</v>
      </c>
      <c r="Q442" t="str">
        <f t="shared" si="27"/>
        <v>Q3</v>
      </c>
      <c r="R442" t="str">
        <f>IFERROR(VLOOKUP(TRIM(CLEAN(G442)),Sheet14!$A$2:$B$19,2,FALSE),"Not Mapped")</f>
        <v>West</v>
      </c>
    </row>
    <row r="443" spans="1:18">
      <c r="A443" t="str">
        <f t="shared" si="24"/>
        <v>EOS0442</v>
      </c>
      <c r="B443" s="35" t="s">
        <v>913</v>
      </c>
      <c r="C443" s="1" t="s">
        <v>267</v>
      </c>
      <c r="D443" s="1" t="str">
        <f t="shared" si="28"/>
        <v>FB</v>
      </c>
      <c r="E443" s="1" t="s">
        <v>922</v>
      </c>
      <c r="F443" s="1" t="s">
        <v>300</v>
      </c>
      <c r="G443" s="1" t="s">
        <v>223</v>
      </c>
      <c r="H443" s="1" t="s">
        <v>149</v>
      </c>
      <c r="I443" s="1">
        <v>108000</v>
      </c>
      <c r="J443" s="45">
        <v>107441</v>
      </c>
      <c r="K443" s="1" t="str">
        <f>TRIM(Cleaned_CRM_Data!H443)</f>
        <v>Rejected</v>
      </c>
      <c r="L443" t="str">
        <f>IFERROR(VLOOKUP(K443, Status_Mapping!A:B, 2,), "Not Found")</f>
        <v>Rejected</v>
      </c>
      <c r="N443" s="29" t="str">
        <f>IF(M443="","",M443-B443)</f>
        <v/>
      </c>
      <c r="O443" s="1" t="str">
        <f t="shared" si="26"/>
        <v>Starter</v>
      </c>
      <c r="P443" t="str">
        <f>TEXT(B443, "mmmm")</f>
        <v>July</v>
      </c>
      <c r="Q443" t="str">
        <f t="shared" si="27"/>
        <v>Q3</v>
      </c>
      <c r="R443" t="str">
        <f>IFERROR(VLOOKUP(TRIM(CLEAN(G443)),Sheet14!$A$2:$B$19,2,FALSE),"Not Mapped")</f>
        <v>West</v>
      </c>
    </row>
    <row r="444" spans="1:18">
      <c r="A444" t="str">
        <f t="shared" si="24"/>
        <v>EOS0443</v>
      </c>
      <c r="B444" s="35" t="s">
        <v>913</v>
      </c>
      <c r="C444" s="1" t="s">
        <v>267</v>
      </c>
      <c r="D444" s="1" t="str">
        <f t="shared" si="28"/>
        <v>FB</v>
      </c>
      <c r="E444" s="1" t="s">
        <v>923</v>
      </c>
      <c r="F444" s="1" t="s">
        <v>844</v>
      </c>
      <c r="G444" s="1" t="s">
        <v>223</v>
      </c>
      <c r="H444" s="1" t="s">
        <v>149</v>
      </c>
      <c r="I444" s="1">
        <v>130000</v>
      </c>
      <c r="J444" s="45">
        <v>107442</v>
      </c>
      <c r="K444" s="1" t="str">
        <f>TRIM(Cleaned_CRM_Data!H444)</f>
        <v>Rejected</v>
      </c>
      <c r="L444" t="str">
        <f>IFERROR(VLOOKUP(K444, Status_Mapping!A:B, 2,), "Not Found")</f>
        <v>Rejected</v>
      </c>
      <c r="N444" s="29" t="str">
        <f>IF(M444="","",M444-B444)</f>
        <v/>
      </c>
      <c r="O444" s="1" t="str">
        <f t="shared" si="26"/>
        <v>Starter</v>
      </c>
      <c r="P444" t="str">
        <f>TEXT(B444, "mmmm")</f>
        <v>July</v>
      </c>
      <c r="Q444" t="str">
        <f t="shared" si="27"/>
        <v>Q3</v>
      </c>
      <c r="R444" t="str">
        <f>IFERROR(VLOOKUP(TRIM(CLEAN(G444)),Sheet14!$A$2:$B$19,2,FALSE),"Not Mapped")</f>
        <v>West</v>
      </c>
    </row>
    <row r="445" spans="1:18">
      <c r="A445" t="str">
        <f t="shared" si="24"/>
        <v>EOS0444</v>
      </c>
      <c r="B445" s="35" t="s">
        <v>913</v>
      </c>
      <c r="C445" s="1" t="s">
        <v>267</v>
      </c>
      <c r="D445" s="1" t="str">
        <f t="shared" si="28"/>
        <v>FB</v>
      </c>
      <c r="E445" s="1" t="s">
        <v>924</v>
      </c>
      <c r="F445" s="1" t="s">
        <v>304</v>
      </c>
      <c r="G445" s="1" t="s">
        <v>223</v>
      </c>
      <c r="H445" s="1" t="s">
        <v>149</v>
      </c>
      <c r="I445" s="1">
        <v>130000</v>
      </c>
      <c r="J445" s="45">
        <v>107443</v>
      </c>
      <c r="K445" s="1" t="str">
        <f>TRIM(Cleaned_CRM_Data!H445)</f>
        <v>Rejected</v>
      </c>
      <c r="L445" t="str">
        <f>IFERROR(VLOOKUP(K445, Status_Mapping!A:B, 2,), "Not Found")</f>
        <v>Rejected</v>
      </c>
      <c r="N445" s="29" t="str">
        <f>IF(M445="","",M445-B445)</f>
        <v/>
      </c>
      <c r="O445" s="1" t="str">
        <f t="shared" si="26"/>
        <v>Starter</v>
      </c>
      <c r="P445" t="str">
        <f>TEXT(B445, "mmmm")</f>
        <v>July</v>
      </c>
      <c r="Q445" t="str">
        <f t="shared" si="27"/>
        <v>Q3</v>
      </c>
      <c r="R445" t="str">
        <f>IFERROR(VLOOKUP(TRIM(CLEAN(G445)),Sheet14!$A$2:$B$19,2,FALSE),"Not Mapped")</f>
        <v>West</v>
      </c>
    </row>
    <row r="446" spans="1:18">
      <c r="A446" t="str">
        <f t="shared" si="24"/>
        <v>EOS0445</v>
      </c>
      <c r="B446" s="35" t="s">
        <v>925</v>
      </c>
      <c r="C446" s="1" t="s">
        <v>267</v>
      </c>
      <c r="D446" s="1" t="str">
        <f t="shared" si="28"/>
        <v>FB</v>
      </c>
      <c r="E446" s="1" t="s">
        <v>926</v>
      </c>
      <c r="F446" s="1" t="s">
        <v>350</v>
      </c>
      <c r="G446" s="1" t="s">
        <v>223</v>
      </c>
      <c r="H446" s="1" t="s">
        <v>149</v>
      </c>
      <c r="I446" s="1">
        <v>130000</v>
      </c>
      <c r="J446" s="45">
        <v>107444</v>
      </c>
      <c r="K446" s="1" t="str">
        <f>TRIM(Cleaned_CRM_Data!H446)</f>
        <v>Rejected</v>
      </c>
      <c r="L446" t="str">
        <f>IFERROR(VLOOKUP(K446, Status_Mapping!A:B, 2,), "Not Found")</f>
        <v>Rejected</v>
      </c>
      <c r="N446" s="29" t="str">
        <f>IF(M446="","",M446-B446)</f>
        <v/>
      </c>
      <c r="O446" s="1" t="str">
        <f t="shared" si="26"/>
        <v>Starter</v>
      </c>
      <c r="P446" t="str">
        <f>TEXT(B446, "mmmm")</f>
        <v>July</v>
      </c>
      <c r="Q446" t="str">
        <f t="shared" si="27"/>
        <v>Q3</v>
      </c>
      <c r="R446" t="str">
        <f>IFERROR(VLOOKUP(TRIM(CLEAN(G446)),Sheet14!$A$2:$B$19,2,FALSE),"Not Mapped")</f>
        <v>West</v>
      </c>
    </row>
    <row r="447" spans="1:18">
      <c r="A447" t="str">
        <f t="shared" si="24"/>
        <v>EOS0446</v>
      </c>
      <c r="B447" s="35" t="s">
        <v>925</v>
      </c>
      <c r="C447" s="1" t="s">
        <v>267</v>
      </c>
      <c r="D447" s="1" t="str">
        <f t="shared" si="28"/>
        <v>FB</v>
      </c>
      <c r="E447" s="1" t="s">
        <v>927</v>
      </c>
      <c r="F447" s="1" t="s">
        <v>350</v>
      </c>
      <c r="G447" s="1" t="s">
        <v>223</v>
      </c>
      <c r="H447" s="1" t="s">
        <v>149</v>
      </c>
      <c r="I447" s="1">
        <v>130000</v>
      </c>
      <c r="J447" s="45">
        <v>107445</v>
      </c>
      <c r="K447" s="1" t="str">
        <f>TRIM(Cleaned_CRM_Data!H447)</f>
        <v>Rejected</v>
      </c>
      <c r="L447" t="str">
        <f>IFERROR(VLOOKUP(K447, Status_Mapping!A:B, 2,), "Not Found")</f>
        <v>Rejected</v>
      </c>
      <c r="N447" s="29" t="str">
        <f>IF(M447="","",M447-B447)</f>
        <v/>
      </c>
      <c r="O447" s="1" t="str">
        <f t="shared" si="26"/>
        <v>Starter</v>
      </c>
      <c r="P447" t="str">
        <f>TEXT(B447, "mmmm")</f>
        <v>July</v>
      </c>
      <c r="Q447" t="str">
        <f t="shared" si="27"/>
        <v>Q3</v>
      </c>
      <c r="R447" t="str">
        <f>IFERROR(VLOOKUP(TRIM(CLEAN(G447)),Sheet14!$A$2:$B$19,2,FALSE),"Not Mapped")</f>
        <v>West</v>
      </c>
    </row>
    <row r="448" spans="1:18">
      <c r="A448" t="str">
        <f t="shared" si="24"/>
        <v>EOS0447</v>
      </c>
      <c r="B448" s="35" t="s">
        <v>925</v>
      </c>
      <c r="C448" s="1" t="s">
        <v>267</v>
      </c>
      <c r="D448" s="1" t="str">
        <f t="shared" si="28"/>
        <v>FB</v>
      </c>
      <c r="E448" s="1" t="s">
        <v>928</v>
      </c>
      <c r="F448" s="1" t="s">
        <v>929</v>
      </c>
      <c r="G448" s="1" t="s">
        <v>223</v>
      </c>
      <c r="H448" s="1" t="s">
        <v>149</v>
      </c>
      <c r="I448" s="1">
        <v>108000</v>
      </c>
      <c r="J448" s="45">
        <v>107446</v>
      </c>
      <c r="K448" s="1" t="str">
        <f>TRIM(Cleaned_CRM_Data!H448)</f>
        <v>Rejected</v>
      </c>
      <c r="L448" t="str">
        <f>IFERROR(VLOOKUP(K448, Status_Mapping!A:B, 2,), "Not Found")</f>
        <v>Rejected</v>
      </c>
      <c r="N448" s="29" t="str">
        <f>IF(M448="","",M448-B448)</f>
        <v/>
      </c>
      <c r="O448" s="1" t="str">
        <f t="shared" si="26"/>
        <v>Starter</v>
      </c>
      <c r="P448" t="str">
        <f>TEXT(B448, "mmmm")</f>
        <v>July</v>
      </c>
      <c r="Q448" t="str">
        <f t="shared" si="27"/>
        <v>Q3</v>
      </c>
      <c r="R448" t="str">
        <f>IFERROR(VLOOKUP(TRIM(CLEAN(G448)),Sheet14!$A$2:$B$19,2,FALSE),"Not Mapped")</f>
        <v>West</v>
      </c>
    </row>
    <row r="449" spans="1:18">
      <c r="A449" t="str">
        <f t="shared" si="24"/>
        <v>EOS0448</v>
      </c>
      <c r="B449" s="35" t="s">
        <v>925</v>
      </c>
      <c r="C449" s="1" t="s">
        <v>267</v>
      </c>
      <c r="D449" s="1" t="str">
        <f t="shared" si="28"/>
        <v>FB</v>
      </c>
      <c r="E449" s="1" t="s">
        <v>930</v>
      </c>
      <c r="F449" s="1" t="s">
        <v>418</v>
      </c>
      <c r="G449" s="1" t="s">
        <v>223</v>
      </c>
      <c r="H449" s="1" t="s">
        <v>149</v>
      </c>
      <c r="I449" s="1">
        <v>108000</v>
      </c>
      <c r="J449" s="45">
        <v>107447</v>
      </c>
      <c r="K449" s="1" t="str">
        <f>TRIM(Cleaned_CRM_Data!H449)</f>
        <v>Rejected</v>
      </c>
      <c r="L449" t="str">
        <f>IFERROR(VLOOKUP(K449, Status_Mapping!A:B, 2,), "Not Found")</f>
        <v>Rejected</v>
      </c>
      <c r="N449" s="29" t="str">
        <f>IF(M449="","",M449-B449)</f>
        <v/>
      </c>
      <c r="O449" s="1" t="str">
        <f t="shared" si="26"/>
        <v>Starter</v>
      </c>
      <c r="P449" t="str">
        <f>TEXT(B449, "mmmm")</f>
        <v>July</v>
      </c>
      <c r="Q449" t="str">
        <f t="shared" si="27"/>
        <v>Q3</v>
      </c>
      <c r="R449" t="str">
        <f>IFERROR(VLOOKUP(TRIM(CLEAN(G449)),Sheet14!$A$2:$B$19,2,FALSE),"Not Mapped")</f>
        <v>West</v>
      </c>
    </row>
    <row r="450" spans="1:18">
      <c r="A450" t="str">
        <f t="shared" si="24"/>
        <v>EOS0449</v>
      </c>
      <c r="B450" s="35" t="s">
        <v>925</v>
      </c>
      <c r="C450" s="1" t="s">
        <v>267</v>
      </c>
      <c r="D450" s="1" t="str">
        <f t="shared" si="28"/>
        <v>FB</v>
      </c>
      <c r="E450" s="1" t="s">
        <v>931</v>
      </c>
      <c r="F450" s="1" t="s">
        <v>418</v>
      </c>
      <c r="G450" s="1" t="s">
        <v>223</v>
      </c>
      <c r="H450" s="1" t="s">
        <v>149</v>
      </c>
      <c r="I450" s="1">
        <v>130000</v>
      </c>
      <c r="J450" s="45">
        <v>107448</v>
      </c>
      <c r="K450" s="1" t="str">
        <f>TRIM(Cleaned_CRM_Data!H450)</f>
        <v>Rejected</v>
      </c>
      <c r="L450" t="str">
        <f>IFERROR(VLOOKUP(K450, Status_Mapping!A:B, 2,), "Not Found")</f>
        <v>Rejected</v>
      </c>
      <c r="N450" s="29" t="str">
        <f>IF(M450="","",M450-B450)</f>
        <v/>
      </c>
      <c r="O450" s="1" t="str">
        <f t="shared" si="26"/>
        <v>Starter</v>
      </c>
      <c r="P450" t="str">
        <f>TEXT(B450, "mmmm")</f>
        <v>July</v>
      </c>
      <c r="Q450" t="str">
        <f t="shared" si="27"/>
        <v>Q3</v>
      </c>
      <c r="R450" t="str">
        <f>IFERROR(VLOOKUP(TRIM(CLEAN(G450)),Sheet14!$A$2:$B$19,2,FALSE),"Not Mapped")</f>
        <v>West</v>
      </c>
    </row>
    <row r="451" spans="1:18">
      <c r="A451" t="str">
        <f t="shared" ref="A451:A514" si="29">"EOS"&amp;TEXT(ROW()-1,"0000")</f>
        <v>EOS0450</v>
      </c>
      <c r="B451" s="35" t="s">
        <v>925</v>
      </c>
      <c r="C451" s="1" t="s">
        <v>267</v>
      </c>
      <c r="D451" s="1" t="str">
        <f t="shared" si="28"/>
        <v>FB</v>
      </c>
      <c r="E451" s="1" t="s">
        <v>932</v>
      </c>
      <c r="F451" s="1" t="s">
        <v>269</v>
      </c>
      <c r="G451" s="1" t="s">
        <v>223</v>
      </c>
      <c r="H451" s="1" t="s">
        <v>149</v>
      </c>
      <c r="I451" s="1">
        <v>108000</v>
      </c>
      <c r="J451" s="45">
        <v>107449</v>
      </c>
      <c r="K451" s="1" t="str">
        <f>TRIM(Cleaned_CRM_Data!H451)</f>
        <v>Rejected</v>
      </c>
      <c r="L451" t="str">
        <f>IFERROR(VLOOKUP(K451, Status_Mapping!A:B, 2,), "Not Found")</f>
        <v>Rejected</v>
      </c>
      <c r="N451" s="29" t="str">
        <f>IF(M451="","",M451-B451)</f>
        <v/>
      </c>
      <c r="O451" s="1" t="str">
        <f t="shared" ref="O451:O514" si="30">IF(OR(I451=108000,I451=130000),"Starter",IF(I451=177000,"Growth","Premium"))</f>
        <v>Starter</v>
      </c>
      <c r="P451" t="str">
        <f>TEXT(B451, "mmmm")</f>
        <v>July</v>
      </c>
      <c r="Q451" t="str">
        <f t="shared" ref="Q451:Q514" si="31">"Q"&amp;ROUNDUP(MONTH(B451)/3,0)</f>
        <v>Q3</v>
      </c>
      <c r="R451" t="str">
        <f>IFERROR(VLOOKUP(TRIM(CLEAN(G451)),Sheet14!$A$2:$B$19,2,FALSE),"Not Mapped")</f>
        <v>West</v>
      </c>
    </row>
    <row r="452" spans="1:18">
      <c r="A452" t="str">
        <f t="shared" si="29"/>
        <v>EOS0451</v>
      </c>
      <c r="B452" s="35" t="s">
        <v>925</v>
      </c>
      <c r="C452" s="1" t="s">
        <v>267</v>
      </c>
      <c r="D452" s="1" t="str">
        <f t="shared" si="28"/>
        <v>FB</v>
      </c>
      <c r="E452" s="1" t="s">
        <v>933</v>
      </c>
      <c r="F452" s="1" t="s">
        <v>275</v>
      </c>
      <c r="G452" s="1" t="s">
        <v>223</v>
      </c>
      <c r="H452" s="1" t="s">
        <v>149</v>
      </c>
      <c r="I452" s="1">
        <v>177000</v>
      </c>
      <c r="J452" s="45">
        <v>107450</v>
      </c>
      <c r="K452" s="1" t="str">
        <f>TRIM(Cleaned_CRM_Data!H452)</f>
        <v>Rejected</v>
      </c>
      <c r="L452" t="str">
        <f>IFERROR(VLOOKUP(K452, Status_Mapping!A:B, 2,), "Not Found")</f>
        <v>Rejected</v>
      </c>
      <c r="N452" s="29" t="str">
        <f>IF(M452="","",M452-B452)</f>
        <v/>
      </c>
      <c r="O452" s="1" t="str">
        <f t="shared" si="30"/>
        <v>Growth</v>
      </c>
      <c r="P452" t="str">
        <f>TEXT(B452, "mmmm")</f>
        <v>July</v>
      </c>
      <c r="Q452" t="str">
        <f t="shared" si="31"/>
        <v>Q3</v>
      </c>
      <c r="R452" t="str">
        <f>IFERROR(VLOOKUP(TRIM(CLEAN(G452)),Sheet14!$A$2:$B$19,2,FALSE),"Not Mapped")</f>
        <v>West</v>
      </c>
    </row>
    <row r="453" spans="1:18">
      <c r="A453" t="str">
        <f t="shared" si="29"/>
        <v>EOS0452</v>
      </c>
      <c r="B453" s="35" t="s">
        <v>925</v>
      </c>
      <c r="C453" s="1" t="s">
        <v>267</v>
      </c>
      <c r="D453" s="1" t="str">
        <f t="shared" si="28"/>
        <v>FB</v>
      </c>
      <c r="E453" s="1" t="s">
        <v>934</v>
      </c>
      <c r="F453" s="1" t="s">
        <v>321</v>
      </c>
      <c r="G453" s="1" t="s">
        <v>223</v>
      </c>
      <c r="H453" s="1" t="s">
        <v>149</v>
      </c>
      <c r="I453" s="1">
        <v>177000</v>
      </c>
      <c r="J453" s="45">
        <v>107451</v>
      </c>
      <c r="K453" s="1" t="str">
        <f>TRIM(Cleaned_CRM_Data!H453)</f>
        <v>Rejected</v>
      </c>
      <c r="L453" t="str">
        <f>IFERROR(VLOOKUP(K453, Status_Mapping!A:B, 2,), "Not Found")</f>
        <v>Rejected</v>
      </c>
      <c r="N453" s="29" t="str">
        <f>IF(M453="","",M453-B453)</f>
        <v/>
      </c>
      <c r="O453" s="1" t="str">
        <f t="shared" si="30"/>
        <v>Growth</v>
      </c>
      <c r="P453" t="str">
        <f>TEXT(B453, "mmmm")</f>
        <v>July</v>
      </c>
      <c r="Q453" t="str">
        <f t="shared" si="31"/>
        <v>Q3</v>
      </c>
      <c r="R453" t="str">
        <f>IFERROR(VLOOKUP(TRIM(CLEAN(G453)),Sheet14!$A$2:$B$19,2,FALSE),"Not Mapped")</f>
        <v>West</v>
      </c>
    </row>
    <row r="454" spans="1:18">
      <c r="A454" t="str">
        <f t="shared" si="29"/>
        <v>EOS0453</v>
      </c>
      <c r="B454" s="35" t="s">
        <v>925</v>
      </c>
      <c r="C454" s="1" t="s">
        <v>267</v>
      </c>
      <c r="D454" s="1" t="str">
        <f t="shared" si="28"/>
        <v>FB</v>
      </c>
      <c r="E454" s="1" t="s">
        <v>935</v>
      </c>
      <c r="F454" s="1" t="s">
        <v>304</v>
      </c>
      <c r="G454" s="1" t="s">
        <v>223</v>
      </c>
      <c r="H454" s="1" t="s">
        <v>149</v>
      </c>
      <c r="I454" s="1">
        <v>130000</v>
      </c>
      <c r="J454" s="45">
        <v>107452</v>
      </c>
      <c r="K454" s="1" t="str">
        <f>TRIM(Cleaned_CRM_Data!H454)</f>
        <v>Rejected</v>
      </c>
      <c r="L454" t="str">
        <f>IFERROR(VLOOKUP(K454, Status_Mapping!A:B, 2,), "Not Found")</f>
        <v>Rejected</v>
      </c>
      <c r="N454" s="29" t="str">
        <f>IF(M454="","",M454-B454)</f>
        <v/>
      </c>
      <c r="O454" s="1" t="str">
        <f t="shared" si="30"/>
        <v>Starter</v>
      </c>
      <c r="P454" t="str">
        <f>TEXT(B454, "mmmm")</f>
        <v>July</v>
      </c>
      <c r="Q454" t="str">
        <f t="shared" si="31"/>
        <v>Q3</v>
      </c>
      <c r="R454" t="str">
        <f>IFERROR(VLOOKUP(TRIM(CLEAN(G454)),Sheet14!$A$2:$B$19,2,FALSE),"Not Mapped")</f>
        <v>West</v>
      </c>
    </row>
    <row r="455" spans="1:18">
      <c r="A455" t="str">
        <f t="shared" si="29"/>
        <v>EOS0454</v>
      </c>
      <c r="B455" s="35" t="s">
        <v>925</v>
      </c>
      <c r="C455" s="1" t="s">
        <v>911</v>
      </c>
      <c r="D455" s="1"/>
      <c r="E455" s="1" t="s">
        <v>936</v>
      </c>
      <c r="F455" s="1" t="s">
        <v>937</v>
      </c>
      <c r="G455" s="1" t="s">
        <v>235</v>
      </c>
      <c r="H455" s="1" t="s">
        <v>149</v>
      </c>
      <c r="I455" s="1">
        <v>130000</v>
      </c>
      <c r="J455" s="45">
        <v>107453</v>
      </c>
      <c r="K455" s="1" t="str">
        <f>TRIM(Cleaned_CRM_Data!H455)</f>
        <v>Rejected</v>
      </c>
      <c r="L455" t="str">
        <f>IFERROR(VLOOKUP(K455, Status_Mapping!A:B, 2,), "Not Found")</f>
        <v>Rejected</v>
      </c>
      <c r="N455" s="29" t="str">
        <f>IF(M455="","",M455-B455)</f>
        <v/>
      </c>
      <c r="O455" s="1" t="str">
        <f t="shared" si="30"/>
        <v>Starter</v>
      </c>
      <c r="P455" t="str">
        <f>TEXT(B455, "mmmm")</f>
        <v>July</v>
      </c>
      <c r="Q455" t="str">
        <f t="shared" si="31"/>
        <v>Q3</v>
      </c>
      <c r="R455" t="str">
        <f>IFERROR(VLOOKUP(TRIM(CLEAN(G455)),Sheet14!$A$2:$B$19,2,FALSE),"Not Mapped")</f>
        <v>West</v>
      </c>
    </row>
    <row r="456" spans="1:18">
      <c r="A456" t="str">
        <f t="shared" si="29"/>
        <v>EOS0455</v>
      </c>
      <c r="B456" s="35" t="s">
        <v>925</v>
      </c>
      <c r="C456" s="1" t="s">
        <v>911</v>
      </c>
      <c r="D456" s="1"/>
      <c r="E456" s="1" t="s">
        <v>938</v>
      </c>
      <c r="F456" s="1" t="s">
        <v>304</v>
      </c>
      <c r="G456" s="1" t="s">
        <v>223</v>
      </c>
      <c r="H456" s="1" t="s">
        <v>149</v>
      </c>
      <c r="I456" s="1">
        <v>130000</v>
      </c>
      <c r="J456" s="45">
        <v>107454</v>
      </c>
      <c r="K456" s="1" t="str">
        <f>TRIM(Cleaned_CRM_Data!H456)</f>
        <v>Rejected</v>
      </c>
      <c r="L456" t="str">
        <f>IFERROR(VLOOKUP(K456, Status_Mapping!A:B, 2,), "Not Found")</f>
        <v>Rejected</v>
      </c>
      <c r="N456" s="29" t="str">
        <f>IF(M456="","",M456-B456)</f>
        <v/>
      </c>
      <c r="O456" s="1" t="str">
        <f t="shared" si="30"/>
        <v>Starter</v>
      </c>
      <c r="P456" t="str">
        <f>TEXT(B456, "mmmm")</f>
        <v>July</v>
      </c>
      <c r="Q456" t="str">
        <f t="shared" si="31"/>
        <v>Q3</v>
      </c>
      <c r="R456" t="str">
        <f>IFERROR(VLOOKUP(TRIM(CLEAN(G456)),Sheet14!$A$2:$B$19,2,FALSE),"Not Mapped")</f>
        <v>West</v>
      </c>
    </row>
    <row r="457" spans="1:18">
      <c r="A457" t="str">
        <f t="shared" si="29"/>
        <v>EOS0456</v>
      </c>
      <c r="B457" s="35" t="s">
        <v>939</v>
      </c>
      <c r="C457" s="1" t="s">
        <v>911</v>
      </c>
      <c r="D457" s="1"/>
      <c r="E457" s="1" t="s">
        <v>940</v>
      </c>
      <c r="F457" s="1" t="s">
        <v>412</v>
      </c>
      <c r="G457" s="1" t="s">
        <v>223</v>
      </c>
      <c r="H457" s="1" t="s">
        <v>149</v>
      </c>
      <c r="I457" s="1">
        <v>130000</v>
      </c>
      <c r="J457" s="45">
        <v>107455</v>
      </c>
      <c r="K457" s="1" t="str">
        <f>TRIM(Cleaned_CRM_Data!H457)</f>
        <v>Rejected</v>
      </c>
      <c r="L457" t="str">
        <f>IFERROR(VLOOKUP(K457, Status_Mapping!A:B, 2,), "Not Found")</f>
        <v>Rejected</v>
      </c>
      <c r="N457" s="29" t="str">
        <f>IF(M457="","",M457-B457)</f>
        <v/>
      </c>
      <c r="O457" s="1" t="str">
        <f t="shared" si="30"/>
        <v>Starter</v>
      </c>
      <c r="P457" t="str">
        <f>TEXT(B457, "mmmm")</f>
        <v>July</v>
      </c>
      <c r="Q457" t="str">
        <f t="shared" si="31"/>
        <v>Q3</v>
      </c>
      <c r="R457" t="str">
        <f>IFERROR(VLOOKUP(TRIM(CLEAN(G457)),Sheet14!$A$2:$B$19,2,FALSE),"Not Mapped")</f>
        <v>West</v>
      </c>
    </row>
    <row r="458" spans="1:18">
      <c r="A458" t="str">
        <f t="shared" si="29"/>
        <v>EOS0457</v>
      </c>
      <c r="B458" s="35" t="s">
        <v>939</v>
      </c>
      <c r="C458" s="1" t="s">
        <v>911</v>
      </c>
      <c r="D458" s="1"/>
      <c r="E458" s="1" t="s">
        <v>941</v>
      </c>
      <c r="F458" s="1" t="s">
        <v>942</v>
      </c>
      <c r="G458" s="1" t="s">
        <v>223</v>
      </c>
      <c r="H458" s="1" t="s">
        <v>149</v>
      </c>
      <c r="I458" s="1">
        <v>108000</v>
      </c>
      <c r="J458" s="45">
        <v>107456</v>
      </c>
      <c r="K458" s="1" t="str">
        <f>TRIM(Cleaned_CRM_Data!H458)</f>
        <v>Rejected</v>
      </c>
      <c r="L458" t="str">
        <f>IFERROR(VLOOKUP(K458, Status_Mapping!A:B, 2,), "Not Found")</f>
        <v>Rejected</v>
      </c>
      <c r="N458" s="29" t="str">
        <f>IF(M458="","",M458-B458)</f>
        <v/>
      </c>
      <c r="O458" s="1" t="str">
        <f t="shared" si="30"/>
        <v>Starter</v>
      </c>
      <c r="P458" t="str">
        <f>TEXT(B458, "mmmm")</f>
        <v>July</v>
      </c>
      <c r="Q458" t="str">
        <f t="shared" si="31"/>
        <v>Q3</v>
      </c>
      <c r="R458" t="str">
        <f>IFERROR(VLOOKUP(TRIM(CLEAN(G458)),Sheet14!$A$2:$B$19,2,FALSE),"Not Mapped")</f>
        <v>West</v>
      </c>
    </row>
    <row r="459" spans="1:18">
      <c r="A459" t="str">
        <f t="shared" si="29"/>
        <v>EOS0458</v>
      </c>
      <c r="B459" s="35" t="s">
        <v>939</v>
      </c>
      <c r="C459" s="1" t="s">
        <v>911</v>
      </c>
      <c r="D459" s="1"/>
      <c r="E459" s="1" t="s">
        <v>943</v>
      </c>
      <c r="F459" s="1" t="s">
        <v>275</v>
      </c>
      <c r="G459" s="1" t="s">
        <v>223</v>
      </c>
      <c r="H459" s="1" t="s">
        <v>149</v>
      </c>
      <c r="I459" s="1">
        <v>130000</v>
      </c>
      <c r="J459" s="45">
        <v>107457</v>
      </c>
      <c r="K459" s="1" t="str">
        <f>TRIM(Cleaned_CRM_Data!H459)</f>
        <v>Rejected</v>
      </c>
      <c r="L459" t="str">
        <f>IFERROR(VLOOKUP(K459, Status_Mapping!A:B, 2,), "Not Found")</f>
        <v>Rejected</v>
      </c>
      <c r="N459" s="29" t="str">
        <f>IF(M459="","",M459-B459)</f>
        <v/>
      </c>
      <c r="O459" s="1" t="str">
        <f t="shared" si="30"/>
        <v>Starter</v>
      </c>
      <c r="P459" t="str">
        <f>TEXT(B459, "mmmm")</f>
        <v>July</v>
      </c>
      <c r="Q459" t="str">
        <f t="shared" si="31"/>
        <v>Q3</v>
      </c>
      <c r="R459" t="str">
        <f>IFERROR(VLOOKUP(TRIM(CLEAN(G459)),Sheet14!$A$2:$B$19,2,FALSE),"Not Mapped")</f>
        <v>West</v>
      </c>
    </row>
    <row r="460" spans="1:18">
      <c r="A460" t="str">
        <f t="shared" si="29"/>
        <v>EOS0459</v>
      </c>
      <c r="B460" s="35" t="s">
        <v>894</v>
      </c>
      <c r="C460" s="1" t="s">
        <v>267</v>
      </c>
      <c r="D460" s="1" t="str">
        <f t="shared" ref="D460:D466" si="32">TRIM(CLEAN(SUBSTITUTE(C460,CHAR(160),"")))</f>
        <v>FB</v>
      </c>
      <c r="E460" s="1" t="s">
        <v>944</v>
      </c>
      <c r="F460" s="1" t="s">
        <v>945</v>
      </c>
      <c r="G460" s="1" t="s">
        <v>223</v>
      </c>
      <c r="H460" s="1" t="s">
        <v>149</v>
      </c>
      <c r="I460" s="1">
        <v>130000</v>
      </c>
      <c r="J460" s="45">
        <v>107458</v>
      </c>
      <c r="K460" s="1" t="str">
        <f>TRIM(Cleaned_CRM_Data!H460)</f>
        <v>Rejected</v>
      </c>
      <c r="L460" t="str">
        <f>IFERROR(VLOOKUP(K460, Status_Mapping!A:B, 2,), "Not Found")</f>
        <v>Rejected</v>
      </c>
      <c r="N460" s="29" t="str">
        <f>IF(M460="","",M460-B460)</f>
        <v/>
      </c>
      <c r="O460" s="1" t="str">
        <f t="shared" si="30"/>
        <v>Starter</v>
      </c>
      <c r="P460" t="str">
        <f>TEXT(B460, "mmmm")</f>
        <v>July</v>
      </c>
      <c r="Q460" t="str">
        <f t="shared" si="31"/>
        <v>Q3</v>
      </c>
      <c r="R460" t="str">
        <f>IFERROR(VLOOKUP(TRIM(CLEAN(G460)),Sheet14!$A$2:$B$19,2,FALSE),"Not Mapped")</f>
        <v>West</v>
      </c>
    </row>
    <row r="461" spans="1:18">
      <c r="A461" t="str">
        <f t="shared" si="29"/>
        <v>EOS0460</v>
      </c>
      <c r="B461" s="35" t="s">
        <v>894</v>
      </c>
      <c r="C461" s="1" t="s">
        <v>267</v>
      </c>
      <c r="D461" s="1" t="str">
        <f t="shared" si="32"/>
        <v>FB</v>
      </c>
      <c r="E461" s="1" t="s">
        <v>946</v>
      </c>
      <c r="F461" s="1" t="s">
        <v>645</v>
      </c>
      <c r="G461" s="1" t="s">
        <v>223</v>
      </c>
      <c r="H461" s="1" t="s">
        <v>149</v>
      </c>
      <c r="I461" s="1">
        <v>130000</v>
      </c>
      <c r="J461" s="45">
        <v>107459</v>
      </c>
      <c r="K461" s="1" t="str">
        <f>TRIM(Cleaned_CRM_Data!H461)</f>
        <v>Rejected</v>
      </c>
      <c r="L461" t="str">
        <f>IFERROR(VLOOKUP(K461, Status_Mapping!A:B, 2,), "Not Found")</f>
        <v>Rejected</v>
      </c>
      <c r="N461" s="29" t="str">
        <f>IF(M461="","",M461-B461)</f>
        <v/>
      </c>
      <c r="O461" s="1" t="str">
        <f t="shared" si="30"/>
        <v>Starter</v>
      </c>
      <c r="P461" t="str">
        <f>TEXT(B461, "mmmm")</f>
        <v>July</v>
      </c>
      <c r="Q461" t="str">
        <f t="shared" si="31"/>
        <v>Q3</v>
      </c>
      <c r="R461" t="str">
        <f>IFERROR(VLOOKUP(TRIM(CLEAN(G461)),Sheet14!$A$2:$B$19,2,FALSE),"Not Mapped")</f>
        <v>West</v>
      </c>
    </row>
    <row r="462" spans="1:18">
      <c r="A462" t="str">
        <f t="shared" si="29"/>
        <v>EOS0461</v>
      </c>
      <c r="B462" s="35" t="s">
        <v>894</v>
      </c>
      <c r="C462" s="1" t="s">
        <v>267</v>
      </c>
      <c r="D462" s="1" t="str">
        <f t="shared" si="32"/>
        <v>FB</v>
      </c>
      <c r="E462" s="1" t="s">
        <v>947</v>
      </c>
      <c r="F462" s="1" t="s">
        <v>304</v>
      </c>
      <c r="G462" s="1" t="s">
        <v>223</v>
      </c>
      <c r="H462" s="1" t="s">
        <v>149</v>
      </c>
      <c r="I462" s="1">
        <v>177000</v>
      </c>
      <c r="J462" s="45">
        <v>107460</v>
      </c>
      <c r="K462" s="1" t="str">
        <f>TRIM(Cleaned_CRM_Data!H462)</f>
        <v>Rejected</v>
      </c>
      <c r="L462" t="str">
        <f>IFERROR(VLOOKUP(K462, Status_Mapping!A:B, 2,), "Not Found")</f>
        <v>Rejected</v>
      </c>
      <c r="N462" s="29" t="str">
        <f>IF(M462="","",M462-B462)</f>
        <v/>
      </c>
      <c r="O462" s="1" t="str">
        <f t="shared" si="30"/>
        <v>Growth</v>
      </c>
      <c r="P462" t="str">
        <f>TEXT(B462, "mmmm")</f>
        <v>July</v>
      </c>
      <c r="Q462" t="str">
        <f t="shared" si="31"/>
        <v>Q3</v>
      </c>
      <c r="R462" t="str">
        <f>IFERROR(VLOOKUP(TRIM(CLEAN(G462)),Sheet14!$A$2:$B$19,2,FALSE),"Not Mapped")</f>
        <v>West</v>
      </c>
    </row>
    <row r="463" spans="1:18">
      <c r="A463" t="str">
        <f t="shared" si="29"/>
        <v>EOS0462</v>
      </c>
      <c r="B463" s="35" t="s">
        <v>894</v>
      </c>
      <c r="C463" s="1" t="s">
        <v>267</v>
      </c>
      <c r="D463" s="1" t="str">
        <f t="shared" si="32"/>
        <v>FB</v>
      </c>
      <c r="E463" s="1" t="s">
        <v>948</v>
      </c>
      <c r="F463" s="1" t="s">
        <v>275</v>
      </c>
      <c r="G463" s="1" t="s">
        <v>223</v>
      </c>
      <c r="H463" s="1" t="s">
        <v>149</v>
      </c>
      <c r="I463" s="1">
        <v>130000</v>
      </c>
      <c r="J463" s="45">
        <v>107461</v>
      </c>
      <c r="K463" s="1" t="str">
        <f>TRIM(Cleaned_CRM_Data!H463)</f>
        <v>Rejected</v>
      </c>
      <c r="L463" t="str">
        <f>IFERROR(VLOOKUP(K463, Status_Mapping!A:B, 2,), "Not Found")</f>
        <v>Rejected</v>
      </c>
      <c r="N463" s="29" t="str">
        <f>IF(M463="","",M463-B463)</f>
        <v/>
      </c>
      <c r="O463" s="1" t="str">
        <f t="shared" si="30"/>
        <v>Starter</v>
      </c>
      <c r="P463" t="str">
        <f>TEXT(B463, "mmmm")</f>
        <v>July</v>
      </c>
      <c r="Q463" t="str">
        <f t="shared" si="31"/>
        <v>Q3</v>
      </c>
      <c r="R463" t="str">
        <f>IFERROR(VLOOKUP(TRIM(CLEAN(G463)),Sheet14!$A$2:$B$19,2,FALSE),"Not Mapped")</f>
        <v>West</v>
      </c>
    </row>
    <row r="464" spans="1:18">
      <c r="A464" t="str">
        <f t="shared" si="29"/>
        <v>EOS0463</v>
      </c>
      <c r="B464" s="35" t="s">
        <v>894</v>
      </c>
      <c r="C464" s="1" t="s">
        <v>267</v>
      </c>
      <c r="D464" s="1" t="str">
        <f t="shared" si="32"/>
        <v>FB</v>
      </c>
      <c r="E464" s="1" t="s">
        <v>949</v>
      </c>
      <c r="F464" s="1" t="s">
        <v>518</v>
      </c>
      <c r="G464" s="1" t="s">
        <v>223</v>
      </c>
      <c r="H464" s="1" t="s">
        <v>149</v>
      </c>
      <c r="I464" s="1">
        <v>108000</v>
      </c>
      <c r="J464" s="45">
        <v>107462</v>
      </c>
      <c r="K464" s="1" t="str">
        <f>TRIM(Cleaned_CRM_Data!H464)</f>
        <v>Rejected</v>
      </c>
      <c r="L464" t="str">
        <f>IFERROR(VLOOKUP(K464, Status_Mapping!A:B, 2,), "Not Found")</f>
        <v>Rejected</v>
      </c>
      <c r="N464" s="29" t="str">
        <f>IF(M464="","",M464-B464)</f>
        <v/>
      </c>
      <c r="O464" s="1" t="str">
        <f t="shared" si="30"/>
        <v>Starter</v>
      </c>
      <c r="P464" t="str">
        <f>TEXT(B464, "mmmm")</f>
        <v>July</v>
      </c>
      <c r="Q464" t="str">
        <f t="shared" si="31"/>
        <v>Q3</v>
      </c>
      <c r="R464" t="str">
        <f>IFERROR(VLOOKUP(TRIM(CLEAN(G464)),Sheet14!$A$2:$B$19,2,FALSE),"Not Mapped")</f>
        <v>West</v>
      </c>
    </row>
    <row r="465" spans="1:18">
      <c r="A465" t="str">
        <f t="shared" si="29"/>
        <v>EOS0464</v>
      </c>
      <c r="B465" s="35" t="s">
        <v>894</v>
      </c>
      <c r="C465" s="1" t="s">
        <v>267</v>
      </c>
      <c r="D465" s="1" t="str">
        <f t="shared" si="32"/>
        <v>FB</v>
      </c>
      <c r="E465" s="1" t="s">
        <v>950</v>
      </c>
      <c r="F465" s="1" t="s">
        <v>744</v>
      </c>
      <c r="G465" s="1" t="s">
        <v>223</v>
      </c>
      <c r="H465" s="1" t="s">
        <v>149</v>
      </c>
      <c r="I465" s="1">
        <v>108000</v>
      </c>
      <c r="J465" s="45">
        <v>107463</v>
      </c>
      <c r="K465" s="1" t="str">
        <f>TRIM(Cleaned_CRM_Data!H465)</f>
        <v>Rejected</v>
      </c>
      <c r="L465" t="str">
        <f>IFERROR(VLOOKUP(K465, Status_Mapping!A:B, 2,), "Not Found")</f>
        <v>Rejected</v>
      </c>
      <c r="N465" s="29" t="str">
        <f>IF(M465="","",M465-B465)</f>
        <v/>
      </c>
      <c r="O465" s="1" t="str">
        <f t="shared" si="30"/>
        <v>Starter</v>
      </c>
      <c r="P465" t="str">
        <f>TEXT(B465, "mmmm")</f>
        <v>July</v>
      </c>
      <c r="Q465" t="str">
        <f t="shared" si="31"/>
        <v>Q3</v>
      </c>
      <c r="R465" t="str">
        <f>IFERROR(VLOOKUP(TRIM(CLEAN(G465)),Sheet14!$A$2:$B$19,2,FALSE),"Not Mapped")</f>
        <v>West</v>
      </c>
    </row>
    <row r="466" spans="1:18">
      <c r="A466" t="str">
        <f t="shared" si="29"/>
        <v>EOS0465</v>
      </c>
      <c r="B466" s="35" t="s">
        <v>894</v>
      </c>
      <c r="C466" s="1" t="s">
        <v>267</v>
      </c>
      <c r="D466" s="1" t="str">
        <f t="shared" si="32"/>
        <v>FB</v>
      </c>
      <c r="E466" s="1" t="s">
        <v>951</v>
      </c>
      <c r="F466" s="1" t="s">
        <v>275</v>
      </c>
      <c r="G466" s="1" t="s">
        <v>223</v>
      </c>
      <c r="H466" s="1" t="s">
        <v>149</v>
      </c>
      <c r="I466" s="1">
        <v>130000</v>
      </c>
      <c r="J466" s="45">
        <v>107464</v>
      </c>
      <c r="K466" s="1" t="str">
        <f>TRIM(Cleaned_CRM_Data!H466)</f>
        <v>Rejected</v>
      </c>
      <c r="L466" t="str">
        <f>IFERROR(VLOOKUP(K466, Status_Mapping!A:B, 2,), "Not Found")</f>
        <v>Rejected</v>
      </c>
      <c r="N466" s="29" t="str">
        <f>IF(M466="","",M466-B466)</f>
        <v/>
      </c>
      <c r="O466" s="1" t="str">
        <f t="shared" si="30"/>
        <v>Starter</v>
      </c>
      <c r="P466" t="str">
        <f>TEXT(B466, "mmmm")</f>
        <v>July</v>
      </c>
      <c r="Q466" t="str">
        <f t="shared" si="31"/>
        <v>Q3</v>
      </c>
      <c r="R466" t="str">
        <f>IFERROR(VLOOKUP(TRIM(CLEAN(G466)),Sheet14!$A$2:$B$19,2,FALSE),"Not Mapped")</f>
        <v>West</v>
      </c>
    </row>
    <row r="467" spans="1:18">
      <c r="A467" t="str">
        <f t="shared" si="29"/>
        <v>EOS0466</v>
      </c>
      <c r="B467" s="35" t="s">
        <v>894</v>
      </c>
      <c r="C467" s="1" t="s">
        <v>911</v>
      </c>
      <c r="D467" s="1"/>
      <c r="E467" s="1" t="s">
        <v>952</v>
      </c>
      <c r="F467" s="1" t="s">
        <v>654</v>
      </c>
      <c r="G467" s="1" t="s">
        <v>223</v>
      </c>
      <c r="H467" s="1" t="s">
        <v>149</v>
      </c>
      <c r="I467" s="1">
        <v>177000</v>
      </c>
      <c r="J467" s="45">
        <v>107465</v>
      </c>
      <c r="K467" s="1" t="str">
        <f>TRIM(Cleaned_CRM_Data!H467)</f>
        <v>Rejected</v>
      </c>
      <c r="L467" t="str">
        <f>IFERROR(VLOOKUP(K467, Status_Mapping!A:B, 2,), "Not Found")</f>
        <v>Rejected</v>
      </c>
      <c r="N467" s="29" t="str">
        <f>IF(M467="","",M467-B467)</f>
        <v/>
      </c>
      <c r="O467" s="1" t="str">
        <f t="shared" si="30"/>
        <v>Growth</v>
      </c>
      <c r="P467" t="str">
        <f>TEXT(B467, "mmmm")</f>
        <v>July</v>
      </c>
      <c r="Q467" t="str">
        <f t="shared" si="31"/>
        <v>Q3</v>
      </c>
      <c r="R467" t="str">
        <f>IFERROR(VLOOKUP(TRIM(CLEAN(G467)),Sheet14!$A$2:$B$19,2,FALSE),"Not Mapped")</f>
        <v>West</v>
      </c>
    </row>
    <row r="468" spans="1:18">
      <c r="A468" t="str">
        <f t="shared" si="29"/>
        <v>EOS0467</v>
      </c>
      <c r="B468" s="35" t="s">
        <v>953</v>
      </c>
      <c r="C468" s="1" t="s">
        <v>911</v>
      </c>
      <c r="D468" s="1"/>
      <c r="E468" s="1" t="s">
        <v>954</v>
      </c>
      <c r="F468" s="1"/>
      <c r="G468" s="1" t="s">
        <v>223</v>
      </c>
      <c r="H468" s="1" t="s">
        <v>149</v>
      </c>
      <c r="I468" s="1">
        <v>130000</v>
      </c>
      <c r="J468" s="45">
        <v>107466</v>
      </c>
      <c r="K468" s="1" t="str">
        <f>TRIM(Cleaned_CRM_Data!H468)</f>
        <v>Rejected</v>
      </c>
      <c r="L468" t="str">
        <f>IFERROR(VLOOKUP(K468, Status_Mapping!A:B, 2,), "Not Found")</f>
        <v>Rejected</v>
      </c>
      <c r="N468" s="29" t="str">
        <f>IF(M468="","",M468-B468)</f>
        <v/>
      </c>
      <c r="O468" s="1" t="str">
        <f t="shared" si="30"/>
        <v>Starter</v>
      </c>
      <c r="P468" t="str">
        <f>TEXT(B468, "mmmm")</f>
        <v>July</v>
      </c>
      <c r="Q468" t="str">
        <f t="shared" si="31"/>
        <v>Q3</v>
      </c>
      <c r="R468" t="str">
        <f>IFERROR(VLOOKUP(TRIM(CLEAN(G468)),Sheet14!$A$2:$B$19,2,FALSE),"Not Mapped")</f>
        <v>West</v>
      </c>
    </row>
    <row r="469" spans="1:18">
      <c r="A469" t="str">
        <f t="shared" si="29"/>
        <v>EOS0468</v>
      </c>
      <c r="B469" s="35" t="s">
        <v>953</v>
      </c>
      <c r="C469" s="1" t="s">
        <v>911</v>
      </c>
      <c r="D469" s="1"/>
      <c r="E469" s="1" t="s">
        <v>955</v>
      </c>
      <c r="F469" s="1"/>
      <c r="G469" s="1" t="s">
        <v>229</v>
      </c>
      <c r="H469" s="1" t="s">
        <v>149</v>
      </c>
      <c r="I469" s="1">
        <v>130000</v>
      </c>
      <c r="J469" s="45">
        <v>107467</v>
      </c>
      <c r="K469" s="1" t="str">
        <f>TRIM(Cleaned_CRM_Data!H469)</f>
        <v>Rejected</v>
      </c>
      <c r="L469" t="str">
        <f>IFERROR(VLOOKUP(K469, Status_Mapping!A:B, 2,), "Not Found")</f>
        <v>Rejected</v>
      </c>
      <c r="N469" s="29" t="str">
        <f>IF(M469="","",M469-B469)</f>
        <v/>
      </c>
      <c r="O469" s="1" t="str">
        <f t="shared" si="30"/>
        <v>Starter</v>
      </c>
      <c r="P469" t="str">
        <f>TEXT(B469, "mmmm")</f>
        <v>July</v>
      </c>
      <c r="Q469" t="str">
        <f t="shared" si="31"/>
        <v>Q3</v>
      </c>
      <c r="R469" t="str">
        <f>IFERROR(VLOOKUP(TRIM(CLEAN(G469)),Sheet14!$A$2:$B$19,2,FALSE),"Not Mapped")</f>
        <v>West</v>
      </c>
    </row>
    <row r="470" spans="1:18">
      <c r="A470" t="str">
        <f t="shared" si="29"/>
        <v>EOS0469</v>
      </c>
      <c r="B470" s="35" t="s">
        <v>956</v>
      </c>
      <c r="C470" s="1" t="s">
        <v>267</v>
      </c>
      <c r="D470" s="1" t="str">
        <f t="shared" ref="D470:D475" si="33">TRIM(CLEAN(SUBSTITUTE(C470,CHAR(160),"")))</f>
        <v>FB</v>
      </c>
      <c r="E470" s="1" t="s">
        <v>957</v>
      </c>
      <c r="F470" s="1" t="s">
        <v>645</v>
      </c>
      <c r="G470" s="1" t="s">
        <v>223</v>
      </c>
      <c r="H470" s="1" t="s">
        <v>149</v>
      </c>
      <c r="I470" s="1">
        <v>130000</v>
      </c>
      <c r="J470" s="45">
        <v>107468</v>
      </c>
      <c r="K470" s="1" t="str">
        <f>TRIM(Cleaned_CRM_Data!H470)</f>
        <v>Rejected</v>
      </c>
      <c r="L470" t="str">
        <f>IFERROR(VLOOKUP(K470, Status_Mapping!A:B, 2,), "Not Found")</f>
        <v>Rejected</v>
      </c>
      <c r="N470" s="29" t="str">
        <f>IF(M470="","",M470-B470)</f>
        <v/>
      </c>
      <c r="O470" s="1" t="str">
        <f t="shared" si="30"/>
        <v>Starter</v>
      </c>
      <c r="P470" t="str">
        <f>TEXT(B470, "mmmm")</f>
        <v>July</v>
      </c>
      <c r="Q470" t="str">
        <f t="shared" si="31"/>
        <v>Q3</v>
      </c>
      <c r="R470" t="str">
        <f>IFERROR(VLOOKUP(TRIM(CLEAN(G470)),Sheet14!$A$2:$B$19,2,FALSE),"Not Mapped")</f>
        <v>West</v>
      </c>
    </row>
    <row r="471" spans="1:18">
      <c r="A471" t="str">
        <f t="shared" si="29"/>
        <v>EOS0470</v>
      </c>
      <c r="B471" s="35" t="s">
        <v>956</v>
      </c>
      <c r="C471" s="1" t="s">
        <v>267</v>
      </c>
      <c r="D471" s="1" t="str">
        <f t="shared" si="33"/>
        <v>FB</v>
      </c>
      <c r="E471" s="1" t="s">
        <v>958</v>
      </c>
      <c r="F471" s="1" t="s">
        <v>275</v>
      </c>
      <c r="G471" s="1" t="s">
        <v>223</v>
      </c>
      <c r="H471" s="1" t="s">
        <v>149</v>
      </c>
      <c r="I471" s="1">
        <v>108000</v>
      </c>
      <c r="J471" s="45">
        <v>107469</v>
      </c>
      <c r="K471" s="1" t="str">
        <f>TRIM(Cleaned_CRM_Data!H471)</f>
        <v>Rejected</v>
      </c>
      <c r="L471" t="str">
        <f>IFERROR(VLOOKUP(K471, Status_Mapping!A:B, 2,), "Not Found")</f>
        <v>Rejected</v>
      </c>
      <c r="N471" s="29" t="str">
        <f>IF(M471="","",M471-B471)</f>
        <v/>
      </c>
      <c r="O471" s="1" t="str">
        <f t="shared" si="30"/>
        <v>Starter</v>
      </c>
      <c r="P471" t="str">
        <f>TEXT(B471, "mmmm")</f>
        <v>July</v>
      </c>
      <c r="Q471" t="str">
        <f t="shared" si="31"/>
        <v>Q3</v>
      </c>
      <c r="R471" t="str">
        <f>IFERROR(VLOOKUP(TRIM(CLEAN(G471)),Sheet14!$A$2:$B$19,2,FALSE),"Not Mapped")</f>
        <v>West</v>
      </c>
    </row>
    <row r="472" spans="1:18">
      <c r="A472" t="str">
        <f t="shared" si="29"/>
        <v>EOS0471</v>
      </c>
      <c r="B472" s="35" t="s">
        <v>956</v>
      </c>
      <c r="C472" s="1" t="s">
        <v>267</v>
      </c>
      <c r="D472" s="1" t="str">
        <f t="shared" si="33"/>
        <v>FB</v>
      </c>
      <c r="E472" s="1" t="s">
        <v>959</v>
      </c>
      <c r="F472" s="1" t="s">
        <v>300</v>
      </c>
      <c r="G472" s="1" t="s">
        <v>223</v>
      </c>
      <c r="H472" s="1" t="s">
        <v>149</v>
      </c>
      <c r="I472" s="1">
        <v>130000</v>
      </c>
      <c r="J472" s="45">
        <v>107470</v>
      </c>
      <c r="K472" s="1" t="str">
        <f>TRIM(Cleaned_CRM_Data!H472)</f>
        <v>Rejected</v>
      </c>
      <c r="L472" t="str">
        <f>IFERROR(VLOOKUP(K472, Status_Mapping!A:B, 2,), "Not Found")</f>
        <v>Rejected</v>
      </c>
      <c r="N472" s="29" t="str">
        <f>IF(M472="","",M472-B472)</f>
        <v/>
      </c>
      <c r="O472" s="1" t="str">
        <f t="shared" si="30"/>
        <v>Starter</v>
      </c>
      <c r="P472" t="str">
        <f>TEXT(B472, "mmmm")</f>
        <v>July</v>
      </c>
      <c r="Q472" t="str">
        <f t="shared" si="31"/>
        <v>Q3</v>
      </c>
      <c r="R472" t="str">
        <f>IFERROR(VLOOKUP(TRIM(CLEAN(G472)),Sheet14!$A$2:$B$19,2,FALSE),"Not Mapped")</f>
        <v>West</v>
      </c>
    </row>
    <row r="473" spans="1:18">
      <c r="A473" t="str">
        <f t="shared" si="29"/>
        <v>EOS0472</v>
      </c>
      <c r="B473" s="35" t="s">
        <v>956</v>
      </c>
      <c r="C473" s="1" t="s">
        <v>267</v>
      </c>
      <c r="D473" s="1" t="str">
        <f t="shared" si="33"/>
        <v>FB</v>
      </c>
      <c r="E473" s="1" t="s">
        <v>960</v>
      </c>
      <c r="F473" s="1" t="s">
        <v>275</v>
      </c>
      <c r="G473" s="1" t="s">
        <v>223</v>
      </c>
      <c r="H473" s="1" t="s">
        <v>149</v>
      </c>
      <c r="I473" s="1">
        <v>130000</v>
      </c>
      <c r="J473" s="45">
        <v>107471</v>
      </c>
      <c r="K473" s="1" t="str">
        <f>TRIM(Cleaned_CRM_Data!H473)</f>
        <v>Rejected</v>
      </c>
      <c r="L473" t="str">
        <f>IFERROR(VLOOKUP(K473, Status_Mapping!A:B, 2,), "Not Found")</f>
        <v>Rejected</v>
      </c>
      <c r="N473" s="29" t="str">
        <f>IF(M473="","",M473-B473)</f>
        <v/>
      </c>
      <c r="O473" s="1" t="str">
        <f t="shared" si="30"/>
        <v>Starter</v>
      </c>
      <c r="P473" t="str">
        <f>TEXT(B473, "mmmm")</f>
        <v>July</v>
      </c>
      <c r="Q473" t="str">
        <f t="shared" si="31"/>
        <v>Q3</v>
      </c>
      <c r="R473" t="str">
        <f>IFERROR(VLOOKUP(TRIM(CLEAN(G473)),Sheet14!$A$2:$B$19,2,FALSE),"Not Mapped")</f>
        <v>West</v>
      </c>
    </row>
    <row r="474" spans="1:18">
      <c r="A474" t="str">
        <f t="shared" si="29"/>
        <v>EOS0473</v>
      </c>
      <c r="B474" s="35" t="s">
        <v>956</v>
      </c>
      <c r="C474" s="1" t="s">
        <v>267</v>
      </c>
      <c r="D474" s="1" t="str">
        <f t="shared" si="33"/>
        <v>FB</v>
      </c>
      <c r="E474" s="1" t="s">
        <v>961</v>
      </c>
      <c r="F474" s="1" t="s">
        <v>304</v>
      </c>
      <c r="G474" s="1" t="s">
        <v>223</v>
      </c>
      <c r="H474" s="1" t="s">
        <v>149</v>
      </c>
      <c r="I474" s="1">
        <v>130000</v>
      </c>
      <c r="J474" s="45">
        <v>107472</v>
      </c>
      <c r="K474" s="1" t="str">
        <f>TRIM(Cleaned_CRM_Data!H474)</f>
        <v>Rejected</v>
      </c>
      <c r="L474" t="str">
        <f>IFERROR(VLOOKUP(K474, Status_Mapping!A:B, 2,), "Not Found")</f>
        <v>Rejected</v>
      </c>
      <c r="N474" s="29" t="str">
        <f>IF(M474="","",M474-B474)</f>
        <v/>
      </c>
      <c r="O474" s="1" t="str">
        <f t="shared" si="30"/>
        <v>Starter</v>
      </c>
      <c r="P474" t="str">
        <f>TEXT(B474, "mmmm")</f>
        <v>July</v>
      </c>
      <c r="Q474" t="str">
        <f t="shared" si="31"/>
        <v>Q3</v>
      </c>
      <c r="R474" t="str">
        <f>IFERROR(VLOOKUP(TRIM(CLEAN(G474)),Sheet14!$A$2:$B$19,2,FALSE),"Not Mapped")</f>
        <v>West</v>
      </c>
    </row>
    <row r="475" spans="1:18">
      <c r="A475" t="str">
        <f t="shared" si="29"/>
        <v>EOS0474</v>
      </c>
      <c r="B475" s="35" t="s">
        <v>956</v>
      </c>
      <c r="C475" s="1" t="s">
        <v>267</v>
      </c>
      <c r="D475" s="1" t="str">
        <f t="shared" si="33"/>
        <v>FB</v>
      </c>
      <c r="E475" s="1" t="s">
        <v>886</v>
      </c>
      <c r="F475" s="1" t="s">
        <v>962</v>
      </c>
      <c r="G475" s="1" t="s">
        <v>223</v>
      </c>
      <c r="H475" s="1" t="s">
        <v>149</v>
      </c>
      <c r="I475" s="1">
        <v>177000</v>
      </c>
      <c r="J475" s="45">
        <v>107473</v>
      </c>
      <c r="K475" s="1" t="str">
        <f>TRIM(Cleaned_CRM_Data!H475)</f>
        <v>Rejected</v>
      </c>
      <c r="L475" t="str">
        <f>IFERROR(VLOOKUP(K475, Status_Mapping!A:B, 2,), "Not Found")</f>
        <v>Rejected</v>
      </c>
      <c r="N475" s="29" t="str">
        <f>IF(M475="","",M475-B475)</f>
        <v/>
      </c>
      <c r="O475" s="1" t="str">
        <f t="shared" si="30"/>
        <v>Growth</v>
      </c>
      <c r="P475" t="str">
        <f>TEXT(B475, "mmmm")</f>
        <v>July</v>
      </c>
      <c r="Q475" t="str">
        <f t="shared" si="31"/>
        <v>Q3</v>
      </c>
      <c r="R475" t="str">
        <f>IFERROR(VLOOKUP(TRIM(CLEAN(G475)),Sheet14!$A$2:$B$19,2,FALSE),"Not Mapped")</f>
        <v>West</v>
      </c>
    </row>
    <row r="476" spans="1:18">
      <c r="A476" t="str">
        <f t="shared" si="29"/>
        <v>EOS0475</v>
      </c>
      <c r="B476" s="37" t="s">
        <v>956</v>
      </c>
      <c r="C476" s="3" t="s">
        <v>911</v>
      </c>
      <c r="D476" s="3"/>
      <c r="E476" s="3" t="s">
        <v>963</v>
      </c>
      <c r="F476" s="3" t="s">
        <v>412</v>
      </c>
      <c r="G476" s="3" t="s">
        <v>223</v>
      </c>
      <c r="H476" s="1" t="s">
        <v>149</v>
      </c>
      <c r="I476" s="1">
        <v>130000</v>
      </c>
      <c r="J476" s="45">
        <v>107474</v>
      </c>
      <c r="K476" s="1" t="str">
        <f>TRIM(Cleaned_CRM_Data!H476)</f>
        <v>Rejected</v>
      </c>
      <c r="L476" t="str">
        <f>IFERROR(VLOOKUP(K476, Status_Mapping!A:B, 2,), "Not Found")</f>
        <v>Rejected</v>
      </c>
      <c r="N476" s="29" t="str">
        <f>IF(M476="","",M476-B476)</f>
        <v/>
      </c>
      <c r="O476" s="1" t="str">
        <f t="shared" si="30"/>
        <v>Starter</v>
      </c>
      <c r="P476" t="str">
        <f>TEXT(B476, "mmmm")</f>
        <v>July</v>
      </c>
      <c r="Q476" t="str">
        <f t="shared" si="31"/>
        <v>Q3</v>
      </c>
      <c r="R476" t="str">
        <f>IFERROR(VLOOKUP(TRIM(CLEAN(G476)),Sheet14!$A$2:$B$19,2,FALSE),"Not Mapped")</f>
        <v>West</v>
      </c>
    </row>
    <row r="477" spans="1:18">
      <c r="A477" t="str">
        <f t="shared" si="29"/>
        <v>EOS0476</v>
      </c>
      <c r="B477" s="35" t="s">
        <v>956</v>
      </c>
      <c r="C477" s="1" t="s">
        <v>911</v>
      </c>
      <c r="D477" s="1"/>
      <c r="E477" s="1" t="s">
        <v>964</v>
      </c>
      <c r="F477" s="1" t="s">
        <v>965</v>
      </c>
      <c r="G477" s="1" t="s">
        <v>232</v>
      </c>
      <c r="H477" s="1" t="s">
        <v>149</v>
      </c>
      <c r="I477" s="1">
        <v>130000</v>
      </c>
      <c r="J477" s="45">
        <v>107475</v>
      </c>
      <c r="K477" s="1" t="str">
        <f>TRIM(Cleaned_CRM_Data!H477)</f>
        <v>Rejected</v>
      </c>
      <c r="L477" t="str">
        <f>IFERROR(VLOOKUP(K477, Status_Mapping!A:B, 2,), "Not Found")</f>
        <v>Rejected</v>
      </c>
      <c r="N477" s="29" t="str">
        <f>IF(M477="","",M477-B477)</f>
        <v/>
      </c>
      <c r="O477" s="1" t="str">
        <f t="shared" si="30"/>
        <v>Starter</v>
      </c>
      <c r="P477" t="str">
        <f>TEXT(B477, "mmmm")</f>
        <v>July</v>
      </c>
      <c r="Q477" t="str">
        <f t="shared" si="31"/>
        <v>Q3</v>
      </c>
      <c r="R477" t="str">
        <f>IFERROR(VLOOKUP(TRIM(CLEAN(G477)),Sheet14!$A$2:$B$19,2,FALSE),"Not Mapped")</f>
        <v>East</v>
      </c>
    </row>
    <row r="478" spans="1:18">
      <c r="A478" t="str">
        <f t="shared" si="29"/>
        <v>EOS0477</v>
      </c>
      <c r="B478" s="35" t="s">
        <v>966</v>
      </c>
      <c r="C478" s="1" t="s">
        <v>267</v>
      </c>
      <c r="D478" s="1" t="str">
        <f>TRIM(CLEAN(SUBSTITUTE(C478,CHAR(160),"")))</f>
        <v>FB</v>
      </c>
      <c r="E478" s="1" t="s">
        <v>967</v>
      </c>
      <c r="F478" s="1" t="s">
        <v>275</v>
      </c>
      <c r="G478" s="1" t="s">
        <v>223</v>
      </c>
      <c r="H478" s="1" t="s">
        <v>149</v>
      </c>
      <c r="I478" s="1">
        <v>130000</v>
      </c>
      <c r="J478" s="45">
        <v>107476</v>
      </c>
      <c r="K478" s="1" t="str">
        <f>TRIM(Cleaned_CRM_Data!H478)</f>
        <v>Rejected</v>
      </c>
      <c r="L478" t="str">
        <f>IFERROR(VLOOKUP(K478, Status_Mapping!A:B, 2,), "Not Found")</f>
        <v>Rejected</v>
      </c>
      <c r="N478" s="29" t="str">
        <f>IF(M478="","",M478-B478)</f>
        <v/>
      </c>
      <c r="O478" s="1" t="str">
        <f t="shared" si="30"/>
        <v>Starter</v>
      </c>
      <c r="P478" t="str">
        <f>TEXT(B478, "mmmm")</f>
        <v>July</v>
      </c>
      <c r="Q478" t="str">
        <f t="shared" si="31"/>
        <v>Q3</v>
      </c>
      <c r="R478" t="str">
        <f>IFERROR(VLOOKUP(TRIM(CLEAN(G478)),Sheet14!$A$2:$B$19,2,FALSE),"Not Mapped")</f>
        <v>West</v>
      </c>
    </row>
    <row r="479" spans="1:18">
      <c r="A479" t="str">
        <f t="shared" si="29"/>
        <v>EOS0478</v>
      </c>
      <c r="B479" s="35" t="s">
        <v>966</v>
      </c>
      <c r="C479" s="1" t="s">
        <v>911</v>
      </c>
      <c r="D479" s="1"/>
      <c r="E479" s="1" t="s">
        <v>968</v>
      </c>
      <c r="F479" s="1" t="s">
        <v>969</v>
      </c>
      <c r="G479" s="1" t="s">
        <v>223</v>
      </c>
      <c r="H479" s="1" t="s">
        <v>149</v>
      </c>
      <c r="I479" s="1">
        <v>177000</v>
      </c>
      <c r="J479" s="45">
        <v>107477</v>
      </c>
      <c r="K479" s="1" t="str">
        <f>TRIM(Cleaned_CRM_Data!H479)</f>
        <v>Rejected</v>
      </c>
      <c r="L479" t="str">
        <f>IFERROR(VLOOKUP(K479, Status_Mapping!A:B, 2,), "Not Found")</f>
        <v>Rejected</v>
      </c>
      <c r="N479" s="29" t="str">
        <f>IF(M479="","",M479-B479)</f>
        <v/>
      </c>
      <c r="O479" s="1" t="str">
        <f t="shared" si="30"/>
        <v>Growth</v>
      </c>
      <c r="P479" t="str">
        <f>TEXT(B479, "mmmm")</f>
        <v>July</v>
      </c>
      <c r="Q479" t="str">
        <f t="shared" si="31"/>
        <v>Q3</v>
      </c>
      <c r="R479" t="str">
        <f>IFERROR(VLOOKUP(TRIM(CLEAN(G479)),Sheet14!$A$2:$B$19,2,FALSE),"Not Mapped")</f>
        <v>West</v>
      </c>
    </row>
    <row r="480" spans="1:18">
      <c r="A480" t="str">
        <f t="shared" si="29"/>
        <v>EOS0479</v>
      </c>
      <c r="B480" s="35" t="s">
        <v>966</v>
      </c>
      <c r="C480" s="1" t="s">
        <v>911</v>
      </c>
      <c r="D480" s="1"/>
      <c r="E480" s="1" t="s">
        <v>970</v>
      </c>
      <c r="F480" s="1"/>
      <c r="G480" s="1" t="s">
        <v>223</v>
      </c>
      <c r="H480" s="1" t="s">
        <v>149</v>
      </c>
      <c r="I480" s="1">
        <v>108000</v>
      </c>
      <c r="J480" s="45">
        <v>107478</v>
      </c>
      <c r="K480" s="1" t="str">
        <f>TRIM(Cleaned_CRM_Data!H480)</f>
        <v>Rejected</v>
      </c>
      <c r="L480" t="str">
        <f>IFERROR(VLOOKUP(K480, Status_Mapping!A:B, 2,), "Not Found")</f>
        <v>Rejected</v>
      </c>
      <c r="N480" s="29" t="str">
        <f>IF(M480="","",M480-B480)</f>
        <v/>
      </c>
      <c r="O480" s="1" t="str">
        <f t="shared" si="30"/>
        <v>Starter</v>
      </c>
      <c r="P480" t="str">
        <f>TEXT(B480, "mmmm")</f>
        <v>July</v>
      </c>
      <c r="Q480" t="str">
        <f t="shared" si="31"/>
        <v>Q3</v>
      </c>
      <c r="R480" t="str">
        <f>IFERROR(VLOOKUP(TRIM(CLEAN(G480)),Sheet14!$A$2:$B$19,2,FALSE),"Not Mapped")</f>
        <v>West</v>
      </c>
    </row>
    <row r="481" spans="1:18">
      <c r="A481" t="str">
        <f t="shared" si="29"/>
        <v>EOS0480</v>
      </c>
      <c r="B481" s="35">
        <v>45870</v>
      </c>
      <c r="C481" s="1" t="s">
        <v>911</v>
      </c>
      <c r="D481" s="1"/>
      <c r="E481" s="1" t="s">
        <v>971</v>
      </c>
      <c r="F481" s="1" t="s">
        <v>972</v>
      </c>
      <c r="G481" s="1" t="s">
        <v>217</v>
      </c>
      <c r="H481" s="1" t="s">
        <v>149</v>
      </c>
      <c r="I481" s="1">
        <v>177000</v>
      </c>
      <c r="J481" s="45">
        <v>107479</v>
      </c>
      <c r="K481" s="1" t="str">
        <f>TRIM(Cleaned_CRM_Data!H481)</f>
        <v>Rejected</v>
      </c>
      <c r="L481" t="str">
        <f>IFERROR(VLOOKUP(K481, Status_Mapping!A:B, 2,), "Not Found")</f>
        <v>Rejected</v>
      </c>
      <c r="N481" s="29" t="str">
        <f>IF(M481="","",M481-B481)</f>
        <v/>
      </c>
      <c r="O481" s="1" t="str">
        <f t="shared" si="30"/>
        <v>Growth</v>
      </c>
      <c r="P481" t="str">
        <f>TEXT(B481, "mmmm")</f>
        <v>August</v>
      </c>
      <c r="Q481" t="str">
        <f t="shared" si="31"/>
        <v>Q3</v>
      </c>
      <c r="R481" t="str">
        <f>IFERROR(VLOOKUP(TRIM(CLEAN(G481)),Sheet14!$A$2:$B$19,2,FALSE),"Not Mapped")</f>
        <v>Central</v>
      </c>
    </row>
    <row r="482" spans="1:18">
      <c r="A482" t="str">
        <f t="shared" si="29"/>
        <v>EOS0481</v>
      </c>
      <c r="B482" s="35">
        <v>45873</v>
      </c>
      <c r="C482" s="1" t="s">
        <v>911</v>
      </c>
      <c r="D482" s="1"/>
      <c r="E482" s="1" t="s">
        <v>973</v>
      </c>
      <c r="F482" s="1"/>
      <c r="G482" s="1" t="s">
        <v>223</v>
      </c>
      <c r="H482" s="1" t="s">
        <v>149</v>
      </c>
      <c r="I482" s="1">
        <v>130000</v>
      </c>
      <c r="J482" s="45">
        <v>107480</v>
      </c>
      <c r="K482" s="1" t="str">
        <f>TRIM(Cleaned_CRM_Data!H482)</f>
        <v>Rejected</v>
      </c>
      <c r="L482" t="str">
        <f>IFERROR(VLOOKUP(K482, Status_Mapping!A:B, 2,), "Not Found")</f>
        <v>Rejected</v>
      </c>
      <c r="N482" s="29" t="str">
        <f>IF(M482="","",M482-B482)</f>
        <v/>
      </c>
      <c r="O482" s="1" t="str">
        <f t="shared" si="30"/>
        <v>Starter</v>
      </c>
      <c r="P482" t="str">
        <f>TEXT(B482, "mmmm")</f>
        <v>August</v>
      </c>
      <c r="Q482" t="str">
        <f t="shared" si="31"/>
        <v>Q3</v>
      </c>
      <c r="R482" t="str">
        <f>IFERROR(VLOOKUP(TRIM(CLEAN(G482)),Sheet14!$A$2:$B$19,2,FALSE),"Not Mapped")</f>
        <v>West</v>
      </c>
    </row>
    <row r="483" spans="1:18">
      <c r="A483" t="str">
        <f t="shared" si="29"/>
        <v>EOS0482</v>
      </c>
      <c r="B483" s="35">
        <v>45873</v>
      </c>
      <c r="C483" s="1" t="s">
        <v>911</v>
      </c>
      <c r="D483" s="1"/>
      <c r="E483" s="1" t="s">
        <v>974</v>
      </c>
      <c r="F483" s="1"/>
      <c r="G483" s="1" t="s">
        <v>235</v>
      </c>
      <c r="H483" s="1" t="s">
        <v>149</v>
      </c>
      <c r="I483" s="1">
        <v>108000</v>
      </c>
      <c r="J483" s="45">
        <v>107481</v>
      </c>
      <c r="K483" s="1" t="str">
        <f>TRIM(Cleaned_CRM_Data!H483)</f>
        <v>Rejected</v>
      </c>
      <c r="L483" t="str">
        <f>IFERROR(VLOOKUP(K483, Status_Mapping!A:B, 2,), "Not Found")</f>
        <v>Rejected</v>
      </c>
      <c r="N483" s="29" t="str">
        <f>IF(M483="","",M483-B483)</f>
        <v/>
      </c>
      <c r="O483" s="1" t="str">
        <f t="shared" si="30"/>
        <v>Starter</v>
      </c>
      <c r="P483" t="str">
        <f>TEXT(B483, "mmmm")</f>
        <v>August</v>
      </c>
      <c r="Q483" t="str">
        <f t="shared" si="31"/>
        <v>Q3</v>
      </c>
      <c r="R483" t="str">
        <f>IFERROR(VLOOKUP(TRIM(CLEAN(G483)),Sheet14!$A$2:$B$19,2,FALSE),"Not Mapped")</f>
        <v>West</v>
      </c>
    </row>
    <row r="484" spans="1:18">
      <c r="A484" t="str">
        <f t="shared" si="29"/>
        <v>EOS0483</v>
      </c>
      <c r="B484" s="35">
        <v>45874</v>
      </c>
      <c r="C484" s="1" t="s">
        <v>911</v>
      </c>
      <c r="D484" s="1"/>
      <c r="E484" s="1" t="s">
        <v>975</v>
      </c>
      <c r="F484" s="1" t="s">
        <v>976</v>
      </c>
      <c r="G484" s="1" t="s">
        <v>229</v>
      </c>
      <c r="H484" s="1" t="s">
        <v>149</v>
      </c>
      <c r="I484" s="1">
        <v>108000</v>
      </c>
      <c r="J484" s="45">
        <v>107482</v>
      </c>
      <c r="K484" s="1" t="str">
        <f>TRIM(Cleaned_CRM_Data!H484)</f>
        <v>Rejected</v>
      </c>
      <c r="L484" t="str">
        <f>IFERROR(VLOOKUP(K484, Status_Mapping!A:B, 2,), "Not Found")</f>
        <v>Rejected</v>
      </c>
      <c r="N484" s="29" t="str">
        <f>IF(M484="","",M484-B484)</f>
        <v/>
      </c>
      <c r="O484" s="1" t="str">
        <f t="shared" si="30"/>
        <v>Starter</v>
      </c>
      <c r="P484" t="str">
        <f>TEXT(B484, "mmmm")</f>
        <v>August</v>
      </c>
      <c r="Q484" t="str">
        <f t="shared" si="31"/>
        <v>Q3</v>
      </c>
      <c r="R484" t="str">
        <f>IFERROR(VLOOKUP(TRIM(CLEAN(G484)),Sheet14!$A$2:$B$19,2,FALSE),"Not Mapped")</f>
        <v>West</v>
      </c>
    </row>
    <row r="485" spans="1:18">
      <c r="A485" t="str">
        <f t="shared" si="29"/>
        <v>EOS0484</v>
      </c>
      <c r="B485" s="35">
        <v>45875</v>
      </c>
      <c r="C485" s="1" t="s">
        <v>267</v>
      </c>
      <c r="D485" s="1" t="str">
        <f t="shared" ref="D485:D490" si="34">TRIM(CLEAN(SUBSTITUTE(C485,CHAR(160),"")))</f>
        <v>FB</v>
      </c>
      <c r="E485" s="1" t="s">
        <v>977</v>
      </c>
      <c r="F485" s="1"/>
      <c r="G485" s="1" t="s">
        <v>223</v>
      </c>
      <c r="H485" s="1" t="s">
        <v>149</v>
      </c>
      <c r="I485" s="1">
        <v>108000</v>
      </c>
      <c r="J485" s="45">
        <v>107483</v>
      </c>
      <c r="K485" s="1" t="str">
        <f>TRIM(Cleaned_CRM_Data!H485)</f>
        <v>Rejected</v>
      </c>
      <c r="L485" t="str">
        <f>IFERROR(VLOOKUP(K485, Status_Mapping!A:B, 2,), "Not Found")</f>
        <v>Rejected</v>
      </c>
      <c r="N485" s="29" t="str">
        <f>IF(M485="","",M485-B485)</f>
        <v/>
      </c>
      <c r="O485" s="1" t="str">
        <f t="shared" si="30"/>
        <v>Starter</v>
      </c>
      <c r="P485" t="str">
        <f>TEXT(B485, "mmmm")</f>
        <v>August</v>
      </c>
      <c r="Q485" t="str">
        <f t="shared" si="31"/>
        <v>Q3</v>
      </c>
      <c r="R485" t="str">
        <f>IFERROR(VLOOKUP(TRIM(CLEAN(G485)),Sheet14!$A$2:$B$19,2,FALSE),"Not Mapped")</f>
        <v>West</v>
      </c>
    </row>
    <row r="486" spans="1:18">
      <c r="A486" t="str">
        <f t="shared" si="29"/>
        <v>EOS0485</v>
      </c>
      <c r="B486" s="35">
        <v>45875</v>
      </c>
      <c r="C486" s="1" t="s">
        <v>267</v>
      </c>
      <c r="D486" s="1" t="str">
        <f t="shared" si="34"/>
        <v>FB</v>
      </c>
      <c r="E486" s="1" t="s">
        <v>978</v>
      </c>
      <c r="F486" s="1" t="s">
        <v>979</v>
      </c>
      <c r="G486" s="1" t="s">
        <v>223</v>
      </c>
      <c r="H486" s="1" t="s">
        <v>149</v>
      </c>
      <c r="I486" s="1">
        <v>130000</v>
      </c>
      <c r="J486" s="45">
        <v>107484</v>
      </c>
      <c r="K486" s="1" t="str">
        <f>TRIM(Cleaned_CRM_Data!H486)</f>
        <v>Rejected</v>
      </c>
      <c r="L486" t="str">
        <f>IFERROR(VLOOKUP(K486, Status_Mapping!A:B, 2,), "Not Found")</f>
        <v>Rejected</v>
      </c>
      <c r="N486" s="29" t="str">
        <f>IF(M486="","",M486-B486)</f>
        <v/>
      </c>
      <c r="O486" s="1" t="str">
        <f t="shared" si="30"/>
        <v>Starter</v>
      </c>
      <c r="P486" t="str">
        <f>TEXT(B486, "mmmm")</f>
        <v>August</v>
      </c>
      <c r="Q486" t="str">
        <f t="shared" si="31"/>
        <v>Q3</v>
      </c>
      <c r="R486" t="str">
        <f>IFERROR(VLOOKUP(TRIM(CLEAN(G486)),Sheet14!$A$2:$B$19,2,FALSE),"Not Mapped")</f>
        <v>West</v>
      </c>
    </row>
    <row r="487" spans="1:18">
      <c r="A487" t="str">
        <f t="shared" si="29"/>
        <v>EOS0486</v>
      </c>
      <c r="B487" s="35">
        <v>45875</v>
      </c>
      <c r="C487" s="1" t="s">
        <v>267</v>
      </c>
      <c r="D487" s="1" t="str">
        <f t="shared" si="34"/>
        <v>FB</v>
      </c>
      <c r="E487" s="1" t="s">
        <v>980</v>
      </c>
      <c r="F487" s="1" t="s">
        <v>981</v>
      </c>
      <c r="G487" s="1" t="s">
        <v>223</v>
      </c>
      <c r="H487" s="1" t="s">
        <v>149</v>
      </c>
      <c r="I487" s="1">
        <v>130000</v>
      </c>
      <c r="J487" s="45">
        <v>107485</v>
      </c>
      <c r="K487" s="1" t="str">
        <f>TRIM(Cleaned_CRM_Data!H487)</f>
        <v>Rejected</v>
      </c>
      <c r="L487" t="str">
        <f>IFERROR(VLOOKUP(K487, Status_Mapping!A:B, 2,), "Not Found")</f>
        <v>Rejected</v>
      </c>
      <c r="N487" s="29" t="str">
        <f>IF(M487="","",M487-B487)</f>
        <v/>
      </c>
      <c r="O487" s="1" t="str">
        <f t="shared" si="30"/>
        <v>Starter</v>
      </c>
      <c r="P487" t="str">
        <f>TEXT(B487, "mmmm")</f>
        <v>August</v>
      </c>
      <c r="Q487" t="str">
        <f t="shared" si="31"/>
        <v>Q3</v>
      </c>
      <c r="R487" t="str">
        <f>IFERROR(VLOOKUP(TRIM(CLEAN(G487)),Sheet14!$A$2:$B$19,2,FALSE),"Not Mapped")</f>
        <v>West</v>
      </c>
    </row>
    <row r="488" spans="1:18">
      <c r="A488" t="str">
        <f t="shared" si="29"/>
        <v>EOS0487</v>
      </c>
      <c r="B488" s="35">
        <v>45875</v>
      </c>
      <c r="C488" s="1" t="s">
        <v>267</v>
      </c>
      <c r="D488" s="1" t="str">
        <f t="shared" si="34"/>
        <v>FB</v>
      </c>
      <c r="E488" s="1" t="s">
        <v>982</v>
      </c>
      <c r="F488" s="1" t="s">
        <v>983</v>
      </c>
      <c r="G488" s="1" t="s">
        <v>223</v>
      </c>
      <c r="H488" s="1" t="s">
        <v>149</v>
      </c>
      <c r="I488" s="1">
        <v>177000</v>
      </c>
      <c r="J488" s="45">
        <v>107486</v>
      </c>
      <c r="K488" s="1" t="str">
        <f>TRIM(Cleaned_CRM_Data!H488)</f>
        <v>Rejected</v>
      </c>
      <c r="L488" t="str">
        <f>IFERROR(VLOOKUP(K488, Status_Mapping!A:B, 2,), "Not Found")</f>
        <v>Rejected</v>
      </c>
      <c r="N488" s="29" t="str">
        <f>IF(M488="","",M488-B488)</f>
        <v/>
      </c>
      <c r="O488" s="1" t="str">
        <f t="shared" si="30"/>
        <v>Growth</v>
      </c>
      <c r="P488" t="str">
        <f>TEXT(B488, "mmmm")</f>
        <v>August</v>
      </c>
      <c r="Q488" t="str">
        <f t="shared" si="31"/>
        <v>Q3</v>
      </c>
      <c r="R488" t="str">
        <f>IFERROR(VLOOKUP(TRIM(CLEAN(G488)),Sheet14!$A$2:$B$19,2,FALSE),"Not Mapped")</f>
        <v>West</v>
      </c>
    </row>
    <row r="489" spans="1:18">
      <c r="A489" t="str">
        <f t="shared" si="29"/>
        <v>EOS0488</v>
      </c>
      <c r="B489" s="35">
        <v>45875</v>
      </c>
      <c r="C489" s="1" t="s">
        <v>267</v>
      </c>
      <c r="D489" s="1" t="str">
        <f t="shared" si="34"/>
        <v>FB</v>
      </c>
      <c r="E489" s="1" t="s">
        <v>984</v>
      </c>
      <c r="F489" s="1" t="s">
        <v>985</v>
      </c>
      <c r="G489" s="1" t="s">
        <v>223</v>
      </c>
      <c r="H489" s="1" t="s">
        <v>149</v>
      </c>
      <c r="I489" s="1">
        <v>108000</v>
      </c>
      <c r="J489" s="45">
        <v>107487</v>
      </c>
      <c r="K489" s="1" t="str">
        <f>TRIM(Cleaned_CRM_Data!H489)</f>
        <v>Rejected</v>
      </c>
      <c r="L489" t="str">
        <f>IFERROR(VLOOKUP(K489, Status_Mapping!A:B, 2,), "Not Found")</f>
        <v>Rejected</v>
      </c>
      <c r="N489" s="29" t="str">
        <f>IF(M489="","",M489-B489)</f>
        <v/>
      </c>
      <c r="O489" s="1" t="str">
        <f t="shared" si="30"/>
        <v>Starter</v>
      </c>
      <c r="P489" t="str">
        <f>TEXT(B489, "mmmm")</f>
        <v>August</v>
      </c>
      <c r="Q489" t="str">
        <f t="shared" si="31"/>
        <v>Q3</v>
      </c>
      <c r="R489" t="str">
        <f>IFERROR(VLOOKUP(TRIM(CLEAN(G489)),Sheet14!$A$2:$B$19,2,FALSE),"Not Mapped")</f>
        <v>West</v>
      </c>
    </row>
    <row r="490" spans="1:18">
      <c r="A490" t="str">
        <f t="shared" si="29"/>
        <v>EOS0489</v>
      </c>
      <c r="B490" s="35">
        <v>45875</v>
      </c>
      <c r="C490" s="1" t="s">
        <v>267</v>
      </c>
      <c r="D490" s="1" t="str">
        <f t="shared" si="34"/>
        <v>FB</v>
      </c>
      <c r="E490" s="1" t="s">
        <v>986</v>
      </c>
      <c r="F490" s="1" t="s">
        <v>304</v>
      </c>
      <c r="G490" s="1" t="s">
        <v>223</v>
      </c>
      <c r="H490" s="1" t="s">
        <v>149</v>
      </c>
      <c r="I490" s="1">
        <v>108000</v>
      </c>
      <c r="J490" s="45">
        <v>107488</v>
      </c>
      <c r="K490" s="1" t="str">
        <f>TRIM(Cleaned_CRM_Data!H490)</f>
        <v>Rejected</v>
      </c>
      <c r="L490" t="str">
        <f>IFERROR(VLOOKUP(K490, Status_Mapping!A:B, 2,), "Not Found")</f>
        <v>Rejected</v>
      </c>
      <c r="N490" s="29" t="str">
        <f>IF(M490="","",M490-B490)</f>
        <v/>
      </c>
      <c r="O490" s="1" t="str">
        <f t="shared" si="30"/>
        <v>Starter</v>
      </c>
      <c r="P490" t="str">
        <f>TEXT(B490, "mmmm")</f>
        <v>August</v>
      </c>
      <c r="Q490" t="str">
        <f t="shared" si="31"/>
        <v>Q3</v>
      </c>
      <c r="R490" t="str">
        <f>IFERROR(VLOOKUP(TRIM(CLEAN(G490)),Sheet14!$A$2:$B$19,2,FALSE),"Not Mapped")</f>
        <v>West</v>
      </c>
    </row>
    <row r="491" spans="1:18">
      <c r="A491" t="str">
        <f t="shared" si="29"/>
        <v>EOS0490</v>
      </c>
      <c r="B491" s="35">
        <v>45875</v>
      </c>
      <c r="C491" s="1" t="s">
        <v>911</v>
      </c>
      <c r="D491" s="1"/>
      <c r="E491" s="1" t="s">
        <v>987</v>
      </c>
      <c r="F491" s="1"/>
      <c r="G491" s="1" t="s">
        <v>223</v>
      </c>
      <c r="H491" s="1" t="s">
        <v>149</v>
      </c>
      <c r="I491" s="1">
        <v>130000</v>
      </c>
      <c r="J491" s="45">
        <v>107489</v>
      </c>
      <c r="K491" s="1" t="str">
        <f>TRIM(Cleaned_CRM_Data!H491)</f>
        <v>Rejected</v>
      </c>
      <c r="L491" t="str">
        <f>IFERROR(VLOOKUP(K491, Status_Mapping!A:B, 2,), "Not Found")</f>
        <v>Rejected</v>
      </c>
      <c r="N491" s="29" t="str">
        <f>IF(M491="","",M491-B491)</f>
        <v/>
      </c>
      <c r="O491" s="1" t="str">
        <f t="shared" si="30"/>
        <v>Starter</v>
      </c>
      <c r="P491" t="str">
        <f>TEXT(B491, "mmmm")</f>
        <v>August</v>
      </c>
      <c r="Q491" t="str">
        <f t="shared" si="31"/>
        <v>Q3</v>
      </c>
      <c r="R491" t="str">
        <f>IFERROR(VLOOKUP(TRIM(CLEAN(G491)),Sheet14!$A$2:$B$19,2,FALSE),"Not Mapped")</f>
        <v>West</v>
      </c>
    </row>
    <row r="492" spans="1:18">
      <c r="A492" t="str">
        <f t="shared" si="29"/>
        <v>EOS0491</v>
      </c>
      <c r="B492" s="35">
        <v>45875</v>
      </c>
      <c r="C492" s="1" t="s">
        <v>911</v>
      </c>
      <c r="D492" s="1"/>
      <c r="E492" s="1" t="s">
        <v>988</v>
      </c>
      <c r="F492" s="1"/>
      <c r="G492" s="1" t="s">
        <v>223</v>
      </c>
      <c r="H492" s="1" t="s">
        <v>149</v>
      </c>
      <c r="I492" s="1">
        <v>108000</v>
      </c>
      <c r="J492" s="45">
        <v>107490</v>
      </c>
      <c r="K492" s="1" t="str">
        <f>TRIM(Cleaned_CRM_Data!H492)</f>
        <v>Rejected</v>
      </c>
      <c r="L492" t="str">
        <f>IFERROR(VLOOKUP(K492, Status_Mapping!A:B, 2,), "Not Found")</f>
        <v>Rejected</v>
      </c>
      <c r="N492" s="29" t="str">
        <f>IF(M492="","",M492-B492)</f>
        <v/>
      </c>
      <c r="O492" s="1" t="str">
        <f t="shared" si="30"/>
        <v>Starter</v>
      </c>
      <c r="P492" t="str">
        <f>TEXT(B492, "mmmm")</f>
        <v>August</v>
      </c>
      <c r="Q492" t="str">
        <f t="shared" si="31"/>
        <v>Q3</v>
      </c>
      <c r="R492" t="str">
        <f>IFERROR(VLOOKUP(TRIM(CLEAN(G492)),Sheet14!$A$2:$B$19,2,FALSE),"Not Mapped")</f>
        <v>West</v>
      </c>
    </row>
    <row r="493" spans="1:18">
      <c r="A493" t="str">
        <f t="shared" si="29"/>
        <v>EOS0492</v>
      </c>
      <c r="B493" s="35">
        <v>45875</v>
      </c>
      <c r="C493" s="1" t="s">
        <v>911</v>
      </c>
      <c r="D493" s="1"/>
      <c r="E493" s="1" t="s">
        <v>989</v>
      </c>
      <c r="F493" s="1" t="s">
        <v>601</v>
      </c>
      <c r="G493" s="1" t="s">
        <v>223</v>
      </c>
      <c r="H493" s="1" t="s">
        <v>212</v>
      </c>
      <c r="I493" s="1">
        <v>177000</v>
      </c>
      <c r="J493" s="45">
        <v>107491</v>
      </c>
      <c r="K493" s="1" t="str">
        <f>TRIM(Cleaned_CRM_Data!H493)</f>
        <v>Deal</v>
      </c>
      <c r="L493" t="str">
        <f>IFERROR(VLOOKUP(K493, Status_Mapping!A:B, 2,), "Not Found")</f>
        <v>Converted</v>
      </c>
      <c r="M493" s="32">
        <v>45881</v>
      </c>
      <c r="N493" s="29">
        <f>IF(M493="","",M493-B493)</f>
        <v>6</v>
      </c>
      <c r="O493" s="1" t="str">
        <f t="shared" si="30"/>
        <v>Growth</v>
      </c>
      <c r="P493" t="str">
        <f>TEXT(B493, "mmmm")</f>
        <v>August</v>
      </c>
      <c r="Q493" t="str">
        <f t="shared" si="31"/>
        <v>Q3</v>
      </c>
      <c r="R493" t="str">
        <f>IFERROR(VLOOKUP(TRIM(CLEAN(G493)),Sheet14!$A$2:$B$19,2,FALSE),"Not Mapped")</f>
        <v>West</v>
      </c>
    </row>
    <row r="494" spans="1:18">
      <c r="A494" t="str">
        <f t="shared" si="29"/>
        <v>EOS0493</v>
      </c>
      <c r="B494" s="35">
        <v>45875</v>
      </c>
      <c r="C494" s="1" t="s">
        <v>911</v>
      </c>
      <c r="D494" s="1"/>
      <c r="E494" s="1" t="s">
        <v>990</v>
      </c>
      <c r="F494" s="1"/>
      <c r="G494" s="1" t="s">
        <v>223</v>
      </c>
      <c r="H494" s="1" t="s">
        <v>149</v>
      </c>
      <c r="I494" s="1">
        <v>177000</v>
      </c>
      <c r="J494" s="45">
        <v>107492</v>
      </c>
      <c r="K494" s="1" t="str">
        <f>TRIM(Cleaned_CRM_Data!H494)</f>
        <v>Rejected</v>
      </c>
      <c r="L494" t="str">
        <f>IFERROR(VLOOKUP(K494, Status_Mapping!A:B, 2,), "Not Found")</f>
        <v>Rejected</v>
      </c>
      <c r="N494" s="29" t="str">
        <f>IF(M494="","",M494-B494)</f>
        <v/>
      </c>
      <c r="O494" s="1" t="str">
        <f t="shared" si="30"/>
        <v>Growth</v>
      </c>
      <c r="P494" t="str">
        <f>TEXT(B494, "mmmm")</f>
        <v>August</v>
      </c>
      <c r="Q494" t="str">
        <f t="shared" si="31"/>
        <v>Q3</v>
      </c>
      <c r="R494" t="str">
        <f>IFERROR(VLOOKUP(TRIM(CLEAN(G494)),Sheet14!$A$2:$B$19,2,FALSE),"Not Mapped")</f>
        <v>West</v>
      </c>
    </row>
    <row r="495" spans="1:18">
      <c r="A495" t="str">
        <f t="shared" si="29"/>
        <v>EOS0494</v>
      </c>
      <c r="B495" s="35">
        <v>45876</v>
      </c>
      <c r="C495" s="1" t="s">
        <v>267</v>
      </c>
      <c r="D495" s="1" t="str">
        <f t="shared" ref="D495:D514" si="35">TRIM(CLEAN(SUBSTITUTE(C495,CHAR(160),"")))</f>
        <v>FB</v>
      </c>
      <c r="E495" s="1" t="s">
        <v>991</v>
      </c>
      <c r="F495" s="1" t="s">
        <v>478</v>
      </c>
      <c r="G495" s="1" t="s">
        <v>223</v>
      </c>
      <c r="H495" s="1" t="s">
        <v>149</v>
      </c>
      <c r="I495" s="1">
        <v>108000</v>
      </c>
      <c r="J495" s="45">
        <v>107493</v>
      </c>
      <c r="K495" s="1" t="str">
        <f>TRIM(Cleaned_CRM_Data!H495)</f>
        <v>Rejected</v>
      </c>
      <c r="L495" t="str">
        <f>IFERROR(VLOOKUP(K495, Status_Mapping!A:B, 2,), "Not Found")</f>
        <v>Rejected</v>
      </c>
      <c r="N495" s="29" t="str">
        <f>IF(M495="","",M495-B495)</f>
        <v/>
      </c>
      <c r="O495" s="1" t="str">
        <f t="shared" si="30"/>
        <v>Starter</v>
      </c>
      <c r="P495" t="str">
        <f>TEXT(B495, "mmmm")</f>
        <v>August</v>
      </c>
      <c r="Q495" t="str">
        <f t="shared" si="31"/>
        <v>Q3</v>
      </c>
      <c r="R495" t="str">
        <f>IFERROR(VLOOKUP(TRIM(CLEAN(G495)),Sheet14!$A$2:$B$19,2,FALSE),"Not Mapped")</f>
        <v>West</v>
      </c>
    </row>
    <row r="496" spans="1:18">
      <c r="A496" t="str">
        <f t="shared" si="29"/>
        <v>EOS0495</v>
      </c>
      <c r="B496" s="35">
        <v>45876</v>
      </c>
      <c r="C496" s="1" t="s">
        <v>267</v>
      </c>
      <c r="D496" s="1" t="str">
        <f t="shared" si="35"/>
        <v>FB</v>
      </c>
      <c r="E496" s="1" t="s">
        <v>992</v>
      </c>
      <c r="F496" s="1" t="s">
        <v>358</v>
      </c>
      <c r="G496" s="1" t="s">
        <v>223</v>
      </c>
      <c r="H496" s="1" t="s">
        <v>149</v>
      </c>
      <c r="I496" s="1">
        <v>108000</v>
      </c>
      <c r="J496" s="45">
        <v>107494</v>
      </c>
      <c r="K496" s="1" t="str">
        <f>TRIM(Cleaned_CRM_Data!H496)</f>
        <v>Rejected</v>
      </c>
      <c r="L496" t="str">
        <f>IFERROR(VLOOKUP(K496, Status_Mapping!A:B, 2,), "Not Found")</f>
        <v>Rejected</v>
      </c>
      <c r="N496" s="29" t="str">
        <f>IF(M496="","",M496-B496)</f>
        <v/>
      </c>
      <c r="O496" s="1" t="str">
        <f t="shared" si="30"/>
        <v>Starter</v>
      </c>
      <c r="P496" t="str">
        <f>TEXT(B496, "mmmm")</f>
        <v>August</v>
      </c>
      <c r="Q496" t="str">
        <f t="shared" si="31"/>
        <v>Q3</v>
      </c>
      <c r="R496" t="str">
        <f>IFERROR(VLOOKUP(TRIM(CLEAN(G496)),Sheet14!$A$2:$B$19,2,FALSE),"Not Mapped")</f>
        <v>West</v>
      </c>
    </row>
    <row r="497" spans="1:18">
      <c r="A497" t="str">
        <f t="shared" si="29"/>
        <v>EOS0496</v>
      </c>
      <c r="B497" s="35">
        <v>45876</v>
      </c>
      <c r="C497" s="1" t="s">
        <v>267</v>
      </c>
      <c r="D497" s="1" t="str">
        <f t="shared" si="35"/>
        <v>FB</v>
      </c>
      <c r="E497" s="1" t="s">
        <v>993</v>
      </c>
      <c r="F497" s="1" t="s">
        <v>296</v>
      </c>
      <c r="G497" s="1" t="s">
        <v>223</v>
      </c>
      <c r="H497" s="1" t="s">
        <v>149</v>
      </c>
      <c r="I497" s="1">
        <v>108000</v>
      </c>
      <c r="J497" s="45">
        <v>107495</v>
      </c>
      <c r="K497" s="1" t="str">
        <f>TRIM(Cleaned_CRM_Data!H497)</f>
        <v>Rejected</v>
      </c>
      <c r="L497" t="str">
        <f>IFERROR(VLOOKUP(K497, Status_Mapping!A:B, 2,), "Not Found")</f>
        <v>Rejected</v>
      </c>
      <c r="N497" s="29" t="str">
        <f>IF(M497="","",M497-B497)</f>
        <v/>
      </c>
      <c r="O497" s="1" t="str">
        <f t="shared" si="30"/>
        <v>Starter</v>
      </c>
      <c r="P497" t="str">
        <f>TEXT(B497, "mmmm")</f>
        <v>August</v>
      </c>
      <c r="Q497" t="str">
        <f t="shared" si="31"/>
        <v>Q3</v>
      </c>
      <c r="R497" t="str">
        <f>IFERROR(VLOOKUP(TRIM(CLEAN(G497)),Sheet14!$A$2:$B$19,2,FALSE),"Not Mapped")</f>
        <v>West</v>
      </c>
    </row>
    <row r="498" spans="1:18">
      <c r="A498" t="str">
        <f t="shared" si="29"/>
        <v>EOS0497</v>
      </c>
      <c r="B498" s="35">
        <v>45876</v>
      </c>
      <c r="C498" s="1" t="s">
        <v>267</v>
      </c>
      <c r="D498" s="1" t="str">
        <f t="shared" si="35"/>
        <v>FB</v>
      </c>
      <c r="E498" s="1" t="s">
        <v>994</v>
      </c>
      <c r="F498" s="1"/>
      <c r="G498" s="1" t="s">
        <v>223</v>
      </c>
      <c r="H498" s="1" t="s">
        <v>149</v>
      </c>
      <c r="I498" s="1">
        <v>130000</v>
      </c>
      <c r="J498" s="45">
        <v>107496</v>
      </c>
      <c r="K498" s="1" t="str">
        <f>TRIM(Cleaned_CRM_Data!H498)</f>
        <v>Rejected</v>
      </c>
      <c r="L498" t="str">
        <f>IFERROR(VLOOKUP(K498, Status_Mapping!A:B, 2,), "Not Found")</f>
        <v>Rejected</v>
      </c>
      <c r="N498" s="29" t="str">
        <f>IF(M498="","",M498-B498)</f>
        <v/>
      </c>
      <c r="O498" s="1" t="str">
        <f t="shared" si="30"/>
        <v>Starter</v>
      </c>
      <c r="P498" t="str">
        <f>TEXT(B498, "mmmm")</f>
        <v>August</v>
      </c>
      <c r="Q498" t="str">
        <f t="shared" si="31"/>
        <v>Q3</v>
      </c>
      <c r="R498" t="str">
        <f>IFERROR(VLOOKUP(TRIM(CLEAN(G498)),Sheet14!$A$2:$B$19,2,FALSE),"Not Mapped")</f>
        <v>West</v>
      </c>
    </row>
    <row r="499" spans="1:18">
      <c r="A499" t="str">
        <f t="shared" si="29"/>
        <v>EOS0498</v>
      </c>
      <c r="B499" s="35">
        <v>45876</v>
      </c>
      <c r="C499" s="1" t="s">
        <v>267</v>
      </c>
      <c r="D499" s="1" t="str">
        <f t="shared" si="35"/>
        <v>FB</v>
      </c>
      <c r="E499" s="1" t="s">
        <v>303</v>
      </c>
      <c r="F499" s="1" t="s">
        <v>860</v>
      </c>
      <c r="G499" s="1" t="s">
        <v>223</v>
      </c>
      <c r="H499" s="1" t="s">
        <v>149</v>
      </c>
      <c r="I499" s="1">
        <v>130000</v>
      </c>
      <c r="J499" s="45">
        <v>107497</v>
      </c>
      <c r="K499" s="1" t="str">
        <f>TRIM(Cleaned_CRM_Data!H499)</f>
        <v>Rejected</v>
      </c>
      <c r="L499" t="str">
        <f>IFERROR(VLOOKUP(K499, Status_Mapping!A:B, 2,), "Not Found")</f>
        <v>Rejected</v>
      </c>
      <c r="N499" s="29" t="str">
        <f>IF(M499="","",M499-B499)</f>
        <v/>
      </c>
      <c r="O499" s="1" t="str">
        <f t="shared" si="30"/>
        <v>Starter</v>
      </c>
      <c r="P499" t="str">
        <f>TEXT(B499, "mmmm")</f>
        <v>August</v>
      </c>
      <c r="Q499" t="str">
        <f t="shared" si="31"/>
        <v>Q3</v>
      </c>
      <c r="R499" t="str">
        <f>IFERROR(VLOOKUP(TRIM(CLEAN(G499)),Sheet14!$A$2:$B$19,2,FALSE),"Not Mapped")</f>
        <v>West</v>
      </c>
    </row>
    <row r="500" spans="1:18">
      <c r="A500" t="str">
        <f t="shared" si="29"/>
        <v>EOS0499</v>
      </c>
      <c r="B500" s="35">
        <v>45876</v>
      </c>
      <c r="C500" s="1" t="s">
        <v>267</v>
      </c>
      <c r="D500" s="1" t="str">
        <f t="shared" si="35"/>
        <v>FB</v>
      </c>
      <c r="E500" s="1" t="s">
        <v>995</v>
      </c>
      <c r="F500" s="1" t="s">
        <v>996</v>
      </c>
      <c r="G500" s="1" t="s">
        <v>223</v>
      </c>
      <c r="H500" s="1" t="s">
        <v>149</v>
      </c>
      <c r="I500" s="1">
        <v>177000</v>
      </c>
      <c r="J500" s="45">
        <v>107498</v>
      </c>
      <c r="K500" s="1" t="str">
        <f>TRIM(Cleaned_CRM_Data!H500)</f>
        <v>Rejected</v>
      </c>
      <c r="L500" t="str">
        <f>IFERROR(VLOOKUP(K500, Status_Mapping!A:B, 2,), "Not Found")</f>
        <v>Rejected</v>
      </c>
      <c r="N500" s="29" t="str">
        <f>IF(M500="","",M500-B500)</f>
        <v/>
      </c>
      <c r="O500" s="1" t="str">
        <f t="shared" si="30"/>
        <v>Growth</v>
      </c>
      <c r="P500" t="str">
        <f>TEXT(B500, "mmmm")</f>
        <v>August</v>
      </c>
      <c r="Q500" t="str">
        <f t="shared" si="31"/>
        <v>Q3</v>
      </c>
      <c r="R500" t="str">
        <f>IFERROR(VLOOKUP(TRIM(CLEAN(G500)),Sheet14!$A$2:$B$19,2,FALSE),"Not Mapped")</f>
        <v>West</v>
      </c>
    </row>
    <row r="501" spans="1:18">
      <c r="A501" t="str">
        <f t="shared" si="29"/>
        <v>EOS0500</v>
      </c>
      <c r="B501" s="35">
        <v>45876</v>
      </c>
      <c r="C501" s="1" t="s">
        <v>267</v>
      </c>
      <c r="D501" s="1" t="str">
        <f t="shared" si="35"/>
        <v>FB</v>
      </c>
      <c r="E501" s="1" t="s">
        <v>997</v>
      </c>
      <c r="F501" s="1" t="s">
        <v>998</v>
      </c>
      <c r="G501" s="1" t="s">
        <v>223</v>
      </c>
      <c r="H501" s="1" t="s">
        <v>149</v>
      </c>
      <c r="I501" s="1">
        <v>130000</v>
      </c>
      <c r="J501" s="45">
        <v>107499</v>
      </c>
      <c r="K501" s="1" t="str">
        <f>TRIM(Cleaned_CRM_Data!H501)</f>
        <v>Rejected</v>
      </c>
      <c r="L501" t="str">
        <f>IFERROR(VLOOKUP(K501, Status_Mapping!A:B, 2,), "Not Found")</f>
        <v>Rejected</v>
      </c>
      <c r="N501" s="29" t="str">
        <f>IF(M501="","",M501-B501)</f>
        <v/>
      </c>
      <c r="O501" s="1" t="str">
        <f t="shared" si="30"/>
        <v>Starter</v>
      </c>
      <c r="P501" t="str">
        <f>TEXT(B501, "mmmm")</f>
        <v>August</v>
      </c>
      <c r="Q501" t="str">
        <f t="shared" si="31"/>
        <v>Q3</v>
      </c>
      <c r="R501" t="str">
        <f>IFERROR(VLOOKUP(TRIM(CLEAN(G501)),Sheet14!$A$2:$B$19,2,FALSE),"Not Mapped")</f>
        <v>West</v>
      </c>
    </row>
    <row r="502" spans="1:18">
      <c r="A502" t="str">
        <f t="shared" si="29"/>
        <v>EOS0501</v>
      </c>
      <c r="B502" s="35">
        <v>45876</v>
      </c>
      <c r="C502" s="1" t="s">
        <v>267</v>
      </c>
      <c r="D502" s="1" t="str">
        <f t="shared" si="35"/>
        <v>FB</v>
      </c>
      <c r="E502" s="1" t="s">
        <v>999</v>
      </c>
      <c r="F502" s="1" t="s">
        <v>412</v>
      </c>
      <c r="G502" s="1" t="s">
        <v>223</v>
      </c>
      <c r="H502" s="1" t="s">
        <v>149</v>
      </c>
      <c r="I502" s="1">
        <v>130000</v>
      </c>
      <c r="J502" s="45">
        <v>107500</v>
      </c>
      <c r="K502" s="1" t="str">
        <f>TRIM(Cleaned_CRM_Data!H502)</f>
        <v>Rejected</v>
      </c>
      <c r="L502" t="str">
        <f>IFERROR(VLOOKUP(K502, Status_Mapping!A:B, 2,), "Not Found")</f>
        <v>Rejected</v>
      </c>
      <c r="N502" s="29" t="str">
        <f>IF(M502="","",M502-B502)</f>
        <v/>
      </c>
      <c r="O502" s="1" t="str">
        <f t="shared" si="30"/>
        <v>Starter</v>
      </c>
      <c r="P502" t="str">
        <f>TEXT(B502, "mmmm")</f>
        <v>August</v>
      </c>
      <c r="Q502" t="str">
        <f t="shared" si="31"/>
        <v>Q3</v>
      </c>
      <c r="R502" t="str">
        <f>IFERROR(VLOOKUP(TRIM(CLEAN(G502)),Sheet14!$A$2:$B$19,2,FALSE),"Not Mapped")</f>
        <v>West</v>
      </c>
    </row>
    <row r="503" spans="1:18">
      <c r="A503" t="str">
        <f t="shared" si="29"/>
        <v>EOS0502</v>
      </c>
      <c r="B503" s="35">
        <v>45876</v>
      </c>
      <c r="C503" s="1" t="s">
        <v>267</v>
      </c>
      <c r="D503" s="1" t="str">
        <f t="shared" si="35"/>
        <v>FB</v>
      </c>
      <c r="E503" s="1" t="s">
        <v>1000</v>
      </c>
      <c r="F503" s="1" t="s">
        <v>296</v>
      </c>
      <c r="G503" s="1" t="s">
        <v>223</v>
      </c>
      <c r="H503" s="1" t="s">
        <v>149</v>
      </c>
      <c r="I503" s="1">
        <v>177000</v>
      </c>
      <c r="J503" s="45">
        <v>107501</v>
      </c>
      <c r="K503" s="1" t="str">
        <f>TRIM(Cleaned_CRM_Data!H503)</f>
        <v>Rejected</v>
      </c>
      <c r="L503" t="str">
        <f>IFERROR(VLOOKUP(K503, Status_Mapping!A:B, 2,), "Not Found")</f>
        <v>Rejected</v>
      </c>
      <c r="N503" s="29" t="str">
        <f>IF(M503="","",M503-B503)</f>
        <v/>
      </c>
      <c r="O503" s="1" t="str">
        <f t="shared" si="30"/>
        <v>Growth</v>
      </c>
      <c r="P503" t="str">
        <f>TEXT(B503, "mmmm")</f>
        <v>August</v>
      </c>
      <c r="Q503" t="str">
        <f t="shared" si="31"/>
        <v>Q3</v>
      </c>
      <c r="R503" t="str">
        <f>IFERROR(VLOOKUP(TRIM(CLEAN(G503)),Sheet14!$A$2:$B$19,2,FALSE),"Not Mapped")</f>
        <v>West</v>
      </c>
    </row>
    <row r="504" spans="1:18">
      <c r="A504" t="str">
        <f t="shared" si="29"/>
        <v>EOS0503</v>
      </c>
      <c r="B504" s="35">
        <v>45876</v>
      </c>
      <c r="C504" s="1" t="s">
        <v>267</v>
      </c>
      <c r="D504" s="1" t="str">
        <f t="shared" si="35"/>
        <v>FB</v>
      </c>
      <c r="E504" s="1" t="s">
        <v>1001</v>
      </c>
      <c r="F504" s="1" t="s">
        <v>304</v>
      </c>
      <c r="G504" s="1" t="s">
        <v>223</v>
      </c>
      <c r="H504" s="1" t="s">
        <v>149</v>
      </c>
      <c r="I504" s="1">
        <v>108000</v>
      </c>
      <c r="J504" s="45">
        <v>107502</v>
      </c>
      <c r="K504" s="1" t="str">
        <f>TRIM(Cleaned_CRM_Data!H504)</f>
        <v>Rejected</v>
      </c>
      <c r="L504" t="str">
        <f>IFERROR(VLOOKUP(K504, Status_Mapping!A:B, 2,), "Not Found")</f>
        <v>Rejected</v>
      </c>
      <c r="N504" s="29" t="str">
        <f>IF(M504="","",M504-B504)</f>
        <v/>
      </c>
      <c r="O504" s="1" t="str">
        <f t="shared" si="30"/>
        <v>Starter</v>
      </c>
      <c r="P504" t="str">
        <f>TEXT(B504, "mmmm")</f>
        <v>August</v>
      </c>
      <c r="Q504" t="str">
        <f t="shared" si="31"/>
        <v>Q3</v>
      </c>
      <c r="R504" t="str">
        <f>IFERROR(VLOOKUP(TRIM(CLEAN(G504)),Sheet14!$A$2:$B$19,2,FALSE),"Not Mapped")</f>
        <v>West</v>
      </c>
    </row>
    <row r="505" spans="1:18">
      <c r="A505" t="str">
        <f t="shared" si="29"/>
        <v>EOS0504</v>
      </c>
      <c r="B505" s="35">
        <v>45877</v>
      </c>
      <c r="C505" s="1" t="s">
        <v>267</v>
      </c>
      <c r="D505" s="1" t="str">
        <f t="shared" si="35"/>
        <v>FB</v>
      </c>
      <c r="E505" s="1" t="s">
        <v>1002</v>
      </c>
      <c r="F505" s="1" t="s">
        <v>1003</v>
      </c>
      <c r="G505" s="1" t="s">
        <v>223</v>
      </c>
      <c r="H505" s="1" t="s">
        <v>149</v>
      </c>
      <c r="I505" s="1">
        <v>130000</v>
      </c>
      <c r="J505" s="45">
        <v>107503</v>
      </c>
      <c r="K505" s="1" t="str">
        <f>TRIM(Cleaned_CRM_Data!H505)</f>
        <v>Rejected</v>
      </c>
      <c r="L505" t="str">
        <f>IFERROR(VLOOKUP(K505, Status_Mapping!A:B, 2,), "Not Found")</f>
        <v>Rejected</v>
      </c>
      <c r="N505" s="29" t="str">
        <f>IF(M505="","",M505-B505)</f>
        <v/>
      </c>
      <c r="O505" s="1" t="str">
        <f t="shared" si="30"/>
        <v>Starter</v>
      </c>
      <c r="P505" t="str">
        <f>TEXT(B505, "mmmm")</f>
        <v>August</v>
      </c>
      <c r="Q505" t="str">
        <f t="shared" si="31"/>
        <v>Q3</v>
      </c>
      <c r="R505" t="str">
        <f>IFERROR(VLOOKUP(TRIM(CLEAN(G505)),Sheet14!$A$2:$B$19,2,FALSE),"Not Mapped")</f>
        <v>West</v>
      </c>
    </row>
    <row r="506" spans="1:18">
      <c r="A506" t="str">
        <f t="shared" si="29"/>
        <v>EOS0505</v>
      </c>
      <c r="B506" s="35">
        <v>45877</v>
      </c>
      <c r="C506" s="1" t="s">
        <v>267</v>
      </c>
      <c r="D506" s="1" t="str">
        <f t="shared" si="35"/>
        <v>FB</v>
      </c>
      <c r="E506" s="1" t="s">
        <v>1004</v>
      </c>
      <c r="F506" s="1"/>
      <c r="G506" s="1" t="s">
        <v>223</v>
      </c>
      <c r="H506" s="1" t="s">
        <v>149</v>
      </c>
      <c r="I506" s="1">
        <v>130000</v>
      </c>
      <c r="J506" s="45">
        <v>107504</v>
      </c>
      <c r="K506" s="1" t="str">
        <f>TRIM(Cleaned_CRM_Data!H506)</f>
        <v>Rejected</v>
      </c>
      <c r="L506" t="str">
        <f>IFERROR(VLOOKUP(K506, Status_Mapping!A:B, 2,), "Not Found")</f>
        <v>Rejected</v>
      </c>
      <c r="N506" s="29" t="str">
        <f>IF(M506="","",M506-B506)</f>
        <v/>
      </c>
      <c r="O506" s="1" t="str">
        <f t="shared" si="30"/>
        <v>Starter</v>
      </c>
      <c r="P506" t="str">
        <f>TEXT(B506, "mmmm")</f>
        <v>August</v>
      </c>
      <c r="Q506" t="str">
        <f t="shared" si="31"/>
        <v>Q3</v>
      </c>
      <c r="R506" t="str">
        <f>IFERROR(VLOOKUP(TRIM(CLEAN(G506)),Sheet14!$A$2:$B$19,2,FALSE),"Not Mapped")</f>
        <v>West</v>
      </c>
    </row>
    <row r="507" spans="1:18">
      <c r="A507" t="str">
        <f t="shared" si="29"/>
        <v>EOS0506</v>
      </c>
      <c r="B507" s="35">
        <v>45877</v>
      </c>
      <c r="C507" s="1" t="s">
        <v>267</v>
      </c>
      <c r="D507" s="1" t="str">
        <f t="shared" si="35"/>
        <v>FB</v>
      </c>
      <c r="E507" s="1" t="s">
        <v>1005</v>
      </c>
      <c r="F507" s="1"/>
      <c r="G507" s="1" t="s">
        <v>223</v>
      </c>
      <c r="H507" s="1" t="s">
        <v>149</v>
      </c>
      <c r="I507" s="1">
        <v>130000</v>
      </c>
      <c r="J507" s="45">
        <v>107505</v>
      </c>
      <c r="K507" s="1" t="str">
        <f>TRIM(Cleaned_CRM_Data!H507)</f>
        <v>Rejected</v>
      </c>
      <c r="L507" t="str">
        <f>IFERROR(VLOOKUP(K507, Status_Mapping!A:B, 2,), "Not Found")</f>
        <v>Rejected</v>
      </c>
      <c r="N507" s="29" t="str">
        <f>IF(M507="","",M507-B507)</f>
        <v/>
      </c>
      <c r="O507" s="1" t="str">
        <f t="shared" si="30"/>
        <v>Starter</v>
      </c>
      <c r="P507" t="str">
        <f>TEXT(B507, "mmmm")</f>
        <v>August</v>
      </c>
      <c r="Q507" t="str">
        <f t="shared" si="31"/>
        <v>Q3</v>
      </c>
      <c r="R507" t="str">
        <f>IFERROR(VLOOKUP(TRIM(CLEAN(G507)),Sheet14!$A$2:$B$19,2,FALSE),"Not Mapped")</f>
        <v>West</v>
      </c>
    </row>
    <row r="508" spans="1:18">
      <c r="A508" t="str">
        <f t="shared" si="29"/>
        <v>EOS0507</v>
      </c>
      <c r="B508" s="35">
        <v>45877</v>
      </c>
      <c r="C508" s="1" t="s">
        <v>267</v>
      </c>
      <c r="D508" s="1" t="str">
        <f t="shared" si="35"/>
        <v>FB</v>
      </c>
      <c r="E508" s="1" t="s">
        <v>1006</v>
      </c>
      <c r="F508" s="1"/>
      <c r="G508" s="1" t="s">
        <v>223</v>
      </c>
      <c r="H508" s="1" t="s">
        <v>149</v>
      </c>
      <c r="I508" s="1">
        <v>130000</v>
      </c>
      <c r="J508" s="45">
        <v>107506</v>
      </c>
      <c r="K508" s="1" t="str">
        <f>TRIM(Cleaned_CRM_Data!H508)</f>
        <v>Rejected</v>
      </c>
      <c r="L508" t="str">
        <f>IFERROR(VLOOKUP(K508, Status_Mapping!A:B, 2,), "Not Found")</f>
        <v>Rejected</v>
      </c>
      <c r="N508" s="29" t="str">
        <f>IF(M508="","",M508-B508)</f>
        <v/>
      </c>
      <c r="O508" s="1" t="str">
        <f t="shared" si="30"/>
        <v>Starter</v>
      </c>
      <c r="P508" t="str">
        <f>TEXT(B508, "mmmm")</f>
        <v>August</v>
      </c>
      <c r="Q508" t="str">
        <f t="shared" si="31"/>
        <v>Q3</v>
      </c>
      <c r="R508" t="str">
        <f>IFERROR(VLOOKUP(TRIM(CLEAN(G508)),Sheet14!$A$2:$B$19,2,FALSE),"Not Mapped")</f>
        <v>West</v>
      </c>
    </row>
    <row r="509" spans="1:18">
      <c r="A509" t="str">
        <f t="shared" si="29"/>
        <v>EOS0508</v>
      </c>
      <c r="B509" s="35">
        <v>45877</v>
      </c>
      <c r="C509" s="1" t="s">
        <v>267</v>
      </c>
      <c r="D509" s="1" t="str">
        <f t="shared" si="35"/>
        <v>FB</v>
      </c>
      <c r="E509" s="1" t="s">
        <v>1007</v>
      </c>
      <c r="F509" s="1"/>
      <c r="G509" s="1" t="s">
        <v>223</v>
      </c>
      <c r="H509" s="1" t="s">
        <v>149</v>
      </c>
      <c r="I509" s="1">
        <v>130000</v>
      </c>
      <c r="J509" s="45">
        <v>107507</v>
      </c>
      <c r="K509" s="1" t="str">
        <f>TRIM(Cleaned_CRM_Data!H509)</f>
        <v>Rejected</v>
      </c>
      <c r="L509" t="str">
        <f>IFERROR(VLOOKUP(K509, Status_Mapping!A:B, 2,), "Not Found")</f>
        <v>Rejected</v>
      </c>
      <c r="N509" s="29" t="str">
        <f>IF(M509="","",M509-B509)</f>
        <v/>
      </c>
      <c r="O509" s="1" t="str">
        <f t="shared" si="30"/>
        <v>Starter</v>
      </c>
      <c r="P509" t="str">
        <f>TEXT(B509, "mmmm")</f>
        <v>August</v>
      </c>
      <c r="Q509" t="str">
        <f t="shared" si="31"/>
        <v>Q3</v>
      </c>
      <c r="R509" t="str">
        <f>IFERROR(VLOOKUP(TRIM(CLEAN(G509)),Sheet14!$A$2:$B$19,2,FALSE),"Not Mapped")</f>
        <v>West</v>
      </c>
    </row>
    <row r="510" spans="1:18">
      <c r="A510" t="str">
        <f t="shared" si="29"/>
        <v>EOS0509</v>
      </c>
      <c r="B510" s="35">
        <v>45877</v>
      </c>
      <c r="C510" s="1" t="s">
        <v>267</v>
      </c>
      <c r="D510" s="1" t="str">
        <f t="shared" si="35"/>
        <v>FB</v>
      </c>
      <c r="E510" s="1" t="s">
        <v>1008</v>
      </c>
      <c r="F510" s="1"/>
      <c r="G510" s="1" t="s">
        <v>223</v>
      </c>
      <c r="H510" s="1" t="s">
        <v>149</v>
      </c>
      <c r="I510" s="1">
        <v>108000</v>
      </c>
      <c r="J510" s="45">
        <v>107508</v>
      </c>
      <c r="K510" s="1" t="str">
        <f>TRIM(Cleaned_CRM_Data!H510)</f>
        <v>Rejected</v>
      </c>
      <c r="L510" t="str">
        <f>IFERROR(VLOOKUP(K510, Status_Mapping!A:B, 2,), "Not Found")</f>
        <v>Rejected</v>
      </c>
      <c r="N510" s="29" t="str">
        <f>IF(M510="","",M510-B510)</f>
        <v/>
      </c>
      <c r="O510" s="1" t="str">
        <f t="shared" si="30"/>
        <v>Starter</v>
      </c>
      <c r="P510" t="str">
        <f>TEXT(B510, "mmmm")</f>
        <v>August</v>
      </c>
      <c r="Q510" t="str">
        <f t="shared" si="31"/>
        <v>Q3</v>
      </c>
      <c r="R510" t="str">
        <f>IFERROR(VLOOKUP(TRIM(CLEAN(G510)),Sheet14!$A$2:$B$19,2,FALSE),"Not Mapped")</f>
        <v>West</v>
      </c>
    </row>
    <row r="511" spans="1:18">
      <c r="A511" t="str">
        <f t="shared" si="29"/>
        <v>EOS0510</v>
      </c>
      <c r="B511" s="35">
        <v>45877</v>
      </c>
      <c r="C511" s="1" t="s">
        <v>267</v>
      </c>
      <c r="D511" s="1" t="str">
        <f t="shared" si="35"/>
        <v>FB</v>
      </c>
      <c r="E511" s="1" t="s">
        <v>1009</v>
      </c>
      <c r="F511" s="1"/>
      <c r="G511" s="1" t="s">
        <v>223</v>
      </c>
      <c r="H511" s="1" t="s">
        <v>149</v>
      </c>
      <c r="I511" s="1">
        <v>108000</v>
      </c>
      <c r="J511" s="45">
        <v>107509</v>
      </c>
      <c r="K511" s="1" t="str">
        <f>TRIM(Cleaned_CRM_Data!H511)</f>
        <v>Rejected</v>
      </c>
      <c r="L511" t="str">
        <f>IFERROR(VLOOKUP(K511, Status_Mapping!A:B, 2,), "Not Found")</f>
        <v>Rejected</v>
      </c>
      <c r="N511" s="29" t="str">
        <f>IF(M511="","",M511-B511)</f>
        <v/>
      </c>
      <c r="O511" s="1" t="str">
        <f t="shared" si="30"/>
        <v>Starter</v>
      </c>
      <c r="P511" t="str">
        <f>TEXT(B511, "mmmm")</f>
        <v>August</v>
      </c>
      <c r="Q511" t="str">
        <f t="shared" si="31"/>
        <v>Q3</v>
      </c>
      <c r="R511" t="str">
        <f>IFERROR(VLOOKUP(TRIM(CLEAN(G511)),Sheet14!$A$2:$B$19,2,FALSE),"Not Mapped")</f>
        <v>West</v>
      </c>
    </row>
    <row r="512" spans="1:18">
      <c r="A512" t="str">
        <f t="shared" si="29"/>
        <v>EOS0511</v>
      </c>
      <c r="B512" s="35">
        <v>45877</v>
      </c>
      <c r="C512" s="1" t="s">
        <v>267</v>
      </c>
      <c r="D512" s="1" t="str">
        <f t="shared" si="35"/>
        <v>FB</v>
      </c>
      <c r="E512" s="1" t="s">
        <v>1010</v>
      </c>
      <c r="F512" s="1"/>
      <c r="G512" s="1" t="s">
        <v>223</v>
      </c>
      <c r="H512" s="1" t="s">
        <v>149</v>
      </c>
      <c r="I512" s="1">
        <v>130000</v>
      </c>
      <c r="J512" s="45">
        <v>107510</v>
      </c>
      <c r="K512" s="1" t="str">
        <f>TRIM(Cleaned_CRM_Data!H512)</f>
        <v>Rejected</v>
      </c>
      <c r="L512" t="str">
        <f>IFERROR(VLOOKUP(K512, Status_Mapping!A:B, 2,), "Not Found")</f>
        <v>Rejected</v>
      </c>
      <c r="N512" s="29" t="str">
        <f>IF(M512="","",M512-B512)</f>
        <v/>
      </c>
      <c r="O512" s="1" t="str">
        <f t="shared" si="30"/>
        <v>Starter</v>
      </c>
      <c r="P512" t="str">
        <f>TEXT(B512, "mmmm")</f>
        <v>August</v>
      </c>
      <c r="Q512" t="str">
        <f t="shared" si="31"/>
        <v>Q3</v>
      </c>
      <c r="R512" t="str">
        <f>IFERROR(VLOOKUP(TRIM(CLEAN(G512)),Sheet14!$A$2:$B$19,2,FALSE),"Not Mapped")</f>
        <v>West</v>
      </c>
    </row>
    <row r="513" spans="1:18">
      <c r="A513" t="str">
        <f t="shared" si="29"/>
        <v>EOS0512</v>
      </c>
      <c r="B513" s="35">
        <v>45877</v>
      </c>
      <c r="C513" s="1" t="s">
        <v>267</v>
      </c>
      <c r="D513" s="1" t="str">
        <f t="shared" si="35"/>
        <v>FB</v>
      </c>
      <c r="E513" s="1" t="s">
        <v>1011</v>
      </c>
      <c r="F513" s="1"/>
      <c r="G513" s="1" t="s">
        <v>223</v>
      </c>
      <c r="H513" s="1" t="s">
        <v>149</v>
      </c>
      <c r="I513" s="1">
        <v>130000</v>
      </c>
      <c r="J513" s="45">
        <v>107511</v>
      </c>
      <c r="K513" s="1" t="str">
        <f>TRIM(Cleaned_CRM_Data!H513)</f>
        <v>Rejected</v>
      </c>
      <c r="L513" t="str">
        <f>IFERROR(VLOOKUP(K513, Status_Mapping!A:B, 2,), "Not Found")</f>
        <v>Rejected</v>
      </c>
      <c r="N513" s="29" t="str">
        <f>IF(M513="","",M513-B513)</f>
        <v/>
      </c>
      <c r="O513" s="1" t="str">
        <f t="shared" si="30"/>
        <v>Starter</v>
      </c>
      <c r="P513" t="str">
        <f>TEXT(B513, "mmmm")</f>
        <v>August</v>
      </c>
      <c r="Q513" t="str">
        <f t="shared" si="31"/>
        <v>Q3</v>
      </c>
      <c r="R513" t="str">
        <f>IFERROR(VLOOKUP(TRIM(CLEAN(G513)),Sheet14!$A$2:$B$19,2,FALSE),"Not Mapped")</f>
        <v>West</v>
      </c>
    </row>
    <row r="514" spans="1:18">
      <c r="A514" t="str">
        <f t="shared" si="29"/>
        <v>EOS0513</v>
      </c>
      <c r="B514" s="35">
        <v>45877</v>
      </c>
      <c r="C514" s="1" t="s">
        <v>267</v>
      </c>
      <c r="D514" s="1" t="str">
        <f t="shared" si="35"/>
        <v>FB</v>
      </c>
      <c r="E514" s="1" t="s">
        <v>1012</v>
      </c>
      <c r="F514" s="1"/>
      <c r="G514" s="1" t="s">
        <v>223</v>
      </c>
      <c r="H514" s="1" t="s">
        <v>149</v>
      </c>
      <c r="I514" s="1">
        <v>130000</v>
      </c>
      <c r="J514" s="45">
        <v>107512</v>
      </c>
      <c r="K514" s="1" t="str">
        <f>TRIM(Cleaned_CRM_Data!H514)</f>
        <v>Rejected</v>
      </c>
      <c r="L514" t="str">
        <f>IFERROR(VLOOKUP(K514, Status_Mapping!A:B, 2,), "Not Found")</f>
        <v>Rejected</v>
      </c>
      <c r="N514" s="29" t="str">
        <f>IF(M514="","",M514-B514)</f>
        <v/>
      </c>
      <c r="O514" s="1" t="str">
        <f t="shared" si="30"/>
        <v>Starter</v>
      </c>
      <c r="P514" t="str">
        <f>TEXT(B514, "mmmm")</f>
        <v>August</v>
      </c>
      <c r="Q514" t="str">
        <f t="shared" si="31"/>
        <v>Q3</v>
      </c>
      <c r="R514" t="str">
        <f>IFERROR(VLOOKUP(TRIM(CLEAN(G514)),Sheet14!$A$2:$B$19,2,FALSE),"Not Mapped")</f>
        <v>West</v>
      </c>
    </row>
    <row r="515" spans="1:18">
      <c r="A515" t="str">
        <f t="shared" ref="A515:A578" si="36">"EOS"&amp;TEXT(ROW()-1,"0000")</f>
        <v>EOS0514</v>
      </c>
      <c r="B515" s="35">
        <v>45877</v>
      </c>
      <c r="C515" s="1" t="s">
        <v>911</v>
      </c>
      <c r="D515" s="1"/>
      <c r="E515" s="1" t="s">
        <v>1013</v>
      </c>
      <c r="F515" s="1"/>
      <c r="G515" s="1" t="s">
        <v>223</v>
      </c>
      <c r="H515" s="1" t="s">
        <v>149</v>
      </c>
      <c r="I515" s="1">
        <v>108000</v>
      </c>
      <c r="J515" s="45">
        <v>107513</v>
      </c>
      <c r="K515" s="1" t="str">
        <f>TRIM(Cleaned_CRM_Data!H515)</f>
        <v>Rejected</v>
      </c>
      <c r="L515" t="str">
        <f>IFERROR(VLOOKUP(K515, Status_Mapping!A:B, 2,), "Not Found")</f>
        <v>Rejected</v>
      </c>
      <c r="N515" s="29" t="str">
        <f>IF(M515="","",M515-B515)</f>
        <v/>
      </c>
      <c r="O515" s="1" t="str">
        <f t="shared" ref="O515:O578" si="37">IF(OR(I515=108000,I515=130000),"Starter",IF(I515=177000,"Growth","Premium"))</f>
        <v>Starter</v>
      </c>
      <c r="P515" t="str">
        <f>TEXT(B515, "mmmm")</f>
        <v>August</v>
      </c>
      <c r="Q515" t="str">
        <f t="shared" ref="Q515:Q578" si="38">"Q"&amp;ROUNDUP(MONTH(B515)/3,0)</f>
        <v>Q3</v>
      </c>
      <c r="R515" t="str">
        <f>IFERROR(VLOOKUP(TRIM(CLEAN(G515)),Sheet14!$A$2:$B$19,2,FALSE),"Not Mapped")</f>
        <v>West</v>
      </c>
    </row>
    <row r="516" spans="1:18">
      <c r="A516" t="str">
        <f t="shared" si="36"/>
        <v>EOS0515</v>
      </c>
      <c r="B516" s="35">
        <v>45878</v>
      </c>
      <c r="C516" s="1" t="s">
        <v>267</v>
      </c>
      <c r="D516" s="1" t="str">
        <f t="shared" ref="D516:D536" si="39">TRIM(CLEAN(SUBSTITUTE(C516,CHAR(160),"")))</f>
        <v>FB</v>
      </c>
      <c r="E516" s="1" t="s">
        <v>1014</v>
      </c>
      <c r="F516" s="1"/>
      <c r="G516" s="1" t="s">
        <v>223</v>
      </c>
      <c r="H516" s="1" t="s">
        <v>149</v>
      </c>
      <c r="I516" s="1">
        <v>130000</v>
      </c>
      <c r="J516" s="45">
        <v>107514</v>
      </c>
      <c r="K516" s="1" t="str">
        <f>TRIM(Cleaned_CRM_Data!H516)</f>
        <v>Rejected</v>
      </c>
      <c r="L516" t="str">
        <f>IFERROR(VLOOKUP(K516, Status_Mapping!A:B, 2,), "Not Found")</f>
        <v>Rejected</v>
      </c>
      <c r="N516" s="29" t="str">
        <f>IF(M516="","",M516-B516)</f>
        <v/>
      </c>
      <c r="O516" s="1" t="str">
        <f t="shared" si="37"/>
        <v>Starter</v>
      </c>
      <c r="P516" t="str">
        <f>TEXT(B516, "mmmm")</f>
        <v>August</v>
      </c>
      <c r="Q516" t="str">
        <f t="shared" si="38"/>
        <v>Q3</v>
      </c>
      <c r="R516" t="str">
        <f>IFERROR(VLOOKUP(TRIM(CLEAN(G516)),Sheet14!$A$2:$B$19,2,FALSE),"Not Mapped")</f>
        <v>West</v>
      </c>
    </row>
    <row r="517" spans="1:18">
      <c r="A517" t="str">
        <f t="shared" si="36"/>
        <v>EOS0516</v>
      </c>
      <c r="B517" s="35">
        <v>45878</v>
      </c>
      <c r="C517" s="1" t="s">
        <v>267</v>
      </c>
      <c r="D517" s="1" t="str">
        <f t="shared" si="39"/>
        <v>FB</v>
      </c>
      <c r="E517" s="1" t="s">
        <v>1015</v>
      </c>
      <c r="F517" s="1"/>
      <c r="G517" s="1" t="s">
        <v>223</v>
      </c>
      <c r="H517" s="1" t="s">
        <v>149</v>
      </c>
      <c r="I517" s="1">
        <v>177000</v>
      </c>
      <c r="J517" s="45">
        <v>107515</v>
      </c>
      <c r="K517" s="1" t="str">
        <f>TRIM(Cleaned_CRM_Data!H517)</f>
        <v>Rejected</v>
      </c>
      <c r="L517" t="str">
        <f>IFERROR(VLOOKUP(K517, Status_Mapping!A:B, 2,), "Not Found")</f>
        <v>Rejected</v>
      </c>
      <c r="N517" s="29" t="str">
        <f>IF(M517="","",M517-B517)</f>
        <v/>
      </c>
      <c r="O517" s="1" t="str">
        <f t="shared" si="37"/>
        <v>Growth</v>
      </c>
      <c r="P517" t="str">
        <f>TEXT(B517, "mmmm")</f>
        <v>August</v>
      </c>
      <c r="Q517" t="str">
        <f t="shared" si="38"/>
        <v>Q3</v>
      </c>
      <c r="R517" t="str">
        <f>IFERROR(VLOOKUP(TRIM(CLEAN(G517)),Sheet14!$A$2:$B$19,2,FALSE),"Not Mapped")</f>
        <v>West</v>
      </c>
    </row>
    <row r="518" spans="1:18">
      <c r="A518" t="str">
        <f t="shared" si="36"/>
        <v>EOS0517</v>
      </c>
      <c r="B518" s="35">
        <v>45878</v>
      </c>
      <c r="C518" s="1" t="s">
        <v>267</v>
      </c>
      <c r="D518" s="1" t="str">
        <f t="shared" si="39"/>
        <v>FB</v>
      </c>
      <c r="E518" s="1" t="s">
        <v>1016</v>
      </c>
      <c r="F518" s="1"/>
      <c r="G518" s="1" t="s">
        <v>223</v>
      </c>
      <c r="H518" s="1" t="s">
        <v>149</v>
      </c>
      <c r="I518" s="1">
        <v>108000</v>
      </c>
      <c r="J518" s="45">
        <v>107516</v>
      </c>
      <c r="K518" s="1" t="str">
        <f>TRIM(Cleaned_CRM_Data!H518)</f>
        <v>Rejected</v>
      </c>
      <c r="L518" t="str">
        <f>IFERROR(VLOOKUP(K518, Status_Mapping!A:B, 2,), "Not Found")</f>
        <v>Rejected</v>
      </c>
      <c r="N518" s="29" t="str">
        <f>IF(M518="","",M518-B518)</f>
        <v/>
      </c>
      <c r="O518" s="1" t="str">
        <f t="shared" si="37"/>
        <v>Starter</v>
      </c>
      <c r="P518" t="str">
        <f>TEXT(B518, "mmmm")</f>
        <v>August</v>
      </c>
      <c r="Q518" t="str">
        <f t="shared" si="38"/>
        <v>Q3</v>
      </c>
      <c r="R518" t="str">
        <f>IFERROR(VLOOKUP(TRIM(CLEAN(G518)),Sheet14!$A$2:$B$19,2,FALSE),"Not Mapped")</f>
        <v>West</v>
      </c>
    </row>
    <row r="519" spans="1:18">
      <c r="A519" t="str">
        <f t="shared" si="36"/>
        <v>EOS0518</v>
      </c>
      <c r="B519" s="35">
        <v>45878</v>
      </c>
      <c r="C519" s="1" t="s">
        <v>267</v>
      </c>
      <c r="D519" s="1" t="str">
        <f t="shared" si="39"/>
        <v>FB</v>
      </c>
      <c r="E519" s="1" t="s">
        <v>1017</v>
      </c>
      <c r="F519" s="1"/>
      <c r="G519" s="1" t="s">
        <v>223</v>
      </c>
      <c r="H519" s="1" t="s">
        <v>149</v>
      </c>
      <c r="I519" s="1">
        <v>130000</v>
      </c>
      <c r="J519" s="45">
        <v>107517</v>
      </c>
      <c r="K519" s="1" t="str">
        <f>TRIM(Cleaned_CRM_Data!H519)</f>
        <v>Rejected</v>
      </c>
      <c r="L519" t="str">
        <f>IFERROR(VLOOKUP(K519, Status_Mapping!A:B, 2,), "Not Found")</f>
        <v>Rejected</v>
      </c>
      <c r="N519" s="29" t="str">
        <f>IF(M519="","",M519-B519)</f>
        <v/>
      </c>
      <c r="O519" s="1" t="str">
        <f t="shared" si="37"/>
        <v>Starter</v>
      </c>
      <c r="P519" t="str">
        <f>TEXT(B519, "mmmm")</f>
        <v>August</v>
      </c>
      <c r="Q519" t="str">
        <f t="shared" si="38"/>
        <v>Q3</v>
      </c>
      <c r="R519" t="str">
        <f>IFERROR(VLOOKUP(TRIM(CLEAN(G519)),Sheet14!$A$2:$B$19,2,FALSE),"Not Mapped")</f>
        <v>West</v>
      </c>
    </row>
    <row r="520" spans="1:18">
      <c r="A520" t="str">
        <f t="shared" si="36"/>
        <v>EOS0519</v>
      </c>
      <c r="B520" s="35">
        <v>45878</v>
      </c>
      <c r="C520" s="1" t="s">
        <v>267</v>
      </c>
      <c r="D520" s="1" t="str">
        <f t="shared" si="39"/>
        <v>FB</v>
      </c>
      <c r="E520" s="1" t="s">
        <v>1018</v>
      </c>
      <c r="F520" s="1"/>
      <c r="G520" s="1" t="s">
        <v>223</v>
      </c>
      <c r="H520" s="1" t="s">
        <v>149</v>
      </c>
      <c r="I520" s="1">
        <v>130000</v>
      </c>
      <c r="J520" s="45">
        <v>107518</v>
      </c>
      <c r="K520" s="1" t="str">
        <f>TRIM(Cleaned_CRM_Data!H520)</f>
        <v>Rejected</v>
      </c>
      <c r="L520" t="str">
        <f>IFERROR(VLOOKUP(K520, Status_Mapping!A:B, 2,), "Not Found")</f>
        <v>Rejected</v>
      </c>
      <c r="N520" s="29" t="str">
        <f>IF(M520="","",M520-B520)</f>
        <v/>
      </c>
      <c r="O520" s="1" t="str">
        <f t="shared" si="37"/>
        <v>Starter</v>
      </c>
      <c r="P520" t="str">
        <f>TEXT(B520, "mmmm")</f>
        <v>August</v>
      </c>
      <c r="Q520" t="str">
        <f t="shared" si="38"/>
        <v>Q3</v>
      </c>
      <c r="R520" t="str">
        <f>IFERROR(VLOOKUP(TRIM(CLEAN(G520)),Sheet14!$A$2:$B$19,2,FALSE),"Not Mapped")</f>
        <v>West</v>
      </c>
    </row>
    <row r="521" spans="1:18">
      <c r="A521" t="str">
        <f t="shared" si="36"/>
        <v>EOS0520</v>
      </c>
      <c r="B521" s="35">
        <v>45878</v>
      </c>
      <c r="C521" s="1" t="s">
        <v>267</v>
      </c>
      <c r="D521" s="1" t="str">
        <f t="shared" si="39"/>
        <v>FB</v>
      </c>
      <c r="E521" s="1" t="s">
        <v>1019</v>
      </c>
      <c r="F521" s="1"/>
      <c r="G521" s="1" t="s">
        <v>223</v>
      </c>
      <c r="H521" s="1" t="s">
        <v>149</v>
      </c>
      <c r="I521" s="1">
        <v>130000</v>
      </c>
      <c r="J521" s="45">
        <v>107519</v>
      </c>
      <c r="K521" s="1" t="str">
        <f>TRIM(Cleaned_CRM_Data!H521)</f>
        <v>Rejected</v>
      </c>
      <c r="L521" t="str">
        <f>IFERROR(VLOOKUP(K521, Status_Mapping!A:B, 2,), "Not Found")</f>
        <v>Rejected</v>
      </c>
      <c r="N521" s="29" t="str">
        <f>IF(M521="","",M521-B521)</f>
        <v/>
      </c>
      <c r="O521" s="1" t="str">
        <f t="shared" si="37"/>
        <v>Starter</v>
      </c>
      <c r="P521" t="str">
        <f>TEXT(B521, "mmmm")</f>
        <v>August</v>
      </c>
      <c r="Q521" t="str">
        <f t="shared" si="38"/>
        <v>Q3</v>
      </c>
      <c r="R521" t="str">
        <f>IFERROR(VLOOKUP(TRIM(CLEAN(G521)),Sheet14!$A$2:$B$19,2,FALSE),"Not Mapped")</f>
        <v>West</v>
      </c>
    </row>
    <row r="522" spans="1:18">
      <c r="A522" t="str">
        <f t="shared" si="36"/>
        <v>EOS0521</v>
      </c>
      <c r="B522" s="35">
        <v>45878</v>
      </c>
      <c r="C522" s="1" t="s">
        <v>267</v>
      </c>
      <c r="D522" s="1" t="str">
        <f t="shared" si="39"/>
        <v>FB</v>
      </c>
      <c r="E522" s="1" t="s">
        <v>1020</v>
      </c>
      <c r="F522" s="1"/>
      <c r="G522" s="1" t="s">
        <v>223</v>
      </c>
      <c r="H522" s="1" t="s">
        <v>149</v>
      </c>
      <c r="I522" s="1">
        <v>130000</v>
      </c>
      <c r="J522" s="45">
        <v>107520</v>
      </c>
      <c r="K522" s="1" t="str">
        <f>TRIM(Cleaned_CRM_Data!H522)</f>
        <v>Rejected</v>
      </c>
      <c r="L522" t="str">
        <f>IFERROR(VLOOKUP(K522, Status_Mapping!A:B, 2,), "Not Found")</f>
        <v>Rejected</v>
      </c>
      <c r="N522" s="29" t="str">
        <f>IF(M522="","",M522-B522)</f>
        <v/>
      </c>
      <c r="O522" s="1" t="str">
        <f t="shared" si="37"/>
        <v>Starter</v>
      </c>
      <c r="P522" t="str">
        <f>TEXT(B522, "mmmm")</f>
        <v>August</v>
      </c>
      <c r="Q522" t="str">
        <f t="shared" si="38"/>
        <v>Q3</v>
      </c>
      <c r="R522" t="str">
        <f>IFERROR(VLOOKUP(TRIM(CLEAN(G522)),Sheet14!$A$2:$B$19,2,FALSE),"Not Mapped")</f>
        <v>West</v>
      </c>
    </row>
    <row r="523" spans="1:18">
      <c r="A523" t="str">
        <f t="shared" si="36"/>
        <v>EOS0522</v>
      </c>
      <c r="B523" s="35">
        <v>45878</v>
      </c>
      <c r="C523" s="1" t="s">
        <v>267</v>
      </c>
      <c r="D523" s="1" t="str">
        <f t="shared" si="39"/>
        <v>FB</v>
      </c>
      <c r="E523" s="1" t="s">
        <v>1021</v>
      </c>
      <c r="F523" s="1"/>
      <c r="G523" s="1" t="s">
        <v>223</v>
      </c>
      <c r="H523" s="1" t="s">
        <v>149</v>
      </c>
      <c r="I523" s="1">
        <v>108000</v>
      </c>
      <c r="J523" s="45">
        <v>107521</v>
      </c>
      <c r="K523" s="1" t="str">
        <f>TRIM(Cleaned_CRM_Data!H523)</f>
        <v>Rejected</v>
      </c>
      <c r="L523" t="str">
        <f>IFERROR(VLOOKUP(K523, Status_Mapping!A:B, 2,), "Not Found")</f>
        <v>Rejected</v>
      </c>
      <c r="N523" s="29" t="str">
        <f>IF(M523="","",M523-B523)</f>
        <v/>
      </c>
      <c r="O523" s="1" t="str">
        <f t="shared" si="37"/>
        <v>Starter</v>
      </c>
      <c r="P523" t="str">
        <f>TEXT(B523, "mmmm")</f>
        <v>August</v>
      </c>
      <c r="Q523" t="str">
        <f t="shared" si="38"/>
        <v>Q3</v>
      </c>
      <c r="R523" t="str">
        <f>IFERROR(VLOOKUP(TRIM(CLEAN(G523)),Sheet14!$A$2:$B$19,2,FALSE),"Not Mapped")</f>
        <v>West</v>
      </c>
    </row>
    <row r="524" spans="1:18">
      <c r="A524" t="str">
        <f t="shared" si="36"/>
        <v>EOS0523</v>
      </c>
      <c r="B524" s="35">
        <v>45878</v>
      </c>
      <c r="C524" s="1" t="s">
        <v>267</v>
      </c>
      <c r="D524" s="1" t="str">
        <f t="shared" si="39"/>
        <v>FB</v>
      </c>
      <c r="E524" s="1" t="s">
        <v>1022</v>
      </c>
      <c r="F524" s="1"/>
      <c r="G524" s="1" t="s">
        <v>223</v>
      </c>
      <c r="H524" s="1" t="s">
        <v>149</v>
      </c>
      <c r="I524" s="1">
        <v>108000</v>
      </c>
      <c r="J524" s="45">
        <v>107522</v>
      </c>
      <c r="K524" s="1" t="str">
        <f>TRIM(Cleaned_CRM_Data!H524)</f>
        <v>Rejected</v>
      </c>
      <c r="L524" t="str">
        <f>IFERROR(VLOOKUP(K524, Status_Mapping!A:B, 2,), "Not Found")</f>
        <v>Rejected</v>
      </c>
      <c r="N524" s="29" t="str">
        <f>IF(M524="","",M524-B524)</f>
        <v/>
      </c>
      <c r="O524" s="1" t="str">
        <f t="shared" si="37"/>
        <v>Starter</v>
      </c>
      <c r="P524" t="str">
        <f>TEXT(B524, "mmmm")</f>
        <v>August</v>
      </c>
      <c r="Q524" t="str">
        <f t="shared" si="38"/>
        <v>Q3</v>
      </c>
      <c r="R524" t="str">
        <f>IFERROR(VLOOKUP(TRIM(CLEAN(G524)),Sheet14!$A$2:$B$19,2,FALSE),"Not Mapped")</f>
        <v>West</v>
      </c>
    </row>
    <row r="525" spans="1:18">
      <c r="A525" t="str">
        <f t="shared" si="36"/>
        <v>EOS0524</v>
      </c>
      <c r="B525" s="35">
        <v>45878</v>
      </c>
      <c r="C525" s="1" t="s">
        <v>267</v>
      </c>
      <c r="D525" s="1" t="str">
        <f t="shared" si="39"/>
        <v>FB</v>
      </c>
      <c r="E525" s="1" t="s">
        <v>1023</v>
      </c>
      <c r="F525" s="1"/>
      <c r="G525" s="1" t="s">
        <v>223</v>
      </c>
      <c r="H525" s="1" t="s">
        <v>149</v>
      </c>
      <c r="I525" s="1">
        <v>177000</v>
      </c>
      <c r="J525" s="45">
        <v>107523</v>
      </c>
      <c r="K525" s="1" t="str">
        <f>TRIM(Cleaned_CRM_Data!H525)</f>
        <v>Rejected</v>
      </c>
      <c r="L525" t="str">
        <f>IFERROR(VLOOKUP(K525, Status_Mapping!A:B, 2,), "Not Found")</f>
        <v>Rejected</v>
      </c>
      <c r="N525" s="29" t="str">
        <f>IF(M525="","",M525-B525)</f>
        <v/>
      </c>
      <c r="O525" s="1" t="str">
        <f t="shared" si="37"/>
        <v>Growth</v>
      </c>
      <c r="P525" t="str">
        <f>TEXT(B525, "mmmm")</f>
        <v>August</v>
      </c>
      <c r="Q525" t="str">
        <f t="shared" si="38"/>
        <v>Q3</v>
      </c>
      <c r="R525" t="str">
        <f>IFERROR(VLOOKUP(TRIM(CLEAN(G525)),Sheet14!$A$2:$B$19,2,FALSE),"Not Mapped")</f>
        <v>West</v>
      </c>
    </row>
    <row r="526" spans="1:18">
      <c r="A526" t="str">
        <f t="shared" si="36"/>
        <v>EOS0525</v>
      </c>
      <c r="B526" s="35">
        <v>45880</v>
      </c>
      <c r="C526" s="1" t="s">
        <v>267</v>
      </c>
      <c r="D526" s="1" t="str">
        <f t="shared" si="39"/>
        <v>FB</v>
      </c>
      <c r="E526" s="1" t="s">
        <v>1024</v>
      </c>
      <c r="F526" s="1"/>
      <c r="G526" s="1" t="s">
        <v>223</v>
      </c>
      <c r="H526" s="1" t="s">
        <v>149</v>
      </c>
      <c r="I526" s="1">
        <v>130000</v>
      </c>
      <c r="J526" s="45">
        <v>107524</v>
      </c>
      <c r="K526" s="1" t="str">
        <f>TRIM(Cleaned_CRM_Data!H526)</f>
        <v>Rejected</v>
      </c>
      <c r="L526" t="str">
        <f>IFERROR(VLOOKUP(K526, Status_Mapping!A:B, 2,), "Not Found")</f>
        <v>Rejected</v>
      </c>
      <c r="N526" s="29" t="str">
        <f>IF(M526="","",M526-B526)</f>
        <v/>
      </c>
      <c r="O526" s="1" t="str">
        <f t="shared" si="37"/>
        <v>Starter</v>
      </c>
      <c r="P526" t="str">
        <f>TEXT(B526, "mmmm")</f>
        <v>August</v>
      </c>
      <c r="Q526" t="str">
        <f t="shared" si="38"/>
        <v>Q3</v>
      </c>
      <c r="R526" t="str">
        <f>IFERROR(VLOOKUP(TRIM(CLEAN(G526)),Sheet14!$A$2:$B$19,2,FALSE),"Not Mapped")</f>
        <v>West</v>
      </c>
    </row>
    <row r="527" spans="1:18">
      <c r="A527" t="str">
        <f t="shared" si="36"/>
        <v>EOS0526</v>
      </c>
      <c r="B527" s="35">
        <v>45880</v>
      </c>
      <c r="C527" s="1" t="s">
        <v>267</v>
      </c>
      <c r="D527" s="1" t="str">
        <f t="shared" si="39"/>
        <v>FB</v>
      </c>
      <c r="E527" s="1" t="s">
        <v>1025</v>
      </c>
      <c r="F527" s="1"/>
      <c r="G527" s="1" t="s">
        <v>223</v>
      </c>
      <c r="H527" s="1" t="s">
        <v>149</v>
      </c>
      <c r="I527" s="1">
        <v>108000</v>
      </c>
      <c r="J527" s="45">
        <v>107525</v>
      </c>
      <c r="K527" s="1" t="str">
        <f>TRIM(Cleaned_CRM_Data!H527)</f>
        <v>Rejected</v>
      </c>
      <c r="L527" t="str">
        <f>IFERROR(VLOOKUP(K527, Status_Mapping!A:B, 2,), "Not Found")</f>
        <v>Rejected</v>
      </c>
      <c r="N527" s="29" t="str">
        <f>IF(M527="","",M527-B527)</f>
        <v/>
      </c>
      <c r="O527" s="1" t="str">
        <f t="shared" si="37"/>
        <v>Starter</v>
      </c>
      <c r="P527" t="str">
        <f>TEXT(B527, "mmmm")</f>
        <v>August</v>
      </c>
      <c r="Q527" t="str">
        <f t="shared" si="38"/>
        <v>Q3</v>
      </c>
      <c r="R527" t="str">
        <f>IFERROR(VLOOKUP(TRIM(CLEAN(G527)),Sheet14!$A$2:$B$19,2,FALSE),"Not Mapped")</f>
        <v>West</v>
      </c>
    </row>
    <row r="528" spans="1:18">
      <c r="A528" t="str">
        <f t="shared" si="36"/>
        <v>EOS0527</v>
      </c>
      <c r="B528" s="35">
        <v>45880</v>
      </c>
      <c r="C528" s="1" t="s">
        <v>267</v>
      </c>
      <c r="D528" s="1" t="str">
        <f t="shared" si="39"/>
        <v>FB</v>
      </c>
      <c r="E528" s="1" t="s">
        <v>1026</v>
      </c>
      <c r="F528" s="1"/>
      <c r="G528" s="1" t="s">
        <v>223</v>
      </c>
      <c r="H528" s="1" t="s">
        <v>149</v>
      </c>
      <c r="I528" s="1">
        <v>108000</v>
      </c>
      <c r="J528" s="45">
        <v>107526</v>
      </c>
      <c r="K528" s="1" t="str">
        <f>TRIM(Cleaned_CRM_Data!H528)</f>
        <v>Rejected</v>
      </c>
      <c r="L528" t="str">
        <f>IFERROR(VLOOKUP(K528, Status_Mapping!A:B, 2,), "Not Found")</f>
        <v>Rejected</v>
      </c>
      <c r="N528" s="29" t="str">
        <f>IF(M528="","",M528-B528)</f>
        <v/>
      </c>
      <c r="O528" s="1" t="str">
        <f t="shared" si="37"/>
        <v>Starter</v>
      </c>
      <c r="P528" t="str">
        <f>TEXT(B528, "mmmm")</f>
        <v>August</v>
      </c>
      <c r="Q528" t="str">
        <f t="shared" si="38"/>
        <v>Q3</v>
      </c>
      <c r="R528" t="str">
        <f>IFERROR(VLOOKUP(TRIM(CLEAN(G528)),Sheet14!$A$2:$B$19,2,FALSE),"Not Mapped")</f>
        <v>West</v>
      </c>
    </row>
    <row r="529" spans="1:18">
      <c r="A529" t="str">
        <f t="shared" si="36"/>
        <v>EOS0528</v>
      </c>
      <c r="B529" s="35">
        <v>45880</v>
      </c>
      <c r="C529" s="1" t="s">
        <v>267</v>
      </c>
      <c r="D529" s="1" t="str">
        <f t="shared" si="39"/>
        <v>FB</v>
      </c>
      <c r="E529" s="1" t="s">
        <v>1027</v>
      </c>
      <c r="F529" s="1"/>
      <c r="G529" s="1" t="s">
        <v>223</v>
      </c>
      <c r="H529" s="1" t="s">
        <v>149</v>
      </c>
      <c r="I529" s="1">
        <v>130000</v>
      </c>
      <c r="J529" s="45">
        <v>107527</v>
      </c>
      <c r="K529" s="1" t="str">
        <f>TRIM(Cleaned_CRM_Data!H529)</f>
        <v>Rejected</v>
      </c>
      <c r="L529" t="str">
        <f>IFERROR(VLOOKUP(K529, Status_Mapping!A:B, 2,), "Not Found")</f>
        <v>Rejected</v>
      </c>
      <c r="N529" s="29" t="str">
        <f>IF(M529="","",M529-B529)</f>
        <v/>
      </c>
      <c r="O529" s="1" t="str">
        <f t="shared" si="37"/>
        <v>Starter</v>
      </c>
      <c r="P529" t="str">
        <f>TEXT(B529, "mmmm")</f>
        <v>August</v>
      </c>
      <c r="Q529" t="str">
        <f t="shared" si="38"/>
        <v>Q3</v>
      </c>
      <c r="R529" t="str">
        <f>IFERROR(VLOOKUP(TRIM(CLEAN(G529)),Sheet14!$A$2:$B$19,2,FALSE),"Not Mapped")</f>
        <v>West</v>
      </c>
    </row>
    <row r="530" spans="1:18">
      <c r="A530" t="str">
        <f t="shared" si="36"/>
        <v>EOS0529</v>
      </c>
      <c r="B530" s="35">
        <v>45880</v>
      </c>
      <c r="C530" s="1" t="s">
        <v>267</v>
      </c>
      <c r="D530" s="1" t="str">
        <f t="shared" si="39"/>
        <v>FB</v>
      </c>
      <c r="E530" s="1" t="s">
        <v>1028</v>
      </c>
      <c r="F530" s="1"/>
      <c r="G530" s="1" t="s">
        <v>223</v>
      </c>
      <c r="H530" s="1" t="s">
        <v>149</v>
      </c>
      <c r="I530" s="1">
        <v>130000</v>
      </c>
      <c r="J530" s="45">
        <v>107528</v>
      </c>
      <c r="K530" s="1" t="str">
        <f>TRIM(Cleaned_CRM_Data!H530)</f>
        <v>Rejected</v>
      </c>
      <c r="L530" t="str">
        <f>IFERROR(VLOOKUP(K530, Status_Mapping!A:B, 2,), "Not Found")</f>
        <v>Rejected</v>
      </c>
      <c r="N530" s="29" t="str">
        <f>IF(M530="","",M530-B530)</f>
        <v/>
      </c>
      <c r="O530" s="1" t="str">
        <f t="shared" si="37"/>
        <v>Starter</v>
      </c>
      <c r="P530" t="str">
        <f>TEXT(B530, "mmmm")</f>
        <v>August</v>
      </c>
      <c r="Q530" t="str">
        <f t="shared" si="38"/>
        <v>Q3</v>
      </c>
      <c r="R530" t="str">
        <f>IFERROR(VLOOKUP(TRIM(CLEAN(G530)),Sheet14!$A$2:$B$19,2,FALSE),"Not Mapped")</f>
        <v>West</v>
      </c>
    </row>
    <row r="531" spans="1:18">
      <c r="A531" t="str">
        <f t="shared" si="36"/>
        <v>EOS0530</v>
      </c>
      <c r="B531" s="35">
        <v>45880</v>
      </c>
      <c r="C531" s="1" t="s">
        <v>267</v>
      </c>
      <c r="D531" s="1" t="str">
        <f t="shared" si="39"/>
        <v>FB</v>
      </c>
      <c r="E531" s="1" t="s">
        <v>1029</v>
      </c>
      <c r="F531" s="1" t="s">
        <v>601</v>
      </c>
      <c r="G531" s="1" t="s">
        <v>223</v>
      </c>
      <c r="H531" s="1" t="s">
        <v>149</v>
      </c>
      <c r="I531" s="1">
        <v>108000</v>
      </c>
      <c r="J531" s="45">
        <v>107529</v>
      </c>
      <c r="K531" s="1" t="str">
        <f>TRIM(Cleaned_CRM_Data!H531)</f>
        <v>Rejected</v>
      </c>
      <c r="L531" t="str">
        <f>IFERROR(VLOOKUP(K531, Status_Mapping!A:B, 2,), "Not Found")</f>
        <v>Rejected</v>
      </c>
      <c r="N531" s="29" t="str">
        <f>IF(M531="","",M531-B531)</f>
        <v/>
      </c>
      <c r="O531" s="1" t="str">
        <f t="shared" si="37"/>
        <v>Starter</v>
      </c>
      <c r="P531" t="str">
        <f>TEXT(B531, "mmmm")</f>
        <v>August</v>
      </c>
      <c r="Q531" t="str">
        <f t="shared" si="38"/>
        <v>Q3</v>
      </c>
      <c r="R531" t="str">
        <f>IFERROR(VLOOKUP(TRIM(CLEAN(G531)),Sheet14!$A$2:$B$19,2,FALSE),"Not Mapped")</f>
        <v>West</v>
      </c>
    </row>
    <row r="532" spans="1:18">
      <c r="A532" t="str">
        <f t="shared" si="36"/>
        <v>EOS0531</v>
      </c>
      <c r="B532" s="35">
        <v>45880</v>
      </c>
      <c r="C532" s="1" t="s">
        <v>267</v>
      </c>
      <c r="D532" s="1" t="str">
        <f t="shared" si="39"/>
        <v>FB</v>
      </c>
      <c r="E532" s="1" t="s">
        <v>1030</v>
      </c>
      <c r="F532" s="1"/>
      <c r="G532" s="1" t="s">
        <v>223</v>
      </c>
      <c r="H532" s="1" t="s">
        <v>149</v>
      </c>
      <c r="I532" s="1">
        <v>130000</v>
      </c>
      <c r="J532" s="45">
        <v>107530</v>
      </c>
      <c r="K532" s="1" t="str">
        <f>TRIM(Cleaned_CRM_Data!H532)</f>
        <v>Rejected</v>
      </c>
      <c r="L532" t="str">
        <f>IFERROR(VLOOKUP(K532, Status_Mapping!A:B, 2,), "Not Found")</f>
        <v>Rejected</v>
      </c>
      <c r="N532" s="29" t="str">
        <f>IF(M532="","",M532-B532)</f>
        <v/>
      </c>
      <c r="O532" s="1" t="str">
        <f t="shared" si="37"/>
        <v>Starter</v>
      </c>
      <c r="P532" t="str">
        <f>TEXT(B532, "mmmm")</f>
        <v>August</v>
      </c>
      <c r="Q532" t="str">
        <f t="shared" si="38"/>
        <v>Q3</v>
      </c>
      <c r="R532" t="str">
        <f>IFERROR(VLOOKUP(TRIM(CLEAN(G532)),Sheet14!$A$2:$B$19,2,FALSE),"Not Mapped")</f>
        <v>West</v>
      </c>
    </row>
    <row r="533" spans="1:18">
      <c r="A533" t="str">
        <f t="shared" si="36"/>
        <v>EOS0532</v>
      </c>
      <c r="B533" s="35">
        <v>45880</v>
      </c>
      <c r="C533" s="1" t="s">
        <v>267</v>
      </c>
      <c r="D533" s="1" t="str">
        <f t="shared" si="39"/>
        <v>FB</v>
      </c>
      <c r="E533" s="1" t="s">
        <v>1031</v>
      </c>
      <c r="F533" s="1" t="s">
        <v>304</v>
      </c>
      <c r="G533" s="1" t="s">
        <v>223</v>
      </c>
      <c r="H533" s="1" t="s">
        <v>149</v>
      </c>
      <c r="I533" s="1">
        <v>130000</v>
      </c>
      <c r="J533" s="45">
        <v>107531</v>
      </c>
      <c r="K533" s="1" t="str">
        <f>TRIM(Cleaned_CRM_Data!H533)</f>
        <v>Rejected</v>
      </c>
      <c r="L533" t="str">
        <f>IFERROR(VLOOKUP(K533, Status_Mapping!A:B, 2,), "Not Found")</f>
        <v>Rejected</v>
      </c>
      <c r="N533" s="29" t="str">
        <f>IF(M533="","",M533-B533)</f>
        <v/>
      </c>
      <c r="O533" s="1" t="str">
        <f t="shared" si="37"/>
        <v>Starter</v>
      </c>
      <c r="P533" t="str">
        <f>TEXT(B533, "mmmm")</f>
        <v>August</v>
      </c>
      <c r="Q533" t="str">
        <f t="shared" si="38"/>
        <v>Q3</v>
      </c>
      <c r="R533" t="str">
        <f>IFERROR(VLOOKUP(TRIM(CLEAN(G533)),Sheet14!$A$2:$B$19,2,FALSE),"Not Mapped")</f>
        <v>West</v>
      </c>
    </row>
    <row r="534" spans="1:18">
      <c r="A534" t="str">
        <f t="shared" si="36"/>
        <v>EOS0533</v>
      </c>
      <c r="B534" s="35">
        <v>45880</v>
      </c>
      <c r="C534" s="1" t="s">
        <v>267</v>
      </c>
      <c r="D534" s="1" t="str">
        <f t="shared" si="39"/>
        <v>FB</v>
      </c>
      <c r="E534" s="1" t="s">
        <v>1032</v>
      </c>
      <c r="F534" s="1"/>
      <c r="G534" s="1" t="s">
        <v>223</v>
      </c>
      <c r="H534" s="1" t="s">
        <v>149</v>
      </c>
      <c r="I534" s="1">
        <v>108000</v>
      </c>
      <c r="J534" s="45">
        <v>107532</v>
      </c>
      <c r="K534" s="1" t="str">
        <f>TRIM(Cleaned_CRM_Data!H534)</f>
        <v>Rejected</v>
      </c>
      <c r="L534" t="str">
        <f>IFERROR(VLOOKUP(K534, Status_Mapping!A:B, 2,), "Not Found")</f>
        <v>Rejected</v>
      </c>
      <c r="N534" s="29" t="str">
        <f>IF(M534="","",M534-B534)</f>
        <v/>
      </c>
      <c r="O534" s="1" t="str">
        <f t="shared" si="37"/>
        <v>Starter</v>
      </c>
      <c r="P534" t="str">
        <f>TEXT(B534, "mmmm")</f>
        <v>August</v>
      </c>
      <c r="Q534" t="str">
        <f t="shared" si="38"/>
        <v>Q3</v>
      </c>
      <c r="R534" t="str">
        <f>IFERROR(VLOOKUP(TRIM(CLEAN(G534)),Sheet14!$A$2:$B$19,2,FALSE),"Not Mapped")</f>
        <v>West</v>
      </c>
    </row>
    <row r="535" spans="1:18">
      <c r="A535" t="str">
        <f t="shared" si="36"/>
        <v>EOS0534</v>
      </c>
      <c r="B535" s="35">
        <v>45880</v>
      </c>
      <c r="C535" s="1" t="s">
        <v>267</v>
      </c>
      <c r="D535" s="1" t="str">
        <f t="shared" si="39"/>
        <v>FB</v>
      </c>
      <c r="E535" s="1" t="s">
        <v>1033</v>
      </c>
      <c r="F535" s="1" t="s">
        <v>275</v>
      </c>
      <c r="G535" s="1" t="s">
        <v>223</v>
      </c>
      <c r="H535" s="1" t="s">
        <v>149</v>
      </c>
      <c r="I535" s="1">
        <v>108000</v>
      </c>
      <c r="J535" s="45">
        <v>107533</v>
      </c>
      <c r="K535" s="1" t="str">
        <f>TRIM(Cleaned_CRM_Data!H535)</f>
        <v>Rejected</v>
      </c>
      <c r="L535" t="str">
        <f>IFERROR(VLOOKUP(K535, Status_Mapping!A:B, 2,), "Not Found")</f>
        <v>Rejected</v>
      </c>
      <c r="N535" s="29" t="str">
        <f>IF(M535="","",M535-B535)</f>
        <v/>
      </c>
      <c r="O535" s="1" t="str">
        <f t="shared" si="37"/>
        <v>Starter</v>
      </c>
      <c r="P535" t="str">
        <f>TEXT(B535, "mmmm")</f>
        <v>August</v>
      </c>
      <c r="Q535" t="str">
        <f t="shared" si="38"/>
        <v>Q3</v>
      </c>
      <c r="R535" t="str">
        <f>IFERROR(VLOOKUP(TRIM(CLEAN(G535)),Sheet14!$A$2:$B$19,2,FALSE),"Not Mapped")</f>
        <v>West</v>
      </c>
    </row>
    <row r="536" spans="1:18">
      <c r="A536" t="str">
        <f t="shared" si="36"/>
        <v>EOS0535</v>
      </c>
      <c r="B536" s="35">
        <v>45880</v>
      </c>
      <c r="C536" s="1" t="s">
        <v>267</v>
      </c>
      <c r="D536" s="1" t="str">
        <f t="shared" si="39"/>
        <v>FB</v>
      </c>
      <c r="E536" s="1" t="s">
        <v>1034</v>
      </c>
      <c r="F536" s="1"/>
      <c r="G536" s="1" t="s">
        <v>223</v>
      </c>
      <c r="H536" s="1" t="s">
        <v>149</v>
      </c>
      <c r="I536" s="1">
        <v>108000</v>
      </c>
      <c r="J536" s="45">
        <v>107534</v>
      </c>
      <c r="K536" s="1" t="str">
        <f>TRIM(Cleaned_CRM_Data!H536)</f>
        <v>Rejected</v>
      </c>
      <c r="L536" t="str">
        <f>IFERROR(VLOOKUP(K536, Status_Mapping!A:B, 2,), "Not Found")</f>
        <v>Rejected</v>
      </c>
      <c r="N536" s="29" t="str">
        <f>IF(M536="","",M536-B536)</f>
        <v/>
      </c>
      <c r="O536" s="1" t="str">
        <f t="shared" si="37"/>
        <v>Starter</v>
      </c>
      <c r="P536" t="str">
        <f>TEXT(B536, "mmmm")</f>
        <v>August</v>
      </c>
      <c r="Q536" t="str">
        <f t="shared" si="38"/>
        <v>Q3</v>
      </c>
      <c r="R536" t="str">
        <f>IFERROR(VLOOKUP(TRIM(CLEAN(G536)),Sheet14!$A$2:$B$19,2,FALSE),"Not Mapped")</f>
        <v>West</v>
      </c>
    </row>
    <row r="537" spans="1:18">
      <c r="A537" t="str">
        <f t="shared" si="36"/>
        <v>EOS0536</v>
      </c>
      <c r="B537" s="35">
        <v>45880</v>
      </c>
      <c r="C537" s="1" t="s">
        <v>911</v>
      </c>
      <c r="D537" s="1"/>
      <c r="E537" s="1" t="s">
        <v>1035</v>
      </c>
      <c r="F537" s="1"/>
      <c r="G537" s="1" t="s">
        <v>223</v>
      </c>
      <c r="H537" s="1" t="s">
        <v>149</v>
      </c>
      <c r="I537" s="1">
        <v>177000</v>
      </c>
      <c r="J537" s="45">
        <v>107535</v>
      </c>
      <c r="K537" s="1" t="str">
        <f>TRIM(Cleaned_CRM_Data!H537)</f>
        <v>Rejected</v>
      </c>
      <c r="L537" t="str">
        <f>IFERROR(VLOOKUP(K537, Status_Mapping!A:B, 2,), "Not Found")</f>
        <v>Rejected</v>
      </c>
      <c r="N537" s="29" t="str">
        <f>IF(M537="","",M537-B537)</f>
        <v/>
      </c>
      <c r="O537" s="1" t="str">
        <f t="shared" si="37"/>
        <v>Growth</v>
      </c>
      <c r="P537" t="str">
        <f>TEXT(B537, "mmmm")</f>
        <v>August</v>
      </c>
      <c r="Q537" t="str">
        <f t="shared" si="38"/>
        <v>Q3</v>
      </c>
      <c r="R537" t="str">
        <f>IFERROR(VLOOKUP(TRIM(CLEAN(G537)),Sheet14!$A$2:$B$19,2,FALSE),"Not Mapped")</f>
        <v>West</v>
      </c>
    </row>
    <row r="538" spans="1:18">
      <c r="A538" t="str">
        <f t="shared" si="36"/>
        <v>EOS0537</v>
      </c>
      <c r="B538" s="35">
        <v>45880</v>
      </c>
      <c r="C538" s="1" t="s">
        <v>911</v>
      </c>
      <c r="D538" s="1"/>
      <c r="E538" s="1" t="s">
        <v>1036</v>
      </c>
      <c r="F538" s="1"/>
      <c r="G538" s="1" t="s">
        <v>223</v>
      </c>
      <c r="H538" s="1" t="s">
        <v>149</v>
      </c>
      <c r="I538" s="1">
        <v>130000</v>
      </c>
      <c r="J538" s="45">
        <v>107536</v>
      </c>
      <c r="K538" s="1" t="str">
        <f>TRIM(Cleaned_CRM_Data!H538)</f>
        <v>Rejected</v>
      </c>
      <c r="L538" t="str">
        <f>IFERROR(VLOOKUP(K538, Status_Mapping!A:B, 2,), "Not Found")</f>
        <v>Rejected</v>
      </c>
      <c r="N538" s="29" t="str">
        <f>IF(M538="","",M538-B538)</f>
        <v/>
      </c>
      <c r="O538" s="1" t="str">
        <f t="shared" si="37"/>
        <v>Starter</v>
      </c>
      <c r="P538" t="str">
        <f>TEXT(B538, "mmmm")</f>
        <v>August</v>
      </c>
      <c r="Q538" t="str">
        <f t="shared" si="38"/>
        <v>Q3</v>
      </c>
      <c r="R538" t="str">
        <f>IFERROR(VLOOKUP(TRIM(CLEAN(G538)),Sheet14!$A$2:$B$19,2,FALSE),"Not Mapped")</f>
        <v>West</v>
      </c>
    </row>
    <row r="539" spans="1:18">
      <c r="A539" t="str">
        <f t="shared" si="36"/>
        <v>EOS0538</v>
      </c>
      <c r="B539" s="35">
        <v>45881</v>
      </c>
      <c r="C539" s="1" t="s">
        <v>267</v>
      </c>
      <c r="D539" s="1" t="str">
        <f t="shared" ref="D539:D543" si="40">TRIM(CLEAN(SUBSTITUTE(C539,CHAR(160),"")))</f>
        <v>FB</v>
      </c>
      <c r="E539" s="1" t="s">
        <v>1037</v>
      </c>
      <c r="F539" s="1"/>
      <c r="G539" s="1" t="s">
        <v>223</v>
      </c>
      <c r="H539" s="1" t="s">
        <v>149</v>
      </c>
      <c r="I539" s="1">
        <v>177000</v>
      </c>
      <c r="J539" s="45">
        <v>107537</v>
      </c>
      <c r="K539" s="1" t="str">
        <f>TRIM(Cleaned_CRM_Data!H539)</f>
        <v>Rejected</v>
      </c>
      <c r="L539" t="str">
        <f>IFERROR(VLOOKUP(K539, Status_Mapping!A:B, 2,), "Not Found")</f>
        <v>Rejected</v>
      </c>
      <c r="N539" s="29" t="str">
        <f>IF(M539="","",M539-B539)</f>
        <v/>
      </c>
      <c r="O539" s="1" t="str">
        <f t="shared" si="37"/>
        <v>Growth</v>
      </c>
      <c r="P539" t="str">
        <f>TEXT(B539, "mmmm")</f>
        <v>August</v>
      </c>
      <c r="Q539" t="str">
        <f t="shared" si="38"/>
        <v>Q3</v>
      </c>
      <c r="R539" t="str">
        <f>IFERROR(VLOOKUP(TRIM(CLEAN(G539)),Sheet14!$A$2:$B$19,2,FALSE),"Not Mapped")</f>
        <v>West</v>
      </c>
    </row>
    <row r="540" spans="1:18">
      <c r="A540" t="str">
        <f t="shared" si="36"/>
        <v>EOS0539</v>
      </c>
      <c r="B540" s="35">
        <v>45881</v>
      </c>
      <c r="C540" s="1" t="s">
        <v>267</v>
      </c>
      <c r="D540" s="1" t="str">
        <f t="shared" si="40"/>
        <v>FB</v>
      </c>
      <c r="E540" s="1" t="s">
        <v>1038</v>
      </c>
      <c r="F540" s="1" t="s">
        <v>875</v>
      </c>
      <c r="G540" s="1" t="s">
        <v>223</v>
      </c>
      <c r="H540" s="1" t="s">
        <v>149</v>
      </c>
      <c r="I540" s="1">
        <v>108000</v>
      </c>
      <c r="J540" s="45">
        <v>107538</v>
      </c>
      <c r="K540" s="1" t="str">
        <f>TRIM(Cleaned_CRM_Data!H540)</f>
        <v>Rejected</v>
      </c>
      <c r="L540" t="str">
        <f>IFERROR(VLOOKUP(K540, Status_Mapping!A:B, 2,), "Not Found")</f>
        <v>Rejected</v>
      </c>
      <c r="N540" s="29" t="str">
        <f>IF(M540="","",M540-B540)</f>
        <v/>
      </c>
      <c r="O540" s="1" t="str">
        <f t="shared" si="37"/>
        <v>Starter</v>
      </c>
      <c r="P540" t="str">
        <f>TEXT(B540, "mmmm")</f>
        <v>August</v>
      </c>
      <c r="Q540" t="str">
        <f t="shared" si="38"/>
        <v>Q3</v>
      </c>
      <c r="R540" t="str">
        <f>IFERROR(VLOOKUP(TRIM(CLEAN(G540)),Sheet14!$A$2:$B$19,2,FALSE),"Not Mapped")</f>
        <v>West</v>
      </c>
    </row>
    <row r="541" spans="1:18">
      <c r="A541" t="str">
        <f t="shared" si="36"/>
        <v>EOS0540</v>
      </c>
      <c r="B541" s="35">
        <v>45881</v>
      </c>
      <c r="C541" s="1" t="s">
        <v>267</v>
      </c>
      <c r="D541" s="1" t="str">
        <f t="shared" si="40"/>
        <v>FB</v>
      </c>
      <c r="E541" s="1" t="s">
        <v>1039</v>
      </c>
      <c r="F541" s="1"/>
      <c r="G541" s="1" t="s">
        <v>223</v>
      </c>
      <c r="H541" s="1" t="s">
        <v>149</v>
      </c>
      <c r="I541" s="1">
        <v>130000</v>
      </c>
      <c r="J541" s="45">
        <v>107539</v>
      </c>
      <c r="K541" s="1" t="str">
        <f>TRIM(Cleaned_CRM_Data!H541)</f>
        <v>Rejected</v>
      </c>
      <c r="L541" t="str">
        <f>IFERROR(VLOOKUP(K541, Status_Mapping!A:B, 2,), "Not Found")</f>
        <v>Rejected</v>
      </c>
      <c r="N541" s="29" t="str">
        <f>IF(M541="","",M541-B541)</f>
        <v/>
      </c>
      <c r="O541" s="1" t="str">
        <f t="shared" si="37"/>
        <v>Starter</v>
      </c>
      <c r="P541" t="str">
        <f>TEXT(B541, "mmmm")</f>
        <v>August</v>
      </c>
      <c r="Q541" t="str">
        <f t="shared" si="38"/>
        <v>Q3</v>
      </c>
      <c r="R541" t="str">
        <f>IFERROR(VLOOKUP(TRIM(CLEAN(G541)),Sheet14!$A$2:$B$19,2,FALSE),"Not Mapped")</f>
        <v>West</v>
      </c>
    </row>
    <row r="542" spans="1:18">
      <c r="A542" t="str">
        <f t="shared" si="36"/>
        <v>EOS0541</v>
      </c>
      <c r="B542" s="35">
        <v>45881</v>
      </c>
      <c r="C542" s="1" t="s">
        <v>267</v>
      </c>
      <c r="D542" s="1" t="str">
        <f t="shared" si="40"/>
        <v>FB</v>
      </c>
      <c r="E542" s="1" t="s">
        <v>1040</v>
      </c>
      <c r="F542" s="1"/>
      <c r="G542" s="1" t="s">
        <v>223</v>
      </c>
      <c r="H542" s="1" t="s">
        <v>149</v>
      </c>
      <c r="I542" s="1">
        <v>130000</v>
      </c>
      <c r="J542" s="45">
        <v>107540</v>
      </c>
      <c r="K542" s="1" t="str">
        <f>TRIM(Cleaned_CRM_Data!H542)</f>
        <v>Rejected</v>
      </c>
      <c r="L542" t="str">
        <f>IFERROR(VLOOKUP(K542, Status_Mapping!A:B, 2,), "Not Found")</f>
        <v>Rejected</v>
      </c>
      <c r="N542" s="29" t="str">
        <f>IF(M542="","",M542-B542)</f>
        <v/>
      </c>
      <c r="O542" s="1" t="str">
        <f t="shared" si="37"/>
        <v>Starter</v>
      </c>
      <c r="P542" t="str">
        <f>TEXT(B542, "mmmm")</f>
        <v>August</v>
      </c>
      <c r="Q542" t="str">
        <f t="shared" si="38"/>
        <v>Q3</v>
      </c>
      <c r="R542" t="str">
        <f>IFERROR(VLOOKUP(TRIM(CLEAN(G542)),Sheet14!$A$2:$B$19,2,FALSE),"Not Mapped")</f>
        <v>West</v>
      </c>
    </row>
    <row r="543" spans="1:18">
      <c r="A543" t="str">
        <f t="shared" si="36"/>
        <v>EOS0542</v>
      </c>
      <c r="B543" s="35">
        <v>45881</v>
      </c>
      <c r="C543" s="1" t="s">
        <v>267</v>
      </c>
      <c r="D543" s="1" t="str">
        <f t="shared" si="40"/>
        <v>FB</v>
      </c>
      <c r="E543" s="1" t="s">
        <v>1041</v>
      </c>
      <c r="F543" s="1"/>
      <c r="G543" s="1" t="s">
        <v>223</v>
      </c>
      <c r="H543" s="1" t="s">
        <v>149</v>
      </c>
      <c r="I543" s="1">
        <v>108000</v>
      </c>
      <c r="J543" s="45">
        <v>107541</v>
      </c>
      <c r="K543" s="1" t="str">
        <f>TRIM(Cleaned_CRM_Data!H543)</f>
        <v>Rejected</v>
      </c>
      <c r="L543" t="str">
        <f>IFERROR(VLOOKUP(K543, Status_Mapping!A:B, 2,), "Not Found")</f>
        <v>Rejected</v>
      </c>
      <c r="N543" s="29" t="str">
        <f>IF(M543="","",M543-B543)</f>
        <v/>
      </c>
      <c r="O543" s="1" t="str">
        <f t="shared" si="37"/>
        <v>Starter</v>
      </c>
      <c r="P543" t="str">
        <f>TEXT(B543, "mmmm")</f>
        <v>August</v>
      </c>
      <c r="Q543" t="str">
        <f t="shared" si="38"/>
        <v>Q3</v>
      </c>
      <c r="R543" t="str">
        <f>IFERROR(VLOOKUP(TRIM(CLEAN(G543)),Sheet14!$A$2:$B$19,2,FALSE),"Not Mapped")</f>
        <v>West</v>
      </c>
    </row>
    <row r="544" spans="1:18">
      <c r="A544" t="str">
        <f t="shared" si="36"/>
        <v>EOS0543</v>
      </c>
      <c r="B544" s="35">
        <v>45881</v>
      </c>
      <c r="C544" s="1" t="s">
        <v>911</v>
      </c>
      <c r="D544" s="1"/>
      <c r="E544" s="1" t="s">
        <v>1042</v>
      </c>
      <c r="F544" s="1"/>
      <c r="G544" s="1" t="s">
        <v>223</v>
      </c>
      <c r="H544" s="1" t="s">
        <v>149</v>
      </c>
      <c r="I544" s="1">
        <v>130000</v>
      </c>
      <c r="J544" s="45">
        <v>107542</v>
      </c>
      <c r="K544" s="1" t="str">
        <f>TRIM(Cleaned_CRM_Data!H544)</f>
        <v>Rejected</v>
      </c>
      <c r="L544" t="str">
        <f>IFERROR(VLOOKUP(K544, Status_Mapping!A:B, 2,), "Not Found")</f>
        <v>Rejected</v>
      </c>
      <c r="N544" s="29" t="str">
        <f>IF(M544="","",M544-B544)</f>
        <v/>
      </c>
      <c r="O544" s="1" t="str">
        <f t="shared" si="37"/>
        <v>Starter</v>
      </c>
      <c r="P544" t="str">
        <f>TEXT(B544, "mmmm")</f>
        <v>August</v>
      </c>
      <c r="Q544" t="str">
        <f t="shared" si="38"/>
        <v>Q3</v>
      </c>
      <c r="R544" t="str">
        <f>IFERROR(VLOOKUP(TRIM(CLEAN(G544)),Sheet14!$A$2:$B$19,2,FALSE),"Not Mapped")</f>
        <v>West</v>
      </c>
    </row>
    <row r="545" spans="1:18">
      <c r="A545" t="str">
        <f t="shared" si="36"/>
        <v>EOS0544</v>
      </c>
      <c r="B545" s="35">
        <v>45881</v>
      </c>
      <c r="C545" s="1" t="s">
        <v>911</v>
      </c>
      <c r="D545" s="1"/>
      <c r="E545" s="1" t="s">
        <v>1043</v>
      </c>
      <c r="F545" s="1"/>
      <c r="G545" s="1" t="s">
        <v>223</v>
      </c>
      <c r="H545" s="1" t="s">
        <v>149</v>
      </c>
      <c r="I545" s="1">
        <v>177000</v>
      </c>
      <c r="J545" s="45">
        <v>107543</v>
      </c>
      <c r="K545" s="1" t="str">
        <f>TRIM(Cleaned_CRM_Data!H545)</f>
        <v>Rejected</v>
      </c>
      <c r="L545" t="str">
        <f>IFERROR(VLOOKUP(K545, Status_Mapping!A:B, 2,), "Not Found")</f>
        <v>Rejected</v>
      </c>
      <c r="N545" s="29" t="str">
        <f>IF(M545="","",M545-B545)</f>
        <v/>
      </c>
      <c r="O545" s="1" t="str">
        <f t="shared" si="37"/>
        <v>Growth</v>
      </c>
      <c r="P545" t="str">
        <f>TEXT(B545, "mmmm")</f>
        <v>August</v>
      </c>
      <c r="Q545" t="str">
        <f t="shared" si="38"/>
        <v>Q3</v>
      </c>
      <c r="R545" t="str">
        <f>IFERROR(VLOOKUP(TRIM(CLEAN(G545)),Sheet14!$A$2:$B$19,2,FALSE),"Not Mapped")</f>
        <v>West</v>
      </c>
    </row>
    <row r="546" spans="1:18">
      <c r="A546" t="str">
        <f t="shared" si="36"/>
        <v>EOS0545</v>
      </c>
      <c r="B546" s="35">
        <v>45882</v>
      </c>
      <c r="C546" s="1" t="s">
        <v>267</v>
      </c>
      <c r="D546" s="1" t="str">
        <f t="shared" ref="D546:D551" si="41">TRIM(CLEAN(SUBSTITUTE(C546,CHAR(160),"")))</f>
        <v>FB</v>
      </c>
      <c r="E546" s="1" t="s">
        <v>1044</v>
      </c>
      <c r="F546" s="1" t="s">
        <v>1045</v>
      </c>
      <c r="G546" s="1" t="s">
        <v>223</v>
      </c>
      <c r="H546" s="1" t="s">
        <v>149</v>
      </c>
      <c r="I546" s="1">
        <v>130000</v>
      </c>
      <c r="J546" s="45">
        <v>107544</v>
      </c>
      <c r="K546" s="1" t="str">
        <f>TRIM(Cleaned_CRM_Data!H546)</f>
        <v>Rejected</v>
      </c>
      <c r="L546" t="str">
        <f>IFERROR(VLOOKUP(K546, Status_Mapping!A:B, 2,), "Not Found")</f>
        <v>Rejected</v>
      </c>
      <c r="N546" s="29" t="str">
        <f>IF(M546="","",M546-B546)</f>
        <v/>
      </c>
      <c r="O546" s="1" t="str">
        <f t="shared" si="37"/>
        <v>Starter</v>
      </c>
      <c r="P546" t="str">
        <f>TEXT(B546, "mmmm")</f>
        <v>August</v>
      </c>
      <c r="Q546" t="str">
        <f t="shared" si="38"/>
        <v>Q3</v>
      </c>
      <c r="R546" t="str">
        <f>IFERROR(VLOOKUP(TRIM(CLEAN(G546)),Sheet14!$A$2:$B$19,2,FALSE),"Not Mapped")</f>
        <v>West</v>
      </c>
    </row>
    <row r="547" spans="1:18">
      <c r="A547" t="str">
        <f t="shared" si="36"/>
        <v>EOS0546</v>
      </c>
      <c r="B547" s="35">
        <v>45882</v>
      </c>
      <c r="C547" s="1" t="s">
        <v>267</v>
      </c>
      <c r="D547" s="1" t="str">
        <f t="shared" si="41"/>
        <v>FB</v>
      </c>
      <c r="E547" s="1" t="s">
        <v>1046</v>
      </c>
      <c r="F547" s="1"/>
      <c r="G547" s="1" t="s">
        <v>223</v>
      </c>
      <c r="H547" s="1" t="s">
        <v>149</v>
      </c>
      <c r="I547" s="1">
        <v>130000</v>
      </c>
      <c r="J547" s="45">
        <v>107545</v>
      </c>
      <c r="K547" s="1" t="str">
        <f>TRIM(Cleaned_CRM_Data!H547)</f>
        <v>Rejected</v>
      </c>
      <c r="L547" t="str">
        <f>IFERROR(VLOOKUP(K547, Status_Mapping!A:B, 2,), "Not Found")</f>
        <v>Rejected</v>
      </c>
      <c r="N547" s="29" t="str">
        <f>IF(M547="","",M547-B547)</f>
        <v/>
      </c>
      <c r="O547" s="1" t="str">
        <f t="shared" si="37"/>
        <v>Starter</v>
      </c>
      <c r="P547" t="str">
        <f>TEXT(B547, "mmmm")</f>
        <v>August</v>
      </c>
      <c r="Q547" t="str">
        <f t="shared" si="38"/>
        <v>Q3</v>
      </c>
      <c r="R547" t="str">
        <f>IFERROR(VLOOKUP(TRIM(CLEAN(G547)),Sheet14!$A$2:$B$19,2,FALSE),"Not Mapped")</f>
        <v>West</v>
      </c>
    </row>
    <row r="548" spans="1:18">
      <c r="A548" t="str">
        <f t="shared" si="36"/>
        <v>EOS0547</v>
      </c>
      <c r="B548" s="35">
        <v>45882</v>
      </c>
      <c r="C548" s="1" t="s">
        <v>267</v>
      </c>
      <c r="D548" s="1" t="str">
        <f t="shared" si="41"/>
        <v>FB</v>
      </c>
      <c r="E548" s="1" t="s">
        <v>1047</v>
      </c>
      <c r="F548" s="1"/>
      <c r="G548" s="1" t="s">
        <v>223</v>
      </c>
      <c r="H548" s="1" t="s">
        <v>149</v>
      </c>
      <c r="I548" s="1">
        <v>130000</v>
      </c>
      <c r="J548" s="45">
        <v>107546</v>
      </c>
      <c r="K548" s="1" t="str">
        <f>TRIM(Cleaned_CRM_Data!H548)</f>
        <v>Rejected</v>
      </c>
      <c r="L548" t="str">
        <f>IFERROR(VLOOKUP(K548, Status_Mapping!A:B, 2,), "Not Found")</f>
        <v>Rejected</v>
      </c>
      <c r="N548" s="29" t="str">
        <f>IF(M548="","",M548-B548)</f>
        <v/>
      </c>
      <c r="O548" s="1" t="str">
        <f t="shared" si="37"/>
        <v>Starter</v>
      </c>
      <c r="P548" t="str">
        <f>TEXT(B548, "mmmm")</f>
        <v>August</v>
      </c>
      <c r="Q548" t="str">
        <f t="shared" si="38"/>
        <v>Q3</v>
      </c>
      <c r="R548" t="str">
        <f>IFERROR(VLOOKUP(TRIM(CLEAN(G548)),Sheet14!$A$2:$B$19,2,FALSE),"Not Mapped")</f>
        <v>West</v>
      </c>
    </row>
    <row r="549" spans="1:18">
      <c r="A549" t="str">
        <f t="shared" si="36"/>
        <v>EOS0548</v>
      </c>
      <c r="B549" s="35">
        <v>45882</v>
      </c>
      <c r="C549" s="1" t="s">
        <v>267</v>
      </c>
      <c r="D549" s="1" t="str">
        <f t="shared" si="41"/>
        <v>FB</v>
      </c>
      <c r="E549" s="1" t="s">
        <v>1048</v>
      </c>
      <c r="F549" s="1"/>
      <c r="G549" s="1" t="s">
        <v>223</v>
      </c>
      <c r="H549" s="1" t="s">
        <v>149</v>
      </c>
      <c r="I549" s="1">
        <v>130000</v>
      </c>
      <c r="J549" s="45">
        <v>107547</v>
      </c>
      <c r="K549" s="1" t="str">
        <f>TRIM(Cleaned_CRM_Data!H549)</f>
        <v>Rejected</v>
      </c>
      <c r="L549" t="str">
        <f>IFERROR(VLOOKUP(K549, Status_Mapping!A:B, 2,), "Not Found")</f>
        <v>Rejected</v>
      </c>
      <c r="N549" s="29" t="str">
        <f>IF(M549="","",M549-B549)</f>
        <v/>
      </c>
      <c r="O549" s="1" t="str">
        <f t="shared" si="37"/>
        <v>Starter</v>
      </c>
      <c r="P549" t="str">
        <f>TEXT(B549, "mmmm")</f>
        <v>August</v>
      </c>
      <c r="Q549" t="str">
        <f t="shared" si="38"/>
        <v>Q3</v>
      </c>
      <c r="R549" t="str">
        <f>IFERROR(VLOOKUP(TRIM(CLEAN(G549)),Sheet14!$A$2:$B$19,2,FALSE),"Not Mapped")</f>
        <v>West</v>
      </c>
    </row>
    <row r="550" spans="1:18">
      <c r="A550" t="str">
        <f t="shared" si="36"/>
        <v>EOS0549</v>
      </c>
      <c r="B550" s="35">
        <v>45882</v>
      </c>
      <c r="C550" s="1" t="s">
        <v>267</v>
      </c>
      <c r="D550" s="1" t="str">
        <f t="shared" si="41"/>
        <v>FB</v>
      </c>
      <c r="E550" s="1" t="s">
        <v>1047</v>
      </c>
      <c r="F550" s="1"/>
      <c r="G550" s="1" t="s">
        <v>223</v>
      </c>
      <c r="H550" s="1" t="s">
        <v>149</v>
      </c>
      <c r="I550" s="1">
        <v>108000</v>
      </c>
      <c r="J550" s="45">
        <v>107548</v>
      </c>
      <c r="K550" s="1" t="str">
        <f>TRIM(Cleaned_CRM_Data!H550)</f>
        <v>Rejected</v>
      </c>
      <c r="L550" t="str">
        <f>IFERROR(VLOOKUP(K550, Status_Mapping!A:B, 2,), "Not Found")</f>
        <v>Rejected</v>
      </c>
      <c r="N550" s="29" t="str">
        <f>IF(M550="","",M550-B550)</f>
        <v/>
      </c>
      <c r="O550" s="1" t="str">
        <f t="shared" si="37"/>
        <v>Starter</v>
      </c>
      <c r="P550" t="str">
        <f>TEXT(B550, "mmmm")</f>
        <v>August</v>
      </c>
      <c r="Q550" t="str">
        <f t="shared" si="38"/>
        <v>Q3</v>
      </c>
      <c r="R550" t="str">
        <f>IFERROR(VLOOKUP(TRIM(CLEAN(G550)),Sheet14!$A$2:$B$19,2,FALSE),"Not Mapped")</f>
        <v>West</v>
      </c>
    </row>
    <row r="551" spans="1:18">
      <c r="A551" t="str">
        <f t="shared" si="36"/>
        <v>EOS0550</v>
      </c>
      <c r="B551" s="35">
        <v>45882</v>
      </c>
      <c r="C551" s="1" t="s">
        <v>267</v>
      </c>
      <c r="D551" s="1" t="str">
        <f t="shared" si="41"/>
        <v>FB</v>
      </c>
      <c r="E551" s="1" t="s">
        <v>1049</v>
      </c>
      <c r="F551" s="1" t="s">
        <v>316</v>
      </c>
      <c r="G551" s="1" t="s">
        <v>223</v>
      </c>
      <c r="H551" s="1" t="s">
        <v>149</v>
      </c>
      <c r="I551" s="1">
        <v>108000</v>
      </c>
      <c r="J551" s="45">
        <v>107549</v>
      </c>
      <c r="K551" s="1" t="str">
        <f>TRIM(Cleaned_CRM_Data!H551)</f>
        <v>Rejected</v>
      </c>
      <c r="L551" t="str">
        <f>IFERROR(VLOOKUP(K551, Status_Mapping!A:B, 2,), "Not Found")</f>
        <v>Rejected</v>
      </c>
      <c r="N551" s="29" t="str">
        <f>IF(M551="","",M551-B551)</f>
        <v/>
      </c>
      <c r="O551" s="1" t="str">
        <f t="shared" si="37"/>
        <v>Starter</v>
      </c>
      <c r="P551" t="str">
        <f>TEXT(B551, "mmmm")</f>
        <v>August</v>
      </c>
      <c r="Q551" t="str">
        <f t="shared" si="38"/>
        <v>Q3</v>
      </c>
      <c r="R551" t="str">
        <f>IFERROR(VLOOKUP(TRIM(CLEAN(G551)),Sheet14!$A$2:$B$19,2,FALSE),"Not Mapped")</f>
        <v>West</v>
      </c>
    </row>
    <row r="552" spans="1:18">
      <c r="A552" t="str">
        <f t="shared" si="36"/>
        <v>EOS0551</v>
      </c>
      <c r="B552" s="35">
        <v>45882</v>
      </c>
      <c r="C552" s="1" t="s">
        <v>911</v>
      </c>
      <c r="D552" s="1"/>
      <c r="E552" s="1" t="s">
        <v>1050</v>
      </c>
      <c r="F552" s="1" t="s">
        <v>1051</v>
      </c>
      <c r="G552" s="1" t="s">
        <v>223</v>
      </c>
      <c r="H552" s="1" t="s">
        <v>149</v>
      </c>
      <c r="I552" s="1">
        <v>130000</v>
      </c>
      <c r="J552" s="45">
        <v>107550</v>
      </c>
      <c r="K552" s="1" t="str">
        <f>TRIM(Cleaned_CRM_Data!H552)</f>
        <v>Rejected</v>
      </c>
      <c r="L552" t="str">
        <f>IFERROR(VLOOKUP(K552, Status_Mapping!A:B, 2,), "Not Found")</f>
        <v>Rejected</v>
      </c>
      <c r="N552" s="29" t="str">
        <f>IF(M552="","",M552-B552)</f>
        <v/>
      </c>
      <c r="O552" s="1" t="str">
        <f t="shared" si="37"/>
        <v>Starter</v>
      </c>
      <c r="P552" t="str">
        <f>TEXT(B552, "mmmm")</f>
        <v>August</v>
      </c>
      <c r="Q552" t="str">
        <f t="shared" si="38"/>
        <v>Q3</v>
      </c>
      <c r="R552" t="str">
        <f>IFERROR(VLOOKUP(TRIM(CLEAN(G552)),Sheet14!$A$2:$B$19,2,FALSE),"Not Mapped")</f>
        <v>West</v>
      </c>
    </row>
    <row r="553" spans="1:18">
      <c r="A553" t="str">
        <f t="shared" si="36"/>
        <v>EOS0552</v>
      </c>
      <c r="B553" s="35">
        <v>45883</v>
      </c>
      <c r="C553" s="1" t="s">
        <v>267</v>
      </c>
      <c r="D553" s="1" t="str">
        <f t="shared" ref="D553:D556" si="42">TRIM(CLEAN(SUBSTITUTE(C553,CHAR(160),"")))</f>
        <v>FB</v>
      </c>
      <c r="E553" s="1" t="s">
        <v>1052</v>
      </c>
      <c r="F553" s="1"/>
      <c r="G553" s="1" t="s">
        <v>223</v>
      </c>
      <c r="H553" s="1" t="s">
        <v>149</v>
      </c>
      <c r="I553" s="1">
        <v>130000</v>
      </c>
      <c r="J553" s="45">
        <v>107551</v>
      </c>
      <c r="K553" s="1" t="str">
        <f>TRIM(Cleaned_CRM_Data!H553)</f>
        <v>Rejected</v>
      </c>
      <c r="L553" t="str">
        <f>IFERROR(VLOOKUP(K553, Status_Mapping!A:B, 2,), "Not Found")</f>
        <v>Rejected</v>
      </c>
      <c r="N553" s="29" t="str">
        <f>IF(M553="","",M553-B553)</f>
        <v/>
      </c>
      <c r="O553" s="1" t="str">
        <f t="shared" si="37"/>
        <v>Starter</v>
      </c>
      <c r="P553" t="str">
        <f>TEXT(B553, "mmmm")</f>
        <v>August</v>
      </c>
      <c r="Q553" t="str">
        <f t="shared" si="38"/>
        <v>Q3</v>
      </c>
      <c r="R553" t="str">
        <f>IFERROR(VLOOKUP(TRIM(CLEAN(G553)),Sheet14!$A$2:$B$19,2,FALSE),"Not Mapped")</f>
        <v>West</v>
      </c>
    </row>
    <row r="554" spans="1:18">
      <c r="A554" t="str">
        <f t="shared" si="36"/>
        <v>EOS0553</v>
      </c>
      <c r="B554" s="35">
        <v>45883</v>
      </c>
      <c r="C554" s="1" t="s">
        <v>267</v>
      </c>
      <c r="D554" s="1" t="str">
        <f t="shared" si="42"/>
        <v>FB</v>
      </c>
      <c r="E554" s="1" t="s">
        <v>1053</v>
      </c>
      <c r="F554" s="1"/>
      <c r="G554" s="1" t="s">
        <v>223</v>
      </c>
      <c r="H554" s="1" t="s">
        <v>149</v>
      </c>
      <c r="I554" s="1">
        <v>130000</v>
      </c>
      <c r="J554" s="45">
        <v>107552</v>
      </c>
      <c r="K554" s="1" t="str">
        <f>TRIM(Cleaned_CRM_Data!H554)</f>
        <v>Rejected</v>
      </c>
      <c r="L554" t="str">
        <f>IFERROR(VLOOKUP(K554, Status_Mapping!A:B, 2,), "Not Found")</f>
        <v>Rejected</v>
      </c>
      <c r="N554" s="29" t="str">
        <f>IF(M554="","",M554-B554)</f>
        <v/>
      </c>
      <c r="O554" s="1" t="str">
        <f t="shared" si="37"/>
        <v>Starter</v>
      </c>
      <c r="P554" t="str">
        <f>TEXT(B554, "mmmm")</f>
        <v>August</v>
      </c>
      <c r="Q554" t="str">
        <f t="shared" si="38"/>
        <v>Q3</v>
      </c>
      <c r="R554" t="str">
        <f>IFERROR(VLOOKUP(TRIM(CLEAN(G554)),Sheet14!$A$2:$B$19,2,FALSE),"Not Mapped")</f>
        <v>West</v>
      </c>
    </row>
    <row r="555" spans="1:18">
      <c r="A555" t="str">
        <f t="shared" si="36"/>
        <v>EOS0554</v>
      </c>
      <c r="B555" s="35">
        <v>45883</v>
      </c>
      <c r="C555" s="1" t="s">
        <v>267</v>
      </c>
      <c r="D555" s="1" t="str">
        <f t="shared" si="42"/>
        <v>FB</v>
      </c>
      <c r="E555" s="1" t="s">
        <v>1054</v>
      </c>
      <c r="F555" s="1" t="s">
        <v>1055</v>
      </c>
      <c r="G555" s="1" t="s">
        <v>223</v>
      </c>
      <c r="H555" s="1" t="s">
        <v>149</v>
      </c>
      <c r="I555" s="1">
        <v>308000</v>
      </c>
      <c r="J555" s="45">
        <v>107553</v>
      </c>
      <c r="K555" s="1" t="str">
        <f>TRIM(Cleaned_CRM_Data!H555)</f>
        <v>Rejected</v>
      </c>
      <c r="L555" t="str">
        <f>IFERROR(VLOOKUP(K555, Status_Mapping!A:B, 2,), "Not Found")</f>
        <v>Rejected</v>
      </c>
      <c r="N555" s="29" t="str">
        <f>IF(M555="","",M555-B555)</f>
        <v/>
      </c>
      <c r="O555" s="1" t="str">
        <f t="shared" si="37"/>
        <v>Premium</v>
      </c>
      <c r="P555" t="str">
        <f>TEXT(B555, "mmmm")</f>
        <v>August</v>
      </c>
      <c r="Q555" t="str">
        <f t="shared" si="38"/>
        <v>Q3</v>
      </c>
      <c r="R555" t="str">
        <f>IFERROR(VLOOKUP(TRIM(CLEAN(G555)),Sheet14!$A$2:$B$19,2,FALSE),"Not Mapped")</f>
        <v>West</v>
      </c>
    </row>
    <row r="556" spans="1:18">
      <c r="A556" t="str">
        <f t="shared" si="36"/>
        <v>EOS0555</v>
      </c>
      <c r="B556" s="35">
        <v>45883</v>
      </c>
      <c r="C556" s="1" t="s">
        <v>267</v>
      </c>
      <c r="D556" s="1" t="str">
        <f t="shared" si="42"/>
        <v>FB</v>
      </c>
      <c r="E556" s="1" t="s">
        <v>1056</v>
      </c>
      <c r="F556" s="1"/>
      <c r="G556" s="1" t="s">
        <v>223</v>
      </c>
      <c r="H556" s="1" t="s">
        <v>149</v>
      </c>
      <c r="I556" s="1">
        <v>130000</v>
      </c>
      <c r="J556" s="45">
        <v>107554</v>
      </c>
      <c r="K556" s="1" t="str">
        <f>TRIM(Cleaned_CRM_Data!H556)</f>
        <v>Rejected</v>
      </c>
      <c r="L556" t="str">
        <f>IFERROR(VLOOKUP(K556, Status_Mapping!A:B, 2,), "Not Found")</f>
        <v>Rejected</v>
      </c>
      <c r="N556" s="29" t="str">
        <f>IF(M556="","",M556-B556)</f>
        <v/>
      </c>
      <c r="O556" s="1" t="str">
        <f t="shared" si="37"/>
        <v>Starter</v>
      </c>
      <c r="P556" t="str">
        <f>TEXT(B556, "mmmm")</f>
        <v>August</v>
      </c>
      <c r="Q556" t="str">
        <f t="shared" si="38"/>
        <v>Q3</v>
      </c>
      <c r="R556" t="str">
        <f>IFERROR(VLOOKUP(TRIM(CLEAN(G556)),Sheet14!$A$2:$B$19,2,FALSE),"Not Mapped")</f>
        <v>West</v>
      </c>
    </row>
    <row r="557" spans="1:18">
      <c r="A557" t="str">
        <f t="shared" si="36"/>
        <v>EOS0556</v>
      </c>
      <c r="B557" s="35">
        <v>45883</v>
      </c>
      <c r="C557" s="1" t="s">
        <v>911</v>
      </c>
      <c r="D557" s="1"/>
      <c r="E557" s="1" t="s">
        <v>1057</v>
      </c>
      <c r="F557" s="1"/>
      <c r="G557" s="1" t="s">
        <v>223</v>
      </c>
      <c r="H557" s="1" t="s">
        <v>149</v>
      </c>
      <c r="I557" s="1">
        <v>108000</v>
      </c>
      <c r="J557" s="45">
        <v>107555</v>
      </c>
      <c r="K557" s="1" t="str">
        <f>TRIM(Cleaned_CRM_Data!H557)</f>
        <v>Rejected</v>
      </c>
      <c r="L557" t="str">
        <f>IFERROR(VLOOKUP(K557, Status_Mapping!A:B, 2,), "Not Found")</f>
        <v>Rejected</v>
      </c>
      <c r="N557" s="29" t="str">
        <f>IF(M557="","",M557-B557)</f>
        <v/>
      </c>
      <c r="O557" s="1" t="str">
        <f t="shared" si="37"/>
        <v>Starter</v>
      </c>
      <c r="P557" t="str">
        <f>TEXT(B557, "mmmm")</f>
        <v>August</v>
      </c>
      <c r="Q557" t="str">
        <f t="shared" si="38"/>
        <v>Q3</v>
      </c>
      <c r="R557" t="str">
        <f>IFERROR(VLOOKUP(TRIM(CLEAN(G557)),Sheet14!$A$2:$B$19,2,FALSE),"Not Mapped")</f>
        <v>West</v>
      </c>
    </row>
    <row r="558" spans="1:18">
      <c r="A558" t="str">
        <f t="shared" si="36"/>
        <v>EOS0557</v>
      </c>
      <c r="B558" s="35">
        <v>45885</v>
      </c>
      <c r="C558" s="1" t="s">
        <v>267</v>
      </c>
      <c r="D558" s="1" t="str">
        <f t="shared" ref="D558:D571" si="43">TRIM(CLEAN(SUBSTITUTE(C558,CHAR(160),"")))</f>
        <v>FB</v>
      </c>
      <c r="E558" s="1" t="s">
        <v>1058</v>
      </c>
      <c r="F558" s="1" t="s">
        <v>1059</v>
      </c>
      <c r="G558" s="1" t="s">
        <v>223</v>
      </c>
      <c r="H558" s="1" t="s">
        <v>149</v>
      </c>
      <c r="I558" s="1">
        <v>177000</v>
      </c>
      <c r="J558" s="45">
        <v>107556</v>
      </c>
      <c r="K558" s="1" t="str">
        <f>TRIM(Cleaned_CRM_Data!H558)</f>
        <v>Rejected</v>
      </c>
      <c r="L558" t="str">
        <f>IFERROR(VLOOKUP(K558, Status_Mapping!A:B, 2,), "Not Found")</f>
        <v>Rejected</v>
      </c>
      <c r="N558" s="29" t="str">
        <f>IF(M558="","",M558-B558)</f>
        <v/>
      </c>
      <c r="O558" s="1" t="str">
        <f t="shared" si="37"/>
        <v>Growth</v>
      </c>
      <c r="P558" t="str">
        <f>TEXT(B558, "mmmm")</f>
        <v>August</v>
      </c>
      <c r="Q558" t="str">
        <f t="shared" si="38"/>
        <v>Q3</v>
      </c>
      <c r="R558" t="str">
        <f>IFERROR(VLOOKUP(TRIM(CLEAN(G558)),Sheet14!$A$2:$B$19,2,FALSE),"Not Mapped")</f>
        <v>West</v>
      </c>
    </row>
    <row r="559" spans="1:18">
      <c r="A559" t="str">
        <f t="shared" si="36"/>
        <v>EOS0558</v>
      </c>
      <c r="B559" s="35">
        <v>45885</v>
      </c>
      <c r="C559" s="1" t="s">
        <v>267</v>
      </c>
      <c r="D559" s="1" t="str">
        <f t="shared" si="43"/>
        <v>FB</v>
      </c>
      <c r="E559" s="1" t="s">
        <v>306</v>
      </c>
      <c r="F559" s="1"/>
      <c r="G559" s="1" t="s">
        <v>223</v>
      </c>
      <c r="H559" s="1" t="s">
        <v>149</v>
      </c>
      <c r="I559" s="1">
        <v>108000</v>
      </c>
      <c r="J559" s="45">
        <v>107557</v>
      </c>
      <c r="K559" s="1" t="str">
        <f>TRIM(Cleaned_CRM_Data!H559)</f>
        <v>Rejected</v>
      </c>
      <c r="L559" t="str">
        <f>IFERROR(VLOOKUP(K559, Status_Mapping!A:B, 2,), "Not Found")</f>
        <v>Rejected</v>
      </c>
      <c r="N559" s="29" t="str">
        <f>IF(M559="","",M559-B559)</f>
        <v/>
      </c>
      <c r="O559" s="1" t="str">
        <f t="shared" si="37"/>
        <v>Starter</v>
      </c>
      <c r="P559" t="str">
        <f>TEXT(B559, "mmmm")</f>
        <v>August</v>
      </c>
      <c r="Q559" t="str">
        <f t="shared" si="38"/>
        <v>Q3</v>
      </c>
      <c r="R559" t="str">
        <f>IFERROR(VLOOKUP(TRIM(CLEAN(G559)),Sheet14!$A$2:$B$19,2,FALSE),"Not Mapped")</f>
        <v>West</v>
      </c>
    </row>
    <row r="560" spans="1:18">
      <c r="A560" t="str">
        <f t="shared" si="36"/>
        <v>EOS0559</v>
      </c>
      <c r="B560" s="35">
        <v>45885</v>
      </c>
      <c r="C560" s="1" t="s">
        <v>267</v>
      </c>
      <c r="D560" s="1" t="str">
        <f t="shared" si="43"/>
        <v>FB</v>
      </c>
      <c r="E560" s="1" t="s">
        <v>1060</v>
      </c>
      <c r="F560" s="1" t="s">
        <v>275</v>
      </c>
      <c r="G560" s="1" t="s">
        <v>223</v>
      </c>
      <c r="H560" s="1" t="s">
        <v>149</v>
      </c>
      <c r="I560" s="1">
        <v>108000</v>
      </c>
      <c r="J560" s="45">
        <v>107558</v>
      </c>
      <c r="K560" s="1" t="str">
        <f>TRIM(Cleaned_CRM_Data!H560)</f>
        <v>Rejected</v>
      </c>
      <c r="L560" t="str">
        <f>IFERROR(VLOOKUP(K560, Status_Mapping!A:B, 2,), "Not Found")</f>
        <v>Rejected</v>
      </c>
      <c r="N560" s="29" t="str">
        <f>IF(M560="","",M560-B560)</f>
        <v/>
      </c>
      <c r="O560" s="1" t="str">
        <f t="shared" si="37"/>
        <v>Starter</v>
      </c>
      <c r="P560" t="str">
        <f>TEXT(B560, "mmmm")</f>
        <v>August</v>
      </c>
      <c r="Q560" t="str">
        <f t="shared" si="38"/>
        <v>Q3</v>
      </c>
      <c r="R560" t="str">
        <f>IFERROR(VLOOKUP(TRIM(CLEAN(G560)),Sheet14!$A$2:$B$19,2,FALSE),"Not Mapped")</f>
        <v>West</v>
      </c>
    </row>
    <row r="561" spans="1:18">
      <c r="A561" t="str">
        <f t="shared" si="36"/>
        <v>EOS0560</v>
      </c>
      <c r="B561" s="35">
        <v>45885</v>
      </c>
      <c r="C561" s="1" t="s">
        <v>267</v>
      </c>
      <c r="D561" s="1" t="str">
        <f t="shared" si="43"/>
        <v>FB</v>
      </c>
      <c r="E561" s="1" t="s">
        <v>1061</v>
      </c>
      <c r="F561" s="1"/>
      <c r="G561" s="1" t="s">
        <v>223</v>
      </c>
      <c r="H561" s="1" t="s">
        <v>149</v>
      </c>
      <c r="I561" s="1">
        <v>177000</v>
      </c>
      <c r="J561" s="45">
        <v>107559</v>
      </c>
      <c r="K561" s="1" t="str">
        <f>TRIM(Cleaned_CRM_Data!H561)</f>
        <v>Rejected</v>
      </c>
      <c r="L561" t="str">
        <f>IFERROR(VLOOKUP(K561, Status_Mapping!A:B, 2,), "Not Found")</f>
        <v>Rejected</v>
      </c>
      <c r="N561" s="29" t="str">
        <f>IF(M561="","",M561-B561)</f>
        <v/>
      </c>
      <c r="O561" s="1" t="str">
        <f t="shared" si="37"/>
        <v>Growth</v>
      </c>
      <c r="P561" t="str">
        <f>TEXT(B561, "mmmm")</f>
        <v>August</v>
      </c>
      <c r="Q561" t="str">
        <f t="shared" si="38"/>
        <v>Q3</v>
      </c>
      <c r="R561" t="str">
        <f>IFERROR(VLOOKUP(TRIM(CLEAN(G561)),Sheet14!$A$2:$B$19,2,FALSE),"Not Mapped")</f>
        <v>West</v>
      </c>
    </row>
    <row r="562" spans="1:18">
      <c r="A562" t="str">
        <f t="shared" si="36"/>
        <v>EOS0561</v>
      </c>
      <c r="B562" s="35">
        <v>45885</v>
      </c>
      <c r="C562" s="1" t="s">
        <v>267</v>
      </c>
      <c r="D562" s="1" t="str">
        <f t="shared" si="43"/>
        <v>FB</v>
      </c>
      <c r="E562" s="1" t="s">
        <v>1062</v>
      </c>
      <c r="F562" s="1"/>
      <c r="G562" s="1" t="s">
        <v>223</v>
      </c>
      <c r="H562" s="1" t="s">
        <v>149</v>
      </c>
      <c r="I562" s="1">
        <v>130000</v>
      </c>
      <c r="J562" s="45">
        <v>107560</v>
      </c>
      <c r="K562" s="1" t="str">
        <f>TRIM(Cleaned_CRM_Data!H562)</f>
        <v>Rejected</v>
      </c>
      <c r="L562" t="str">
        <f>IFERROR(VLOOKUP(K562, Status_Mapping!A:B, 2,), "Not Found")</f>
        <v>Rejected</v>
      </c>
      <c r="N562" s="29" t="str">
        <f>IF(M562="","",M562-B562)</f>
        <v/>
      </c>
      <c r="O562" s="1" t="str">
        <f t="shared" si="37"/>
        <v>Starter</v>
      </c>
      <c r="P562" t="str">
        <f>TEXT(B562, "mmmm")</f>
        <v>August</v>
      </c>
      <c r="Q562" t="str">
        <f t="shared" si="38"/>
        <v>Q3</v>
      </c>
      <c r="R562" t="str">
        <f>IFERROR(VLOOKUP(TRIM(CLEAN(G562)),Sheet14!$A$2:$B$19,2,FALSE),"Not Mapped")</f>
        <v>West</v>
      </c>
    </row>
    <row r="563" spans="1:18">
      <c r="A563" t="str">
        <f t="shared" si="36"/>
        <v>EOS0562</v>
      </c>
      <c r="B563" s="35">
        <v>45885</v>
      </c>
      <c r="C563" s="1" t="s">
        <v>267</v>
      </c>
      <c r="D563" s="1" t="str">
        <f t="shared" si="43"/>
        <v>FB</v>
      </c>
      <c r="E563" s="1" t="s">
        <v>669</v>
      </c>
      <c r="F563" s="1"/>
      <c r="G563" s="1" t="s">
        <v>223</v>
      </c>
      <c r="H563" s="1" t="s">
        <v>149</v>
      </c>
      <c r="I563" s="1">
        <v>130000</v>
      </c>
      <c r="J563" s="45">
        <v>107561</v>
      </c>
      <c r="K563" s="1" t="str">
        <f>TRIM(Cleaned_CRM_Data!H563)</f>
        <v>Rejected</v>
      </c>
      <c r="L563" t="str">
        <f>IFERROR(VLOOKUP(K563, Status_Mapping!A:B, 2,), "Not Found")</f>
        <v>Rejected</v>
      </c>
      <c r="N563" s="29" t="str">
        <f>IF(M563="","",M563-B563)</f>
        <v/>
      </c>
      <c r="O563" s="1" t="str">
        <f t="shared" si="37"/>
        <v>Starter</v>
      </c>
      <c r="P563" t="str">
        <f>TEXT(B563, "mmmm")</f>
        <v>August</v>
      </c>
      <c r="Q563" t="str">
        <f t="shared" si="38"/>
        <v>Q3</v>
      </c>
      <c r="R563" t="str">
        <f>IFERROR(VLOOKUP(TRIM(CLEAN(G563)),Sheet14!$A$2:$B$19,2,FALSE),"Not Mapped")</f>
        <v>West</v>
      </c>
    </row>
    <row r="564" spans="1:18">
      <c r="A564" t="str">
        <f t="shared" si="36"/>
        <v>EOS0563</v>
      </c>
      <c r="B564" s="35">
        <v>45885</v>
      </c>
      <c r="C564" s="1" t="s">
        <v>267</v>
      </c>
      <c r="D564" s="1" t="str">
        <f t="shared" si="43"/>
        <v>FB</v>
      </c>
      <c r="E564" s="1" t="s">
        <v>1063</v>
      </c>
      <c r="F564" s="1"/>
      <c r="G564" s="1" t="s">
        <v>223</v>
      </c>
      <c r="H564" s="1" t="s">
        <v>149</v>
      </c>
      <c r="I564" s="1">
        <v>177000</v>
      </c>
      <c r="J564" s="45">
        <v>107562</v>
      </c>
      <c r="K564" s="1" t="str">
        <f>TRIM(Cleaned_CRM_Data!H564)</f>
        <v>Rejected</v>
      </c>
      <c r="L564" t="str">
        <f>IFERROR(VLOOKUP(K564, Status_Mapping!A:B, 2,), "Not Found")</f>
        <v>Rejected</v>
      </c>
      <c r="N564" s="29" t="str">
        <f>IF(M564="","",M564-B564)</f>
        <v/>
      </c>
      <c r="O564" s="1" t="str">
        <f t="shared" si="37"/>
        <v>Growth</v>
      </c>
      <c r="P564" t="str">
        <f>TEXT(B564, "mmmm")</f>
        <v>August</v>
      </c>
      <c r="Q564" t="str">
        <f t="shared" si="38"/>
        <v>Q3</v>
      </c>
      <c r="R564" t="str">
        <f>IFERROR(VLOOKUP(TRIM(CLEAN(G564)),Sheet14!$A$2:$B$19,2,FALSE),"Not Mapped")</f>
        <v>West</v>
      </c>
    </row>
    <row r="565" spans="1:18">
      <c r="A565" t="str">
        <f t="shared" si="36"/>
        <v>EOS0564</v>
      </c>
      <c r="B565" s="35">
        <v>45885</v>
      </c>
      <c r="C565" s="1" t="s">
        <v>267</v>
      </c>
      <c r="D565" s="1" t="str">
        <f t="shared" si="43"/>
        <v>FB</v>
      </c>
      <c r="E565" s="1" t="s">
        <v>1064</v>
      </c>
      <c r="F565" s="1"/>
      <c r="G565" s="1" t="s">
        <v>223</v>
      </c>
      <c r="H565" s="1" t="s">
        <v>149</v>
      </c>
      <c r="I565" s="1">
        <v>108000</v>
      </c>
      <c r="J565" s="45">
        <v>107563</v>
      </c>
      <c r="K565" s="1" t="str">
        <f>TRIM(Cleaned_CRM_Data!H565)</f>
        <v>Rejected</v>
      </c>
      <c r="L565" t="str">
        <f>IFERROR(VLOOKUP(K565, Status_Mapping!A:B, 2,), "Not Found")</f>
        <v>Rejected</v>
      </c>
      <c r="N565" s="29" t="str">
        <f>IF(M565="","",M565-B565)</f>
        <v/>
      </c>
      <c r="O565" s="1" t="str">
        <f t="shared" si="37"/>
        <v>Starter</v>
      </c>
      <c r="P565" t="str">
        <f>TEXT(B565, "mmmm")</f>
        <v>August</v>
      </c>
      <c r="Q565" t="str">
        <f t="shared" si="38"/>
        <v>Q3</v>
      </c>
      <c r="R565" t="str">
        <f>IFERROR(VLOOKUP(TRIM(CLEAN(G565)),Sheet14!$A$2:$B$19,2,FALSE),"Not Mapped")</f>
        <v>West</v>
      </c>
    </row>
    <row r="566" spans="1:18">
      <c r="A566" t="str">
        <f t="shared" si="36"/>
        <v>EOS0565</v>
      </c>
      <c r="B566" s="35">
        <v>45885</v>
      </c>
      <c r="C566" s="1" t="s">
        <v>267</v>
      </c>
      <c r="D566" s="1" t="str">
        <f t="shared" si="43"/>
        <v>FB</v>
      </c>
      <c r="E566" s="1" t="s">
        <v>1065</v>
      </c>
      <c r="F566" s="1"/>
      <c r="G566" s="1" t="s">
        <v>223</v>
      </c>
      <c r="H566" s="1" t="s">
        <v>149</v>
      </c>
      <c r="I566" s="1">
        <v>130000</v>
      </c>
      <c r="J566" s="45">
        <v>107564</v>
      </c>
      <c r="K566" s="1" t="str">
        <f>TRIM(Cleaned_CRM_Data!H566)</f>
        <v>Rejected</v>
      </c>
      <c r="L566" t="str">
        <f>IFERROR(VLOOKUP(K566, Status_Mapping!A:B, 2,), "Not Found")</f>
        <v>Rejected</v>
      </c>
      <c r="N566" s="29" t="str">
        <f>IF(M566="","",M566-B566)</f>
        <v/>
      </c>
      <c r="O566" s="1" t="str">
        <f t="shared" si="37"/>
        <v>Starter</v>
      </c>
      <c r="P566" t="str">
        <f>TEXT(B566, "mmmm")</f>
        <v>August</v>
      </c>
      <c r="Q566" t="str">
        <f t="shared" si="38"/>
        <v>Q3</v>
      </c>
      <c r="R566" t="str">
        <f>IFERROR(VLOOKUP(TRIM(CLEAN(G566)),Sheet14!$A$2:$B$19,2,FALSE),"Not Mapped")</f>
        <v>West</v>
      </c>
    </row>
    <row r="567" spans="1:18">
      <c r="A567" t="str">
        <f t="shared" si="36"/>
        <v>EOS0566</v>
      </c>
      <c r="B567" s="35">
        <v>45885</v>
      </c>
      <c r="C567" s="1" t="s">
        <v>267</v>
      </c>
      <c r="D567" s="1" t="str">
        <f t="shared" si="43"/>
        <v>FB</v>
      </c>
      <c r="E567" s="1" t="s">
        <v>1066</v>
      </c>
      <c r="F567" s="1"/>
      <c r="G567" s="1" t="s">
        <v>223</v>
      </c>
      <c r="H567" s="1" t="s">
        <v>149</v>
      </c>
      <c r="I567" s="1">
        <v>108000</v>
      </c>
      <c r="J567" s="45">
        <v>107565</v>
      </c>
      <c r="K567" s="1" t="str">
        <f>TRIM(Cleaned_CRM_Data!H567)</f>
        <v>Rejected</v>
      </c>
      <c r="L567" t="str">
        <f>IFERROR(VLOOKUP(K567, Status_Mapping!A:B, 2,), "Not Found")</f>
        <v>Rejected</v>
      </c>
      <c r="N567" s="29" t="str">
        <f>IF(M567="","",M567-B567)</f>
        <v/>
      </c>
      <c r="O567" s="1" t="str">
        <f t="shared" si="37"/>
        <v>Starter</v>
      </c>
      <c r="P567" t="str">
        <f>TEXT(B567, "mmmm")</f>
        <v>August</v>
      </c>
      <c r="Q567" t="str">
        <f t="shared" si="38"/>
        <v>Q3</v>
      </c>
      <c r="R567" t="str">
        <f>IFERROR(VLOOKUP(TRIM(CLEAN(G567)),Sheet14!$A$2:$B$19,2,FALSE),"Not Mapped")</f>
        <v>West</v>
      </c>
    </row>
    <row r="568" spans="1:18">
      <c r="A568" t="str">
        <f t="shared" si="36"/>
        <v>EOS0567</v>
      </c>
      <c r="B568" s="35">
        <v>45885</v>
      </c>
      <c r="C568" s="1" t="s">
        <v>267</v>
      </c>
      <c r="D568" s="1" t="str">
        <f t="shared" si="43"/>
        <v>FB</v>
      </c>
      <c r="E568" s="1" t="s">
        <v>1067</v>
      </c>
      <c r="F568" s="1"/>
      <c r="G568" s="1" t="s">
        <v>223</v>
      </c>
      <c r="H568" s="1" t="s">
        <v>149</v>
      </c>
      <c r="I568" s="1">
        <v>130000</v>
      </c>
      <c r="J568" s="45">
        <v>107566</v>
      </c>
      <c r="K568" s="1" t="str">
        <f>TRIM(Cleaned_CRM_Data!H568)</f>
        <v>Rejected</v>
      </c>
      <c r="L568" t="str">
        <f>IFERROR(VLOOKUP(K568, Status_Mapping!A:B, 2,), "Not Found")</f>
        <v>Rejected</v>
      </c>
      <c r="N568" s="29" t="str">
        <f>IF(M568="","",M568-B568)</f>
        <v/>
      </c>
      <c r="O568" s="1" t="str">
        <f t="shared" si="37"/>
        <v>Starter</v>
      </c>
      <c r="P568" t="str">
        <f>TEXT(B568, "mmmm")</f>
        <v>August</v>
      </c>
      <c r="Q568" t="str">
        <f t="shared" si="38"/>
        <v>Q3</v>
      </c>
      <c r="R568" t="str">
        <f>IFERROR(VLOOKUP(TRIM(CLEAN(G568)),Sheet14!$A$2:$B$19,2,FALSE),"Not Mapped")</f>
        <v>West</v>
      </c>
    </row>
    <row r="569" spans="1:18">
      <c r="A569" t="str">
        <f t="shared" si="36"/>
        <v>EOS0568</v>
      </c>
      <c r="B569" s="35">
        <v>45885</v>
      </c>
      <c r="C569" s="1" t="s">
        <v>267</v>
      </c>
      <c r="D569" s="1" t="str">
        <f t="shared" si="43"/>
        <v>FB</v>
      </c>
      <c r="E569" s="1" t="s">
        <v>1068</v>
      </c>
      <c r="F569" s="1" t="s">
        <v>412</v>
      </c>
      <c r="G569" s="1" t="s">
        <v>223</v>
      </c>
      <c r="H569" s="1" t="s">
        <v>149</v>
      </c>
      <c r="I569" s="1">
        <v>130000</v>
      </c>
      <c r="J569" s="45">
        <v>107567</v>
      </c>
      <c r="K569" s="1" t="str">
        <f>TRIM(Cleaned_CRM_Data!H569)</f>
        <v>Rejected</v>
      </c>
      <c r="L569" t="str">
        <f>IFERROR(VLOOKUP(K569, Status_Mapping!A:B, 2,), "Not Found")</f>
        <v>Rejected</v>
      </c>
      <c r="N569" s="29" t="str">
        <f>IF(M569="","",M569-B569)</f>
        <v/>
      </c>
      <c r="O569" s="1" t="str">
        <f t="shared" si="37"/>
        <v>Starter</v>
      </c>
      <c r="P569" t="str">
        <f>TEXT(B569, "mmmm")</f>
        <v>August</v>
      </c>
      <c r="Q569" t="str">
        <f t="shared" si="38"/>
        <v>Q3</v>
      </c>
      <c r="R569" t="str">
        <f>IFERROR(VLOOKUP(TRIM(CLEAN(G569)),Sheet14!$A$2:$B$19,2,FALSE),"Not Mapped")</f>
        <v>West</v>
      </c>
    </row>
    <row r="570" spans="1:18">
      <c r="A570" t="str">
        <f t="shared" si="36"/>
        <v>EOS0569</v>
      </c>
      <c r="B570" s="35">
        <v>45885</v>
      </c>
      <c r="C570" s="1" t="s">
        <v>267</v>
      </c>
      <c r="D570" s="1" t="str">
        <f t="shared" si="43"/>
        <v>FB</v>
      </c>
      <c r="E570" s="1" t="s">
        <v>1069</v>
      </c>
      <c r="F570" s="1"/>
      <c r="G570" s="1" t="s">
        <v>223</v>
      </c>
      <c r="H570" s="1" t="s">
        <v>149</v>
      </c>
      <c r="I570" s="1">
        <v>177000</v>
      </c>
      <c r="J570" s="45">
        <v>107568</v>
      </c>
      <c r="K570" s="1" t="str">
        <f>TRIM(Cleaned_CRM_Data!H570)</f>
        <v>Rejected</v>
      </c>
      <c r="L570" t="str">
        <f>IFERROR(VLOOKUP(K570, Status_Mapping!A:B, 2,), "Not Found")</f>
        <v>Rejected</v>
      </c>
      <c r="N570" s="29" t="str">
        <f>IF(M570="","",M570-B570)</f>
        <v/>
      </c>
      <c r="O570" s="1" t="str">
        <f t="shared" si="37"/>
        <v>Growth</v>
      </c>
      <c r="P570" t="str">
        <f>TEXT(B570, "mmmm")</f>
        <v>August</v>
      </c>
      <c r="Q570" t="str">
        <f t="shared" si="38"/>
        <v>Q3</v>
      </c>
      <c r="R570" t="str">
        <f>IFERROR(VLOOKUP(TRIM(CLEAN(G570)),Sheet14!$A$2:$B$19,2,FALSE),"Not Mapped")</f>
        <v>West</v>
      </c>
    </row>
    <row r="571" spans="1:18">
      <c r="A571" t="str">
        <f t="shared" si="36"/>
        <v>EOS0570</v>
      </c>
      <c r="B571" s="35">
        <v>45885</v>
      </c>
      <c r="C571" s="1" t="s">
        <v>267</v>
      </c>
      <c r="D571" s="1" t="str">
        <f t="shared" si="43"/>
        <v>FB</v>
      </c>
      <c r="E571" s="1" t="s">
        <v>1070</v>
      </c>
      <c r="F571" s="1"/>
      <c r="G571" s="1" t="s">
        <v>223</v>
      </c>
      <c r="H571" s="1" t="s">
        <v>149</v>
      </c>
      <c r="I571" s="1">
        <v>130000</v>
      </c>
      <c r="J571" s="45">
        <v>107569</v>
      </c>
      <c r="K571" s="1" t="str">
        <f>TRIM(Cleaned_CRM_Data!H571)</f>
        <v>Rejected</v>
      </c>
      <c r="L571" t="str">
        <f>IFERROR(VLOOKUP(K571, Status_Mapping!A:B, 2,), "Not Found")</f>
        <v>Rejected</v>
      </c>
      <c r="N571" s="29" t="str">
        <f>IF(M571="","",M571-B571)</f>
        <v/>
      </c>
      <c r="O571" s="1" t="str">
        <f t="shared" si="37"/>
        <v>Starter</v>
      </c>
      <c r="P571" t="str">
        <f>TEXT(B571, "mmmm")</f>
        <v>August</v>
      </c>
      <c r="Q571" t="str">
        <f t="shared" si="38"/>
        <v>Q3</v>
      </c>
      <c r="R571" t="str">
        <f>IFERROR(VLOOKUP(TRIM(CLEAN(G571)),Sheet14!$A$2:$B$19,2,FALSE),"Not Mapped")</f>
        <v>West</v>
      </c>
    </row>
    <row r="572" spans="1:18">
      <c r="A572" t="str">
        <f t="shared" si="36"/>
        <v>EOS0571</v>
      </c>
      <c r="B572" s="35">
        <v>45885</v>
      </c>
      <c r="C572" s="1" t="s">
        <v>911</v>
      </c>
      <c r="D572" s="1"/>
      <c r="E572" s="1" t="s">
        <v>1071</v>
      </c>
      <c r="F572" s="1"/>
      <c r="G572" s="1" t="s">
        <v>223</v>
      </c>
      <c r="H572" s="1" t="s">
        <v>149</v>
      </c>
      <c r="I572" s="1">
        <v>108000</v>
      </c>
      <c r="J572" s="45">
        <v>107570</v>
      </c>
      <c r="K572" s="1" t="str">
        <f>TRIM(Cleaned_CRM_Data!H572)</f>
        <v>Rejected</v>
      </c>
      <c r="L572" t="str">
        <f>IFERROR(VLOOKUP(K572, Status_Mapping!A:B, 2,), "Not Found")</f>
        <v>Rejected</v>
      </c>
      <c r="N572" s="29" t="str">
        <f>IF(M572="","",M572-B572)</f>
        <v/>
      </c>
      <c r="O572" s="1" t="str">
        <f t="shared" si="37"/>
        <v>Starter</v>
      </c>
      <c r="P572" t="str">
        <f>TEXT(B572, "mmmm")</f>
        <v>August</v>
      </c>
      <c r="Q572" t="str">
        <f t="shared" si="38"/>
        <v>Q3</v>
      </c>
      <c r="R572" t="str">
        <f>IFERROR(VLOOKUP(TRIM(CLEAN(G572)),Sheet14!$A$2:$B$19,2,FALSE),"Not Mapped")</f>
        <v>West</v>
      </c>
    </row>
    <row r="573" spans="1:18">
      <c r="A573" t="str">
        <f t="shared" si="36"/>
        <v>EOS0572</v>
      </c>
      <c r="B573" s="35">
        <v>45885</v>
      </c>
      <c r="C573" s="1" t="s">
        <v>267</v>
      </c>
      <c r="D573" s="1" t="str">
        <f>TRIM(CLEAN(SUBSTITUTE(C573,CHAR(160),"")))</f>
        <v>FB</v>
      </c>
      <c r="E573" s="1" t="s">
        <v>1072</v>
      </c>
      <c r="F573" s="1" t="s">
        <v>418</v>
      </c>
      <c r="G573" s="1" t="s">
        <v>223</v>
      </c>
      <c r="H573" s="1" t="s">
        <v>149</v>
      </c>
      <c r="I573" s="1">
        <v>108000</v>
      </c>
      <c r="J573" s="45">
        <v>107571</v>
      </c>
      <c r="K573" s="1" t="str">
        <f>TRIM(Cleaned_CRM_Data!H573)</f>
        <v>Rejected</v>
      </c>
      <c r="L573" t="str">
        <f>IFERROR(VLOOKUP(K573, Status_Mapping!A:B, 2,), "Not Found")</f>
        <v>Rejected</v>
      </c>
      <c r="N573" s="29" t="str">
        <f>IF(M573="","",M573-B573)</f>
        <v/>
      </c>
      <c r="O573" s="1" t="str">
        <f t="shared" si="37"/>
        <v>Starter</v>
      </c>
      <c r="P573" t="str">
        <f>TEXT(B573, "mmmm")</f>
        <v>August</v>
      </c>
      <c r="Q573" t="str">
        <f t="shared" si="38"/>
        <v>Q3</v>
      </c>
      <c r="R573" t="str">
        <f>IFERROR(VLOOKUP(TRIM(CLEAN(G573)),Sheet14!$A$2:$B$19,2,FALSE),"Not Mapped")</f>
        <v>West</v>
      </c>
    </row>
    <row r="574" spans="1:18">
      <c r="A574" t="str">
        <f t="shared" si="36"/>
        <v>EOS0573</v>
      </c>
      <c r="B574" s="35">
        <v>45885</v>
      </c>
      <c r="C574" s="1" t="s">
        <v>911</v>
      </c>
      <c r="D574" s="1"/>
      <c r="E574" s="1" t="s">
        <v>1073</v>
      </c>
      <c r="F574" s="1"/>
      <c r="G574" s="1" t="s">
        <v>223</v>
      </c>
      <c r="H574" s="1" t="s">
        <v>149</v>
      </c>
      <c r="I574" s="1">
        <v>108000</v>
      </c>
      <c r="J574" s="45">
        <v>107572</v>
      </c>
      <c r="K574" s="1" t="str">
        <f>TRIM(Cleaned_CRM_Data!H574)</f>
        <v>Rejected</v>
      </c>
      <c r="L574" t="str">
        <f>IFERROR(VLOOKUP(K574, Status_Mapping!A:B, 2,), "Not Found")</f>
        <v>Rejected</v>
      </c>
      <c r="N574" s="29" t="str">
        <f>IF(M574="","",M574-B574)</f>
        <v/>
      </c>
      <c r="O574" s="1" t="str">
        <f t="shared" si="37"/>
        <v>Starter</v>
      </c>
      <c r="P574" t="str">
        <f>TEXT(B574, "mmmm")</f>
        <v>August</v>
      </c>
      <c r="Q574" t="str">
        <f t="shared" si="38"/>
        <v>Q3</v>
      </c>
      <c r="R574" t="str">
        <f>IFERROR(VLOOKUP(TRIM(CLEAN(G574)),Sheet14!$A$2:$B$19,2,FALSE),"Not Mapped")</f>
        <v>West</v>
      </c>
    </row>
    <row r="575" spans="1:18">
      <c r="A575" t="str">
        <f t="shared" si="36"/>
        <v>EOS0574</v>
      </c>
      <c r="B575" s="35">
        <v>45885</v>
      </c>
      <c r="C575" s="1" t="s">
        <v>911</v>
      </c>
      <c r="D575" s="1"/>
      <c r="E575" s="1" t="s">
        <v>1074</v>
      </c>
      <c r="F575" s="1"/>
      <c r="G575" s="1" t="s">
        <v>223</v>
      </c>
      <c r="H575" s="1" t="s">
        <v>149</v>
      </c>
      <c r="I575" s="1">
        <v>108000</v>
      </c>
      <c r="J575" s="45">
        <v>107573</v>
      </c>
      <c r="K575" s="1" t="str">
        <f>TRIM(Cleaned_CRM_Data!H575)</f>
        <v>Rejected</v>
      </c>
      <c r="L575" t="str">
        <f>IFERROR(VLOOKUP(K575, Status_Mapping!A:B, 2,), "Not Found")</f>
        <v>Rejected</v>
      </c>
      <c r="N575" s="29" t="str">
        <f>IF(M575="","",M575-B575)</f>
        <v/>
      </c>
      <c r="O575" s="1" t="str">
        <f t="shared" si="37"/>
        <v>Starter</v>
      </c>
      <c r="P575" t="str">
        <f>TEXT(B575, "mmmm")</f>
        <v>August</v>
      </c>
      <c r="Q575" t="str">
        <f t="shared" si="38"/>
        <v>Q3</v>
      </c>
      <c r="R575" t="str">
        <f>IFERROR(VLOOKUP(TRIM(CLEAN(G575)),Sheet14!$A$2:$B$19,2,FALSE),"Not Mapped")</f>
        <v>West</v>
      </c>
    </row>
    <row r="576" spans="1:18">
      <c r="A576" t="str">
        <f t="shared" si="36"/>
        <v>EOS0575</v>
      </c>
      <c r="B576" s="35">
        <v>45885</v>
      </c>
      <c r="C576" s="1" t="s">
        <v>911</v>
      </c>
      <c r="D576" s="1"/>
      <c r="E576" s="1" t="s">
        <v>1075</v>
      </c>
      <c r="F576" s="1" t="s">
        <v>1076</v>
      </c>
      <c r="G576" s="1" t="s">
        <v>215</v>
      </c>
      <c r="H576" s="1" t="s">
        <v>149</v>
      </c>
      <c r="I576" s="1">
        <v>130000</v>
      </c>
      <c r="J576" s="45">
        <v>107574</v>
      </c>
      <c r="K576" s="1" t="str">
        <f>TRIM(Cleaned_CRM_Data!H576)</f>
        <v>Rejected</v>
      </c>
      <c r="L576" t="str">
        <f>IFERROR(VLOOKUP(K576, Status_Mapping!A:B, 2,), "Not Found")</f>
        <v>Rejected</v>
      </c>
      <c r="N576" s="29" t="str">
        <f>IF(M576="","",M576-B576)</f>
        <v/>
      </c>
      <c r="O576" s="1" t="str">
        <f t="shared" si="37"/>
        <v>Starter</v>
      </c>
      <c r="P576" t="str">
        <f>TEXT(B576, "mmmm")</f>
        <v>August</v>
      </c>
      <c r="Q576" t="str">
        <f t="shared" si="38"/>
        <v>Q3</v>
      </c>
      <c r="R576" t="str">
        <f>IFERROR(VLOOKUP(TRIM(CLEAN(G576)),Sheet14!$A$2:$B$19,2,FALSE),"Not Mapped")</f>
        <v>East</v>
      </c>
    </row>
    <row r="577" spans="1:18">
      <c r="A577" t="str">
        <f t="shared" si="36"/>
        <v>EOS0576</v>
      </c>
      <c r="B577" s="35">
        <v>45885</v>
      </c>
      <c r="C577" s="1" t="s">
        <v>267</v>
      </c>
      <c r="D577" s="1" t="str">
        <f t="shared" ref="D577:D584" si="44">TRIM(CLEAN(SUBSTITUTE(C577,CHAR(160),"")))</f>
        <v>FB</v>
      </c>
      <c r="E577" s="1" t="s">
        <v>1077</v>
      </c>
      <c r="F577" s="1" t="s">
        <v>271</v>
      </c>
      <c r="G577" s="1" t="s">
        <v>223</v>
      </c>
      <c r="H577" s="1" t="s">
        <v>149</v>
      </c>
      <c r="I577" s="1">
        <v>130000</v>
      </c>
      <c r="J577" s="45">
        <v>107575</v>
      </c>
      <c r="K577" s="1" t="str">
        <f>TRIM(Cleaned_CRM_Data!H577)</f>
        <v>Rejected</v>
      </c>
      <c r="L577" t="str">
        <f>IFERROR(VLOOKUP(K577, Status_Mapping!A:B, 2,), "Not Found")</f>
        <v>Rejected</v>
      </c>
      <c r="N577" s="29" t="str">
        <f>IF(M577="","",M577-B577)</f>
        <v/>
      </c>
      <c r="O577" s="1" t="str">
        <f t="shared" si="37"/>
        <v>Starter</v>
      </c>
      <c r="P577" t="str">
        <f>TEXT(B577, "mmmm")</f>
        <v>August</v>
      </c>
      <c r="Q577" t="str">
        <f t="shared" si="38"/>
        <v>Q3</v>
      </c>
      <c r="R577" t="str">
        <f>IFERROR(VLOOKUP(TRIM(CLEAN(G577)),Sheet14!$A$2:$B$19,2,FALSE),"Not Mapped")</f>
        <v>West</v>
      </c>
    </row>
    <row r="578" spans="1:18">
      <c r="A578" t="str">
        <f t="shared" si="36"/>
        <v>EOS0577</v>
      </c>
      <c r="B578" s="35">
        <v>45885</v>
      </c>
      <c r="C578" s="1" t="s">
        <v>267</v>
      </c>
      <c r="D578" s="1" t="str">
        <f t="shared" si="44"/>
        <v>FB</v>
      </c>
      <c r="E578" s="1" t="s">
        <v>1078</v>
      </c>
      <c r="F578" s="1" t="s">
        <v>1045</v>
      </c>
      <c r="G578" s="1" t="s">
        <v>223</v>
      </c>
      <c r="H578" s="1" t="s">
        <v>149</v>
      </c>
      <c r="I578" s="1">
        <v>177000</v>
      </c>
      <c r="J578" s="45">
        <v>107576</v>
      </c>
      <c r="K578" s="1" t="str">
        <f>TRIM(Cleaned_CRM_Data!H578)</f>
        <v>Rejected</v>
      </c>
      <c r="L578" t="str">
        <f>IFERROR(VLOOKUP(K578, Status_Mapping!A:B, 2,), "Not Found")</f>
        <v>Rejected</v>
      </c>
      <c r="N578" s="29" t="str">
        <f>IF(M578="","",M578-B578)</f>
        <v/>
      </c>
      <c r="O578" s="1" t="str">
        <f t="shared" si="37"/>
        <v>Growth</v>
      </c>
      <c r="P578" t="str">
        <f>TEXT(B578, "mmmm")</f>
        <v>August</v>
      </c>
      <c r="Q578" t="str">
        <f t="shared" si="38"/>
        <v>Q3</v>
      </c>
      <c r="R578" t="str">
        <f>IFERROR(VLOOKUP(TRIM(CLEAN(G578)),Sheet14!$A$2:$B$19,2,FALSE),"Not Mapped")</f>
        <v>West</v>
      </c>
    </row>
    <row r="579" spans="1:18">
      <c r="A579" t="str">
        <f t="shared" ref="A579:A642" si="45">"EOS"&amp;TEXT(ROW()-1,"0000")</f>
        <v>EOS0578</v>
      </c>
      <c r="B579" s="35">
        <v>45885</v>
      </c>
      <c r="C579" s="1" t="s">
        <v>267</v>
      </c>
      <c r="D579" s="1" t="str">
        <f t="shared" si="44"/>
        <v>FB</v>
      </c>
      <c r="E579" s="1" t="s">
        <v>1079</v>
      </c>
      <c r="F579" s="1"/>
      <c r="G579" s="1" t="s">
        <v>223</v>
      </c>
      <c r="H579" s="1" t="s">
        <v>149</v>
      </c>
      <c r="I579" s="1">
        <v>108000</v>
      </c>
      <c r="J579" s="45">
        <v>107577</v>
      </c>
      <c r="K579" s="1" t="str">
        <f>TRIM(Cleaned_CRM_Data!H579)</f>
        <v>Rejected</v>
      </c>
      <c r="L579" t="str">
        <f>IFERROR(VLOOKUP(K579, Status_Mapping!A:B, 2,), "Not Found")</f>
        <v>Rejected</v>
      </c>
      <c r="N579" s="29" t="str">
        <f>IF(M579="","",M579-B579)</f>
        <v/>
      </c>
      <c r="O579" s="1" t="str">
        <f t="shared" ref="O579:O642" si="46">IF(OR(I579=108000,I579=130000),"Starter",IF(I579=177000,"Growth","Premium"))</f>
        <v>Starter</v>
      </c>
      <c r="P579" t="str">
        <f>TEXT(B579, "mmmm")</f>
        <v>August</v>
      </c>
      <c r="Q579" t="str">
        <f t="shared" ref="Q579:Q642" si="47">"Q"&amp;ROUNDUP(MONTH(B579)/3,0)</f>
        <v>Q3</v>
      </c>
      <c r="R579" t="str">
        <f>IFERROR(VLOOKUP(TRIM(CLEAN(G579)),Sheet14!$A$2:$B$19,2,FALSE),"Not Mapped")</f>
        <v>West</v>
      </c>
    </row>
    <row r="580" spans="1:18">
      <c r="A580" t="str">
        <f t="shared" si="45"/>
        <v>EOS0579</v>
      </c>
      <c r="B580" s="35">
        <v>45885</v>
      </c>
      <c r="C580" s="1" t="s">
        <v>267</v>
      </c>
      <c r="D580" s="1" t="str">
        <f t="shared" si="44"/>
        <v>FB</v>
      </c>
      <c r="E580" s="1" t="s">
        <v>1080</v>
      </c>
      <c r="F580" s="1"/>
      <c r="G580" s="1" t="s">
        <v>223</v>
      </c>
      <c r="H580" s="1" t="s">
        <v>149</v>
      </c>
      <c r="I580" s="1">
        <v>130000</v>
      </c>
      <c r="J580" s="45">
        <v>107578</v>
      </c>
      <c r="K580" s="1" t="str">
        <f>TRIM(Cleaned_CRM_Data!H580)</f>
        <v>Rejected</v>
      </c>
      <c r="L580" t="str">
        <f>IFERROR(VLOOKUP(K580, Status_Mapping!A:B, 2,), "Not Found")</f>
        <v>Rejected</v>
      </c>
      <c r="N580" s="29" t="str">
        <f>IF(M580="","",M580-B580)</f>
        <v/>
      </c>
      <c r="O580" s="1" t="str">
        <f t="shared" si="46"/>
        <v>Starter</v>
      </c>
      <c r="P580" t="str">
        <f>TEXT(B580, "mmmm")</f>
        <v>August</v>
      </c>
      <c r="Q580" t="str">
        <f t="shared" si="47"/>
        <v>Q3</v>
      </c>
      <c r="R580" t="str">
        <f>IFERROR(VLOOKUP(TRIM(CLEAN(G580)),Sheet14!$A$2:$B$19,2,FALSE),"Not Mapped")</f>
        <v>West</v>
      </c>
    </row>
    <row r="581" spans="1:18">
      <c r="A581" t="str">
        <f t="shared" si="45"/>
        <v>EOS0580</v>
      </c>
      <c r="B581" s="35">
        <v>45887</v>
      </c>
      <c r="C581" s="1" t="s">
        <v>267</v>
      </c>
      <c r="D581" s="1" t="str">
        <f t="shared" si="44"/>
        <v>FB</v>
      </c>
      <c r="E581" s="1" t="s">
        <v>1081</v>
      </c>
      <c r="F581" s="1"/>
      <c r="G581" s="1" t="s">
        <v>223</v>
      </c>
      <c r="H581" s="1" t="s">
        <v>149</v>
      </c>
      <c r="I581" s="1">
        <v>108000</v>
      </c>
      <c r="J581" s="45">
        <v>107579</v>
      </c>
      <c r="K581" s="1" t="str">
        <f>TRIM(Cleaned_CRM_Data!H581)</f>
        <v>Rejected</v>
      </c>
      <c r="L581" t="str">
        <f>IFERROR(VLOOKUP(K581, Status_Mapping!A:B, 2,), "Not Found")</f>
        <v>Rejected</v>
      </c>
      <c r="N581" s="29" t="str">
        <f>IF(M581="","",M581-B581)</f>
        <v/>
      </c>
      <c r="O581" s="1" t="str">
        <f t="shared" si="46"/>
        <v>Starter</v>
      </c>
      <c r="P581" t="str">
        <f>TEXT(B581, "mmmm")</f>
        <v>August</v>
      </c>
      <c r="Q581" t="str">
        <f t="shared" si="47"/>
        <v>Q3</v>
      </c>
      <c r="R581" t="str">
        <f>IFERROR(VLOOKUP(TRIM(CLEAN(G581)),Sheet14!$A$2:$B$19,2,FALSE),"Not Mapped")</f>
        <v>West</v>
      </c>
    </row>
    <row r="582" spans="1:18">
      <c r="A582" t="str">
        <f t="shared" si="45"/>
        <v>EOS0581</v>
      </c>
      <c r="B582" s="35">
        <v>45887</v>
      </c>
      <c r="C582" s="1" t="s">
        <v>267</v>
      </c>
      <c r="D582" s="1" t="str">
        <f t="shared" si="44"/>
        <v>FB</v>
      </c>
      <c r="E582" s="1" t="s">
        <v>1082</v>
      </c>
      <c r="F582" s="1" t="s">
        <v>397</v>
      </c>
      <c r="G582" s="1" t="s">
        <v>223</v>
      </c>
      <c r="H582" s="1" t="s">
        <v>149</v>
      </c>
      <c r="I582" s="1">
        <v>308000</v>
      </c>
      <c r="J582" s="45">
        <v>107580</v>
      </c>
      <c r="K582" s="1" t="str">
        <f>TRIM(Cleaned_CRM_Data!H582)</f>
        <v>Rejected</v>
      </c>
      <c r="L582" t="str">
        <f>IFERROR(VLOOKUP(K582, Status_Mapping!A:B, 2,), "Not Found")</f>
        <v>Rejected</v>
      </c>
      <c r="N582" s="29" t="str">
        <f>IF(M582="","",M582-B582)</f>
        <v/>
      </c>
      <c r="O582" s="1" t="str">
        <f t="shared" si="46"/>
        <v>Premium</v>
      </c>
      <c r="P582" t="str">
        <f>TEXT(B582, "mmmm")</f>
        <v>August</v>
      </c>
      <c r="Q582" t="str">
        <f t="shared" si="47"/>
        <v>Q3</v>
      </c>
      <c r="R582" t="str">
        <f>IFERROR(VLOOKUP(TRIM(CLEAN(G582)),Sheet14!$A$2:$B$19,2,FALSE),"Not Mapped")</f>
        <v>West</v>
      </c>
    </row>
    <row r="583" spans="1:18">
      <c r="A583" t="str">
        <f t="shared" si="45"/>
        <v>EOS0582</v>
      </c>
      <c r="B583" s="35">
        <v>45887</v>
      </c>
      <c r="C583" s="1" t="s">
        <v>267</v>
      </c>
      <c r="D583" s="1" t="str">
        <f t="shared" si="44"/>
        <v>FB</v>
      </c>
      <c r="E583" s="1" t="s">
        <v>1083</v>
      </c>
      <c r="F583" s="1" t="s">
        <v>300</v>
      </c>
      <c r="G583" s="1" t="s">
        <v>223</v>
      </c>
      <c r="H583" s="1" t="s">
        <v>149</v>
      </c>
      <c r="I583" s="1">
        <v>130000</v>
      </c>
      <c r="J583" s="45">
        <v>107581</v>
      </c>
      <c r="K583" s="1" t="str">
        <f>TRIM(Cleaned_CRM_Data!H583)</f>
        <v>Rejected</v>
      </c>
      <c r="L583" t="str">
        <f>IFERROR(VLOOKUP(K583, Status_Mapping!A:B, 2,), "Not Found")</f>
        <v>Rejected</v>
      </c>
      <c r="N583" s="29" t="str">
        <f>IF(M583="","",M583-B583)</f>
        <v/>
      </c>
      <c r="O583" s="1" t="str">
        <f t="shared" si="46"/>
        <v>Starter</v>
      </c>
      <c r="P583" t="str">
        <f>TEXT(B583, "mmmm")</f>
        <v>August</v>
      </c>
      <c r="Q583" t="str">
        <f t="shared" si="47"/>
        <v>Q3</v>
      </c>
      <c r="R583" t="str">
        <f>IFERROR(VLOOKUP(TRIM(CLEAN(G583)),Sheet14!$A$2:$B$19,2,FALSE),"Not Mapped")</f>
        <v>West</v>
      </c>
    </row>
    <row r="584" spans="1:18">
      <c r="A584" t="str">
        <f t="shared" si="45"/>
        <v>EOS0583</v>
      </c>
      <c r="B584" s="35">
        <v>45887</v>
      </c>
      <c r="C584" s="1" t="s">
        <v>267</v>
      </c>
      <c r="D584" s="1" t="str">
        <f t="shared" si="44"/>
        <v>FB</v>
      </c>
      <c r="E584" s="1" t="s">
        <v>1084</v>
      </c>
      <c r="F584" s="1"/>
      <c r="G584" s="1" t="s">
        <v>223</v>
      </c>
      <c r="H584" s="1" t="s">
        <v>149</v>
      </c>
      <c r="I584" s="1">
        <v>108000</v>
      </c>
      <c r="J584" s="45">
        <v>107582</v>
      </c>
      <c r="K584" s="1" t="str">
        <f>TRIM(Cleaned_CRM_Data!H584)</f>
        <v>Rejected</v>
      </c>
      <c r="L584" t="str">
        <f>IFERROR(VLOOKUP(K584, Status_Mapping!A:B, 2,), "Not Found")</f>
        <v>Rejected</v>
      </c>
      <c r="N584" s="29" t="str">
        <f>IF(M584="","",M584-B584)</f>
        <v/>
      </c>
      <c r="O584" s="1" t="str">
        <f t="shared" si="46"/>
        <v>Starter</v>
      </c>
      <c r="P584" t="str">
        <f>TEXT(B584, "mmmm")</f>
        <v>August</v>
      </c>
      <c r="Q584" t="str">
        <f t="shared" si="47"/>
        <v>Q3</v>
      </c>
      <c r="R584" t="str">
        <f>IFERROR(VLOOKUP(TRIM(CLEAN(G584)),Sheet14!$A$2:$B$19,2,FALSE),"Not Mapped")</f>
        <v>West</v>
      </c>
    </row>
    <row r="585" spans="1:18">
      <c r="A585" t="str">
        <f t="shared" si="45"/>
        <v>EOS0584</v>
      </c>
      <c r="B585" s="35">
        <v>45887</v>
      </c>
      <c r="C585" s="1" t="s">
        <v>911</v>
      </c>
      <c r="D585" s="1"/>
      <c r="E585" s="1" t="s">
        <v>1085</v>
      </c>
      <c r="F585" s="1" t="s">
        <v>1086</v>
      </c>
      <c r="G585" s="1" t="s">
        <v>223</v>
      </c>
      <c r="H585" s="1" t="s">
        <v>149</v>
      </c>
      <c r="I585" s="1">
        <v>177000</v>
      </c>
      <c r="J585" s="45">
        <v>107583</v>
      </c>
      <c r="K585" s="1" t="str">
        <f>TRIM(Cleaned_CRM_Data!H585)</f>
        <v>Rejected</v>
      </c>
      <c r="L585" t="str">
        <f>IFERROR(VLOOKUP(K585, Status_Mapping!A:B, 2,), "Not Found")</f>
        <v>Rejected</v>
      </c>
      <c r="N585" s="29" t="str">
        <f>IF(M585="","",M585-B585)</f>
        <v/>
      </c>
      <c r="O585" s="1" t="str">
        <f t="shared" si="46"/>
        <v>Growth</v>
      </c>
      <c r="P585" t="str">
        <f>TEXT(B585, "mmmm")</f>
        <v>August</v>
      </c>
      <c r="Q585" t="str">
        <f t="shared" si="47"/>
        <v>Q3</v>
      </c>
      <c r="R585" t="str">
        <f>IFERROR(VLOOKUP(TRIM(CLEAN(G585)),Sheet14!$A$2:$B$19,2,FALSE),"Not Mapped")</f>
        <v>West</v>
      </c>
    </row>
    <row r="586" spans="1:18">
      <c r="A586" t="str">
        <f t="shared" si="45"/>
        <v>EOS0585</v>
      </c>
      <c r="B586" s="35">
        <v>45888</v>
      </c>
      <c r="C586" s="1" t="s">
        <v>911</v>
      </c>
      <c r="D586" s="1"/>
      <c r="E586" s="1" t="s">
        <v>1087</v>
      </c>
      <c r="F586" s="1" t="s">
        <v>275</v>
      </c>
      <c r="G586" s="1" t="s">
        <v>223</v>
      </c>
      <c r="H586" s="1" t="s">
        <v>149</v>
      </c>
      <c r="I586" s="1">
        <v>130000</v>
      </c>
      <c r="J586" s="45">
        <v>107584</v>
      </c>
      <c r="K586" s="1" t="str">
        <f>TRIM(Cleaned_CRM_Data!H586)</f>
        <v>Rejected</v>
      </c>
      <c r="L586" t="str">
        <f>IFERROR(VLOOKUP(K586, Status_Mapping!A:B, 2,), "Not Found")</f>
        <v>Rejected</v>
      </c>
      <c r="N586" s="29" t="str">
        <f>IF(M586="","",M586-B586)</f>
        <v/>
      </c>
      <c r="O586" s="1" t="str">
        <f t="shared" si="46"/>
        <v>Starter</v>
      </c>
      <c r="P586" t="str">
        <f>TEXT(B586, "mmmm")</f>
        <v>August</v>
      </c>
      <c r="Q586" t="str">
        <f t="shared" si="47"/>
        <v>Q3</v>
      </c>
      <c r="R586" t="str">
        <f>IFERROR(VLOOKUP(TRIM(CLEAN(G586)),Sheet14!$A$2:$B$19,2,FALSE),"Not Mapped")</f>
        <v>West</v>
      </c>
    </row>
    <row r="587" spans="1:18">
      <c r="A587" t="str">
        <f t="shared" si="45"/>
        <v>EOS0586</v>
      </c>
      <c r="B587" s="35">
        <v>45888</v>
      </c>
      <c r="C587" s="1" t="s">
        <v>911</v>
      </c>
      <c r="D587" s="1"/>
      <c r="E587" s="1" t="s">
        <v>1088</v>
      </c>
      <c r="F587" s="1"/>
      <c r="G587" s="1" t="s">
        <v>223</v>
      </c>
      <c r="H587" s="1" t="s">
        <v>149</v>
      </c>
      <c r="I587" s="1">
        <v>108000</v>
      </c>
      <c r="J587" s="45">
        <v>107585</v>
      </c>
      <c r="K587" s="1" t="str">
        <f>TRIM(Cleaned_CRM_Data!H587)</f>
        <v>Rejected</v>
      </c>
      <c r="L587" t="str">
        <f>IFERROR(VLOOKUP(K587, Status_Mapping!A:B, 2,), "Not Found")</f>
        <v>Rejected</v>
      </c>
      <c r="N587" s="29" t="str">
        <f>IF(M587="","",M587-B587)</f>
        <v/>
      </c>
      <c r="O587" s="1" t="str">
        <f t="shared" si="46"/>
        <v>Starter</v>
      </c>
      <c r="P587" t="str">
        <f>TEXT(B587, "mmmm")</f>
        <v>August</v>
      </c>
      <c r="Q587" t="str">
        <f t="shared" si="47"/>
        <v>Q3</v>
      </c>
      <c r="R587" t="str">
        <f>IFERROR(VLOOKUP(TRIM(CLEAN(G587)),Sheet14!$A$2:$B$19,2,FALSE),"Not Mapped")</f>
        <v>West</v>
      </c>
    </row>
    <row r="588" spans="1:18">
      <c r="A588" t="str">
        <f t="shared" si="45"/>
        <v>EOS0587</v>
      </c>
      <c r="B588" s="35">
        <v>45888</v>
      </c>
      <c r="C588" s="1" t="s">
        <v>911</v>
      </c>
      <c r="D588" s="1"/>
      <c r="E588" s="1" t="s">
        <v>1089</v>
      </c>
      <c r="F588" s="1"/>
      <c r="G588" s="1" t="s">
        <v>224</v>
      </c>
      <c r="H588" s="1" t="s">
        <v>149</v>
      </c>
      <c r="I588" s="1">
        <v>130000</v>
      </c>
      <c r="J588" s="45">
        <v>107586</v>
      </c>
      <c r="K588" s="1" t="str">
        <f>TRIM(Cleaned_CRM_Data!H588)</f>
        <v>Rejected</v>
      </c>
      <c r="L588" t="str">
        <f>IFERROR(VLOOKUP(K588, Status_Mapping!A:B, 2,), "Not Found")</f>
        <v>Rejected</v>
      </c>
      <c r="N588" s="29" t="str">
        <f>IF(M588="","",M588-B588)</f>
        <v/>
      </c>
      <c r="O588" s="1" t="str">
        <f t="shared" si="46"/>
        <v>Starter</v>
      </c>
      <c r="P588" t="str">
        <f>TEXT(B588, "mmmm")</f>
        <v>August</v>
      </c>
      <c r="Q588" t="str">
        <f t="shared" si="47"/>
        <v>Q3</v>
      </c>
      <c r="R588" t="str">
        <f>IFERROR(VLOOKUP(TRIM(CLEAN(G588)),Sheet14!$A$2:$B$19,2,FALSE),"Not Mapped")</f>
        <v>West</v>
      </c>
    </row>
    <row r="589" spans="1:18">
      <c r="A589" t="str">
        <f t="shared" si="45"/>
        <v>EOS0588</v>
      </c>
      <c r="B589" s="35">
        <v>45888</v>
      </c>
      <c r="C589" s="1" t="s">
        <v>911</v>
      </c>
      <c r="D589" s="1"/>
      <c r="E589" s="1" t="s">
        <v>1090</v>
      </c>
      <c r="F589" s="1"/>
      <c r="G589" s="1" t="s">
        <v>224</v>
      </c>
      <c r="H589" s="1" t="s">
        <v>149</v>
      </c>
      <c r="I589" s="1">
        <v>108000</v>
      </c>
      <c r="J589" s="45">
        <v>107587</v>
      </c>
      <c r="K589" s="1" t="str">
        <f>TRIM(Cleaned_CRM_Data!H589)</f>
        <v>Rejected</v>
      </c>
      <c r="L589" t="str">
        <f>IFERROR(VLOOKUP(K589, Status_Mapping!A:B, 2,), "Not Found")</f>
        <v>Rejected</v>
      </c>
      <c r="N589" s="29" t="str">
        <f>IF(M589="","",M589-B589)</f>
        <v/>
      </c>
      <c r="O589" s="1" t="str">
        <f t="shared" si="46"/>
        <v>Starter</v>
      </c>
      <c r="P589" t="str">
        <f>TEXT(B589, "mmmm")</f>
        <v>August</v>
      </c>
      <c r="Q589" t="str">
        <f t="shared" si="47"/>
        <v>Q3</v>
      </c>
      <c r="R589" t="str">
        <f>IFERROR(VLOOKUP(TRIM(CLEAN(G589)),Sheet14!$A$2:$B$19,2,FALSE),"Not Mapped")</f>
        <v>West</v>
      </c>
    </row>
    <row r="590" spans="1:18">
      <c r="A590" t="str">
        <f t="shared" si="45"/>
        <v>EOS0589</v>
      </c>
      <c r="B590" s="35">
        <v>45888</v>
      </c>
      <c r="C590" s="1" t="s">
        <v>911</v>
      </c>
      <c r="D590" s="1"/>
      <c r="E590" s="1" t="s">
        <v>1091</v>
      </c>
      <c r="F590" s="1"/>
      <c r="G590" s="1" t="s">
        <v>224</v>
      </c>
      <c r="H590" s="1" t="s">
        <v>149</v>
      </c>
      <c r="I590" s="1">
        <v>130000</v>
      </c>
      <c r="J590" s="45">
        <v>107588</v>
      </c>
      <c r="K590" s="1" t="str">
        <f>TRIM(Cleaned_CRM_Data!H590)</f>
        <v>Rejected</v>
      </c>
      <c r="L590" t="str">
        <f>IFERROR(VLOOKUP(K590, Status_Mapping!A:B, 2,), "Not Found")</f>
        <v>Rejected</v>
      </c>
      <c r="N590" s="29" t="str">
        <f>IF(M590="","",M590-B590)</f>
        <v/>
      </c>
      <c r="O590" s="1" t="str">
        <f t="shared" si="46"/>
        <v>Starter</v>
      </c>
      <c r="P590" t="str">
        <f>TEXT(B590, "mmmm")</f>
        <v>August</v>
      </c>
      <c r="Q590" t="str">
        <f t="shared" si="47"/>
        <v>Q3</v>
      </c>
      <c r="R590" t="str">
        <f>IFERROR(VLOOKUP(TRIM(CLEAN(G590)),Sheet14!$A$2:$B$19,2,FALSE),"Not Mapped")</f>
        <v>West</v>
      </c>
    </row>
    <row r="591" spans="1:18">
      <c r="A591" t="str">
        <f t="shared" si="45"/>
        <v>EOS0590</v>
      </c>
      <c r="B591" s="35">
        <v>45888</v>
      </c>
      <c r="C591" s="1" t="s">
        <v>911</v>
      </c>
      <c r="D591" s="1"/>
      <c r="E591" s="1" t="s">
        <v>1092</v>
      </c>
      <c r="F591" s="1"/>
      <c r="G591" s="1" t="s">
        <v>224</v>
      </c>
      <c r="H591" s="1" t="s">
        <v>149</v>
      </c>
      <c r="I591" s="1">
        <v>130000</v>
      </c>
      <c r="J591" s="45">
        <v>107589</v>
      </c>
      <c r="K591" s="1" t="str">
        <f>TRIM(Cleaned_CRM_Data!H591)</f>
        <v>Rejected</v>
      </c>
      <c r="L591" t="str">
        <f>IFERROR(VLOOKUP(K591, Status_Mapping!A:B, 2,), "Not Found")</f>
        <v>Rejected</v>
      </c>
      <c r="N591" s="29" t="str">
        <f>IF(M591="","",M591-B591)</f>
        <v/>
      </c>
      <c r="O591" s="1" t="str">
        <f t="shared" si="46"/>
        <v>Starter</v>
      </c>
      <c r="P591" t="str">
        <f>TEXT(B591, "mmmm")</f>
        <v>August</v>
      </c>
      <c r="Q591" t="str">
        <f t="shared" si="47"/>
        <v>Q3</v>
      </c>
      <c r="R591" t="str">
        <f>IFERROR(VLOOKUP(TRIM(CLEAN(G591)),Sheet14!$A$2:$B$19,2,FALSE),"Not Mapped")</f>
        <v>West</v>
      </c>
    </row>
    <row r="592" spans="1:18">
      <c r="A592" t="str">
        <f t="shared" si="45"/>
        <v>EOS0591</v>
      </c>
      <c r="B592" s="35">
        <v>45888</v>
      </c>
      <c r="C592" s="1" t="s">
        <v>911</v>
      </c>
      <c r="D592" s="1"/>
      <c r="E592" s="1" t="s">
        <v>1093</v>
      </c>
      <c r="F592" s="1"/>
      <c r="G592" s="1" t="s">
        <v>224</v>
      </c>
      <c r="H592" s="1" t="s">
        <v>149</v>
      </c>
      <c r="I592" s="1">
        <v>308000</v>
      </c>
      <c r="J592" s="45">
        <v>107590</v>
      </c>
      <c r="K592" s="1" t="str">
        <f>TRIM(Cleaned_CRM_Data!H592)</f>
        <v>Rejected</v>
      </c>
      <c r="L592" t="str">
        <f>IFERROR(VLOOKUP(K592, Status_Mapping!A:B, 2,), "Not Found")</f>
        <v>Rejected</v>
      </c>
      <c r="N592" s="29" t="str">
        <f>IF(M592="","",M592-B592)</f>
        <v/>
      </c>
      <c r="O592" s="1" t="str">
        <f t="shared" si="46"/>
        <v>Premium</v>
      </c>
      <c r="P592" t="str">
        <f>TEXT(B592, "mmmm")</f>
        <v>August</v>
      </c>
      <c r="Q592" t="str">
        <f t="shared" si="47"/>
        <v>Q3</v>
      </c>
      <c r="R592" t="str">
        <f>IFERROR(VLOOKUP(TRIM(CLEAN(G592)),Sheet14!$A$2:$B$19,2,FALSE),"Not Mapped")</f>
        <v>West</v>
      </c>
    </row>
    <row r="593" spans="1:18">
      <c r="A593" t="str">
        <f t="shared" si="45"/>
        <v>EOS0592</v>
      </c>
      <c r="B593" s="35">
        <v>45888</v>
      </c>
      <c r="C593" s="1" t="s">
        <v>911</v>
      </c>
      <c r="D593" s="1"/>
      <c r="E593" s="1" t="s">
        <v>1094</v>
      </c>
      <c r="F593" s="1"/>
      <c r="G593" s="1" t="s">
        <v>224</v>
      </c>
      <c r="H593" s="1" t="s">
        <v>149</v>
      </c>
      <c r="I593" s="1">
        <v>108000</v>
      </c>
      <c r="J593" s="45">
        <v>107591</v>
      </c>
      <c r="K593" s="1" t="str">
        <f>TRIM(Cleaned_CRM_Data!H593)</f>
        <v>Rejected</v>
      </c>
      <c r="L593" t="str">
        <f>IFERROR(VLOOKUP(K593, Status_Mapping!A:B, 2,), "Not Found")</f>
        <v>Rejected</v>
      </c>
      <c r="N593" s="29" t="str">
        <f>IF(M593="","",M593-B593)</f>
        <v/>
      </c>
      <c r="O593" s="1" t="str">
        <f t="shared" si="46"/>
        <v>Starter</v>
      </c>
      <c r="P593" t="str">
        <f>TEXT(B593, "mmmm")</f>
        <v>August</v>
      </c>
      <c r="Q593" t="str">
        <f t="shared" si="47"/>
        <v>Q3</v>
      </c>
      <c r="R593" t="str">
        <f>IFERROR(VLOOKUP(TRIM(CLEAN(G593)),Sheet14!$A$2:$B$19,2,FALSE),"Not Mapped")</f>
        <v>West</v>
      </c>
    </row>
    <row r="594" spans="1:18">
      <c r="A594" t="str">
        <f t="shared" si="45"/>
        <v>EOS0593</v>
      </c>
      <c r="B594" s="35">
        <v>45889</v>
      </c>
      <c r="C594" s="1" t="s">
        <v>267</v>
      </c>
      <c r="D594" s="1" t="str">
        <f t="shared" ref="D594:D606" si="48">TRIM(CLEAN(SUBSTITUTE(C594,CHAR(160),"")))</f>
        <v>FB</v>
      </c>
      <c r="E594" s="1" t="s">
        <v>1095</v>
      </c>
      <c r="F594" s="1" t="s">
        <v>412</v>
      </c>
      <c r="G594" s="1" t="s">
        <v>223</v>
      </c>
      <c r="H594" s="1" t="s">
        <v>149</v>
      </c>
      <c r="I594" s="1">
        <v>130000</v>
      </c>
      <c r="J594" s="45">
        <v>107592</v>
      </c>
      <c r="K594" s="1" t="str">
        <f>TRIM(Cleaned_CRM_Data!H594)</f>
        <v>Rejected</v>
      </c>
      <c r="L594" t="str">
        <f>IFERROR(VLOOKUP(K594, Status_Mapping!A:B, 2,), "Not Found")</f>
        <v>Rejected</v>
      </c>
      <c r="N594" s="29" t="str">
        <f>IF(M594="","",M594-B594)</f>
        <v/>
      </c>
      <c r="O594" s="1" t="str">
        <f t="shared" si="46"/>
        <v>Starter</v>
      </c>
      <c r="P594" t="str">
        <f>TEXT(B594, "mmmm")</f>
        <v>August</v>
      </c>
      <c r="Q594" t="str">
        <f t="shared" si="47"/>
        <v>Q3</v>
      </c>
      <c r="R594" t="str">
        <f>IFERROR(VLOOKUP(TRIM(CLEAN(G594)),Sheet14!$A$2:$B$19,2,FALSE),"Not Mapped")</f>
        <v>West</v>
      </c>
    </row>
    <row r="595" spans="1:18">
      <c r="A595" t="str">
        <f t="shared" si="45"/>
        <v>EOS0594</v>
      </c>
      <c r="B595" s="35">
        <v>45889</v>
      </c>
      <c r="C595" s="1" t="s">
        <v>267</v>
      </c>
      <c r="D595" s="1" t="str">
        <f t="shared" si="48"/>
        <v>FB</v>
      </c>
      <c r="E595" s="1" t="s">
        <v>1096</v>
      </c>
      <c r="F595" s="1"/>
      <c r="G595" s="1" t="s">
        <v>223</v>
      </c>
      <c r="H595" s="1" t="s">
        <v>149</v>
      </c>
      <c r="I595" s="1">
        <v>108000</v>
      </c>
      <c r="J595" s="45">
        <v>107593</v>
      </c>
      <c r="K595" s="1" t="str">
        <f>TRIM(Cleaned_CRM_Data!H595)</f>
        <v>Rejected</v>
      </c>
      <c r="L595" t="str">
        <f>IFERROR(VLOOKUP(K595, Status_Mapping!A:B, 2,), "Not Found")</f>
        <v>Rejected</v>
      </c>
      <c r="N595" s="29" t="str">
        <f>IF(M595="","",M595-B595)</f>
        <v/>
      </c>
      <c r="O595" s="1" t="str">
        <f t="shared" si="46"/>
        <v>Starter</v>
      </c>
      <c r="P595" t="str">
        <f>TEXT(B595, "mmmm")</f>
        <v>August</v>
      </c>
      <c r="Q595" t="str">
        <f t="shared" si="47"/>
        <v>Q3</v>
      </c>
      <c r="R595" t="str">
        <f>IFERROR(VLOOKUP(TRIM(CLEAN(G595)),Sheet14!$A$2:$B$19,2,FALSE),"Not Mapped")</f>
        <v>West</v>
      </c>
    </row>
    <row r="596" spans="1:18">
      <c r="A596" t="str">
        <f t="shared" si="45"/>
        <v>EOS0595</v>
      </c>
      <c r="B596" s="35">
        <v>45889</v>
      </c>
      <c r="C596" s="1" t="s">
        <v>267</v>
      </c>
      <c r="D596" s="1" t="str">
        <f t="shared" si="48"/>
        <v>FB</v>
      </c>
      <c r="E596" s="1" t="s">
        <v>1097</v>
      </c>
      <c r="F596" s="1"/>
      <c r="G596" s="1" t="s">
        <v>223</v>
      </c>
      <c r="H596" s="1" t="s">
        <v>149</v>
      </c>
      <c r="I596" s="1">
        <v>130000</v>
      </c>
      <c r="J596" s="45">
        <v>107594</v>
      </c>
      <c r="K596" s="1" t="str">
        <f>TRIM(Cleaned_CRM_Data!H596)</f>
        <v>Rejected</v>
      </c>
      <c r="L596" t="str">
        <f>IFERROR(VLOOKUP(K596, Status_Mapping!A:B, 2,), "Not Found")</f>
        <v>Rejected</v>
      </c>
      <c r="N596" s="29" t="str">
        <f>IF(M596="","",M596-B596)</f>
        <v/>
      </c>
      <c r="O596" s="1" t="str">
        <f t="shared" si="46"/>
        <v>Starter</v>
      </c>
      <c r="P596" t="str">
        <f>TEXT(B596, "mmmm")</f>
        <v>August</v>
      </c>
      <c r="Q596" t="str">
        <f t="shared" si="47"/>
        <v>Q3</v>
      </c>
      <c r="R596" t="str">
        <f>IFERROR(VLOOKUP(TRIM(CLEAN(G596)),Sheet14!$A$2:$B$19,2,FALSE),"Not Mapped")</f>
        <v>West</v>
      </c>
    </row>
    <row r="597" spans="1:18">
      <c r="A597" t="str">
        <f t="shared" si="45"/>
        <v>EOS0596</v>
      </c>
      <c r="B597" s="35">
        <v>45889</v>
      </c>
      <c r="C597" s="1" t="s">
        <v>267</v>
      </c>
      <c r="D597" s="1" t="str">
        <f t="shared" si="48"/>
        <v>FB</v>
      </c>
      <c r="E597" s="1" t="s">
        <v>1098</v>
      </c>
      <c r="F597" s="1" t="s">
        <v>271</v>
      </c>
      <c r="G597" s="1" t="s">
        <v>224</v>
      </c>
      <c r="H597" s="1" t="s">
        <v>149</v>
      </c>
      <c r="I597" s="1">
        <v>108000</v>
      </c>
      <c r="J597" s="45">
        <v>107595</v>
      </c>
      <c r="K597" s="1" t="str">
        <f>TRIM(Cleaned_CRM_Data!H597)</f>
        <v>Rejected</v>
      </c>
      <c r="L597" t="str">
        <f>IFERROR(VLOOKUP(K597, Status_Mapping!A:B, 2,), "Not Found")</f>
        <v>Rejected</v>
      </c>
      <c r="N597" s="29" t="str">
        <f>IF(M597="","",M597-B597)</f>
        <v/>
      </c>
      <c r="O597" s="1" t="str">
        <f t="shared" si="46"/>
        <v>Starter</v>
      </c>
      <c r="P597" t="str">
        <f>TEXT(B597, "mmmm")</f>
        <v>August</v>
      </c>
      <c r="Q597" t="str">
        <f t="shared" si="47"/>
        <v>Q3</v>
      </c>
      <c r="R597" t="str">
        <f>IFERROR(VLOOKUP(TRIM(CLEAN(G597)),Sheet14!$A$2:$B$19,2,FALSE),"Not Mapped")</f>
        <v>West</v>
      </c>
    </row>
    <row r="598" spans="1:18">
      <c r="A598" t="str">
        <f t="shared" si="45"/>
        <v>EOS0597</v>
      </c>
      <c r="B598" s="35">
        <v>45889</v>
      </c>
      <c r="C598" s="1" t="s">
        <v>267</v>
      </c>
      <c r="D598" s="1" t="str">
        <f t="shared" si="48"/>
        <v>FB</v>
      </c>
      <c r="E598" s="1" t="s">
        <v>1099</v>
      </c>
      <c r="F598" s="1" t="s">
        <v>275</v>
      </c>
      <c r="G598" s="1" t="s">
        <v>224</v>
      </c>
      <c r="H598" s="1" t="s">
        <v>149</v>
      </c>
      <c r="I598" s="1">
        <v>130000</v>
      </c>
      <c r="J598" s="45">
        <v>107596</v>
      </c>
      <c r="K598" s="1" t="str">
        <f>TRIM(Cleaned_CRM_Data!H598)</f>
        <v>Rejected</v>
      </c>
      <c r="L598" t="str">
        <f>IFERROR(VLOOKUP(K598, Status_Mapping!A:B, 2,), "Not Found")</f>
        <v>Rejected</v>
      </c>
      <c r="N598" s="29" t="str">
        <f>IF(M598="","",M598-B598)</f>
        <v/>
      </c>
      <c r="O598" s="1" t="str">
        <f t="shared" si="46"/>
        <v>Starter</v>
      </c>
      <c r="P598" t="str">
        <f>TEXT(B598, "mmmm")</f>
        <v>August</v>
      </c>
      <c r="Q598" t="str">
        <f t="shared" si="47"/>
        <v>Q3</v>
      </c>
      <c r="R598" t="str">
        <f>IFERROR(VLOOKUP(TRIM(CLEAN(G598)),Sheet14!$A$2:$B$19,2,FALSE),"Not Mapped")</f>
        <v>West</v>
      </c>
    </row>
    <row r="599" spans="1:18">
      <c r="A599" t="str">
        <f t="shared" si="45"/>
        <v>EOS0598</v>
      </c>
      <c r="B599" s="35">
        <v>45889</v>
      </c>
      <c r="C599" s="1" t="s">
        <v>267</v>
      </c>
      <c r="D599" s="1" t="str">
        <f t="shared" si="48"/>
        <v>FB</v>
      </c>
      <c r="E599" s="1" t="s">
        <v>1100</v>
      </c>
      <c r="F599" s="1"/>
      <c r="G599" s="1" t="s">
        <v>223</v>
      </c>
      <c r="H599" s="1" t="s">
        <v>149</v>
      </c>
      <c r="I599" s="1">
        <v>130000</v>
      </c>
      <c r="J599" s="45">
        <v>107597</v>
      </c>
      <c r="K599" s="1" t="str">
        <f>TRIM(Cleaned_CRM_Data!H599)</f>
        <v>Rejected</v>
      </c>
      <c r="L599" t="str">
        <f>IFERROR(VLOOKUP(K599, Status_Mapping!A:B, 2,), "Not Found")</f>
        <v>Rejected</v>
      </c>
      <c r="N599" s="29" t="str">
        <f>IF(M599="","",M599-B599)</f>
        <v/>
      </c>
      <c r="O599" s="1" t="str">
        <f t="shared" si="46"/>
        <v>Starter</v>
      </c>
      <c r="P599" t="str">
        <f>TEXT(B599, "mmmm")</f>
        <v>August</v>
      </c>
      <c r="Q599" t="str">
        <f t="shared" si="47"/>
        <v>Q3</v>
      </c>
      <c r="R599" t="str">
        <f>IFERROR(VLOOKUP(TRIM(CLEAN(G599)),Sheet14!$A$2:$B$19,2,FALSE),"Not Mapped")</f>
        <v>West</v>
      </c>
    </row>
    <row r="600" spans="1:18">
      <c r="A600" t="str">
        <f t="shared" si="45"/>
        <v>EOS0599</v>
      </c>
      <c r="B600" s="35">
        <v>45889</v>
      </c>
      <c r="C600" s="1" t="s">
        <v>267</v>
      </c>
      <c r="D600" s="1" t="str">
        <f t="shared" si="48"/>
        <v>FB</v>
      </c>
      <c r="E600" s="1" t="s">
        <v>1101</v>
      </c>
      <c r="F600" s="1"/>
      <c r="G600" s="1" t="s">
        <v>223</v>
      </c>
      <c r="H600" s="1" t="s">
        <v>149</v>
      </c>
      <c r="I600" s="1">
        <v>108000</v>
      </c>
      <c r="J600" s="45">
        <v>107598</v>
      </c>
      <c r="K600" s="1" t="str">
        <f>TRIM(Cleaned_CRM_Data!H600)</f>
        <v>Rejected</v>
      </c>
      <c r="L600" t="str">
        <f>IFERROR(VLOOKUP(K600, Status_Mapping!A:B, 2,), "Not Found")</f>
        <v>Rejected</v>
      </c>
      <c r="N600" s="29" t="str">
        <f>IF(M600="","",M600-B600)</f>
        <v/>
      </c>
      <c r="O600" s="1" t="str">
        <f t="shared" si="46"/>
        <v>Starter</v>
      </c>
      <c r="P600" t="str">
        <f>TEXT(B600, "mmmm")</f>
        <v>August</v>
      </c>
      <c r="Q600" t="str">
        <f t="shared" si="47"/>
        <v>Q3</v>
      </c>
      <c r="R600" t="str">
        <f>IFERROR(VLOOKUP(TRIM(CLEAN(G600)),Sheet14!$A$2:$B$19,2,FALSE),"Not Mapped")</f>
        <v>West</v>
      </c>
    </row>
    <row r="601" spans="1:18">
      <c r="A601" t="str">
        <f t="shared" si="45"/>
        <v>EOS0600</v>
      </c>
      <c r="B601" s="35">
        <v>45889</v>
      </c>
      <c r="C601" s="1" t="s">
        <v>267</v>
      </c>
      <c r="D601" s="1" t="str">
        <f t="shared" si="48"/>
        <v>FB</v>
      </c>
      <c r="E601" s="1" t="s">
        <v>1102</v>
      </c>
      <c r="F601" s="1"/>
      <c r="G601" s="1" t="s">
        <v>223</v>
      </c>
      <c r="H601" s="1" t="s">
        <v>149</v>
      </c>
      <c r="I601" s="1">
        <v>108000</v>
      </c>
      <c r="J601" s="45">
        <v>107599</v>
      </c>
      <c r="K601" s="1" t="str">
        <f>TRIM(Cleaned_CRM_Data!H601)</f>
        <v>Rejected</v>
      </c>
      <c r="L601" t="str">
        <f>IFERROR(VLOOKUP(K601, Status_Mapping!A:B, 2,), "Not Found")</f>
        <v>Rejected</v>
      </c>
      <c r="N601" s="29" t="str">
        <f>IF(M601="","",M601-B601)</f>
        <v/>
      </c>
      <c r="O601" s="1" t="str">
        <f t="shared" si="46"/>
        <v>Starter</v>
      </c>
      <c r="P601" t="str">
        <f>TEXT(B601, "mmmm")</f>
        <v>August</v>
      </c>
      <c r="Q601" t="str">
        <f t="shared" si="47"/>
        <v>Q3</v>
      </c>
      <c r="R601" t="str">
        <f>IFERROR(VLOOKUP(TRIM(CLEAN(G601)),Sheet14!$A$2:$B$19,2,FALSE),"Not Mapped")</f>
        <v>West</v>
      </c>
    </row>
    <row r="602" spans="1:18">
      <c r="A602" t="str">
        <f t="shared" si="45"/>
        <v>EOS0601</v>
      </c>
      <c r="B602" s="35">
        <v>45889</v>
      </c>
      <c r="C602" s="1" t="s">
        <v>267</v>
      </c>
      <c r="D602" s="1" t="str">
        <f t="shared" si="48"/>
        <v>FB</v>
      </c>
      <c r="E602" s="1" t="s">
        <v>1103</v>
      </c>
      <c r="F602" s="1" t="s">
        <v>300</v>
      </c>
      <c r="G602" s="1" t="s">
        <v>223</v>
      </c>
      <c r="H602" s="1" t="s">
        <v>149</v>
      </c>
      <c r="I602" s="1">
        <v>130000</v>
      </c>
      <c r="J602" s="45">
        <v>107600</v>
      </c>
      <c r="K602" s="1" t="str">
        <f>TRIM(Cleaned_CRM_Data!H602)</f>
        <v>Rejected</v>
      </c>
      <c r="L602" t="str">
        <f>IFERROR(VLOOKUP(K602, Status_Mapping!A:B, 2,), "Not Found")</f>
        <v>Rejected</v>
      </c>
      <c r="N602" s="29" t="str">
        <f>IF(M602="","",M602-B602)</f>
        <v/>
      </c>
      <c r="O602" s="1" t="str">
        <f t="shared" si="46"/>
        <v>Starter</v>
      </c>
      <c r="P602" t="str">
        <f>TEXT(B602, "mmmm")</f>
        <v>August</v>
      </c>
      <c r="Q602" t="str">
        <f t="shared" si="47"/>
        <v>Q3</v>
      </c>
      <c r="R602" t="str">
        <f>IFERROR(VLOOKUP(TRIM(CLEAN(G602)),Sheet14!$A$2:$B$19,2,FALSE),"Not Mapped")</f>
        <v>West</v>
      </c>
    </row>
    <row r="603" spans="1:18">
      <c r="A603" t="str">
        <f t="shared" si="45"/>
        <v>EOS0602</v>
      </c>
      <c r="B603" s="35">
        <v>45889</v>
      </c>
      <c r="C603" s="1" t="s">
        <v>267</v>
      </c>
      <c r="D603" s="1" t="str">
        <f t="shared" si="48"/>
        <v>FB</v>
      </c>
      <c r="E603" s="1" t="s">
        <v>1104</v>
      </c>
      <c r="F603" s="1" t="s">
        <v>296</v>
      </c>
      <c r="G603" s="1" t="s">
        <v>223</v>
      </c>
      <c r="H603" s="1" t="s">
        <v>149</v>
      </c>
      <c r="I603" s="1">
        <v>108000</v>
      </c>
      <c r="J603" s="45">
        <v>107601</v>
      </c>
      <c r="K603" s="1" t="str">
        <f>TRIM(Cleaned_CRM_Data!H603)</f>
        <v>Rejected</v>
      </c>
      <c r="L603" t="str">
        <f>IFERROR(VLOOKUP(K603, Status_Mapping!A:B, 2,), "Not Found")</f>
        <v>Rejected</v>
      </c>
      <c r="N603" s="29" t="str">
        <f>IF(M603="","",M603-B603)</f>
        <v/>
      </c>
      <c r="O603" s="1" t="str">
        <f t="shared" si="46"/>
        <v>Starter</v>
      </c>
      <c r="P603" t="str">
        <f>TEXT(B603, "mmmm")</f>
        <v>August</v>
      </c>
      <c r="Q603" t="str">
        <f t="shared" si="47"/>
        <v>Q3</v>
      </c>
      <c r="R603" t="str">
        <f>IFERROR(VLOOKUP(TRIM(CLEAN(G603)),Sheet14!$A$2:$B$19,2,FALSE),"Not Mapped")</f>
        <v>West</v>
      </c>
    </row>
    <row r="604" spans="1:18">
      <c r="A604" t="str">
        <f t="shared" si="45"/>
        <v>EOS0603</v>
      </c>
      <c r="B604" s="35">
        <v>45889</v>
      </c>
      <c r="C604" s="1" t="s">
        <v>267</v>
      </c>
      <c r="D604" s="1" t="str">
        <f t="shared" si="48"/>
        <v>FB</v>
      </c>
      <c r="E604" s="1" t="s">
        <v>1105</v>
      </c>
      <c r="F604" s="1"/>
      <c r="G604" s="1"/>
      <c r="H604" s="1" t="s">
        <v>149</v>
      </c>
      <c r="I604" s="1">
        <v>108000</v>
      </c>
      <c r="J604" s="45">
        <v>107602</v>
      </c>
      <c r="K604" s="1" t="str">
        <f>TRIM(Cleaned_CRM_Data!H604)</f>
        <v>Rejected</v>
      </c>
      <c r="L604" t="str">
        <f>IFERROR(VLOOKUP(K604, Status_Mapping!A:B, 2,), "Not Found")</f>
        <v>Rejected</v>
      </c>
      <c r="N604" s="29" t="str">
        <f>IF(M604="","",M604-B604)</f>
        <v/>
      </c>
      <c r="O604" s="1" t="str">
        <f t="shared" si="46"/>
        <v>Starter</v>
      </c>
      <c r="P604" t="str">
        <f>TEXT(B604, "mmmm")</f>
        <v>August</v>
      </c>
      <c r="Q604" t="str">
        <f t="shared" si="47"/>
        <v>Q3</v>
      </c>
      <c r="R604" t="str">
        <f>IFERROR(VLOOKUP(TRIM(CLEAN(G604)),Sheet14!$A$2:$B$19,2,FALSE),"Not Mapped")</f>
        <v>Not Mapped</v>
      </c>
    </row>
    <row r="605" spans="1:18">
      <c r="A605" t="str">
        <f t="shared" si="45"/>
        <v>EOS0604</v>
      </c>
      <c r="B605" s="35">
        <v>45889</v>
      </c>
      <c r="C605" s="1" t="s">
        <v>267</v>
      </c>
      <c r="D605" s="1" t="str">
        <f t="shared" si="48"/>
        <v>FB</v>
      </c>
      <c r="E605" s="1" t="s">
        <v>1106</v>
      </c>
      <c r="F605" s="1"/>
      <c r="G605" s="1" t="s">
        <v>233</v>
      </c>
      <c r="H605" s="1" t="s">
        <v>149</v>
      </c>
      <c r="I605" s="1">
        <v>130000</v>
      </c>
      <c r="J605" s="45">
        <v>107603</v>
      </c>
      <c r="K605" s="1" t="str">
        <f>TRIM(Cleaned_CRM_Data!H605)</f>
        <v>Rejected</v>
      </c>
      <c r="L605" t="str">
        <f>IFERROR(VLOOKUP(K605, Status_Mapping!A:B, 2,), "Not Found")</f>
        <v>Rejected</v>
      </c>
      <c r="N605" s="29" t="str">
        <f>IF(M605="","",M605-B605)</f>
        <v/>
      </c>
      <c r="O605" s="1" t="str">
        <f t="shared" si="46"/>
        <v>Starter</v>
      </c>
      <c r="P605" t="str">
        <f>TEXT(B605, "mmmm")</f>
        <v>August</v>
      </c>
      <c r="Q605" t="str">
        <f t="shared" si="47"/>
        <v>Q3</v>
      </c>
      <c r="R605" t="str">
        <f>IFERROR(VLOOKUP(TRIM(CLEAN(G605)),Sheet14!$A$2:$B$19,2,FALSE),"Not Mapped")</f>
        <v>North</v>
      </c>
    </row>
    <row r="606" spans="1:18">
      <c r="A606" t="str">
        <f t="shared" si="45"/>
        <v>EOS0605</v>
      </c>
      <c r="B606" s="35">
        <v>45889</v>
      </c>
      <c r="C606" s="1" t="s">
        <v>267</v>
      </c>
      <c r="D606" s="1" t="str">
        <f t="shared" si="48"/>
        <v>FB</v>
      </c>
      <c r="E606" s="1" t="s">
        <v>1107</v>
      </c>
      <c r="F606" s="1" t="s">
        <v>275</v>
      </c>
      <c r="G606" s="1" t="s">
        <v>223</v>
      </c>
      <c r="H606" s="1" t="s">
        <v>149</v>
      </c>
      <c r="I606" s="1">
        <v>108000</v>
      </c>
      <c r="J606" s="45">
        <v>107604</v>
      </c>
      <c r="K606" s="1" t="str">
        <f>TRIM(Cleaned_CRM_Data!H606)</f>
        <v>Rejected</v>
      </c>
      <c r="L606" t="str">
        <f>IFERROR(VLOOKUP(K606, Status_Mapping!A:B, 2,), "Not Found")</f>
        <v>Rejected</v>
      </c>
      <c r="N606" s="29" t="str">
        <f>IF(M606="","",M606-B606)</f>
        <v/>
      </c>
      <c r="O606" s="1" t="str">
        <f t="shared" si="46"/>
        <v>Starter</v>
      </c>
      <c r="P606" t="str">
        <f>TEXT(B606, "mmmm")</f>
        <v>August</v>
      </c>
      <c r="Q606" t="str">
        <f t="shared" si="47"/>
        <v>Q3</v>
      </c>
      <c r="R606" t="str">
        <f>IFERROR(VLOOKUP(TRIM(CLEAN(G606)),Sheet14!$A$2:$B$19,2,FALSE),"Not Mapped")</f>
        <v>West</v>
      </c>
    </row>
    <row r="607" spans="1:18">
      <c r="A607" t="str">
        <f t="shared" si="45"/>
        <v>EOS0606</v>
      </c>
      <c r="B607" s="35">
        <v>45889</v>
      </c>
      <c r="C607" s="1" t="s">
        <v>911</v>
      </c>
      <c r="D607" s="1"/>
      <c r="E607" s="1" t="s">
        <v>1108</v>
      </c>
      <c r="F607" s="1"/>
      <c r="G607" s="1" t="s">
        <v>223</v>
      </c>
      <c r="H607" s="1" t="s">
        <v>149</v>
      </c>
      <c r="I607" s="1">
        <v>108000</v>
      </c>
      <c r="J607" s="45">
        <v>107605</v>
      </c>
      <c r="K607" s="1" t="str">
        <f>TRIM(Cleaned_CRM_Data!H607)</f>
        <v>Rejected</v>
      </c>
      <c r="L607" t="str">
        <f>IFERROR(VLOOKUP(K607, Status_Mapping!A:B, 2,), "Not Found")</f>
        <v>Rejected</v>
      </c>
      <c r="N607" s="29" t="str">
        <f>IF(M607="","",M607-B607)</f>
        <v/>
      </c>
      <c r="O607" s="1" t="str">
        <f t="shared" si="46"/>
        <v>Starter</v>
      </c>
      <c r="P607" t="str">
        <f>TEXT(B607, "mmmm")</f>
        <v>August</v>
      </c>
      <c r="Q607" t="str">
        <f t="shared" si="47"/>
        <v>Q3</v>
      </c>
      <c r="R607" t="str">
        <f>IFERROR(VLOOKUP(TRIM(CLEAN(G607)),Sheet14!$A$2:$B$19,2,FALSE),"Not Mapped")</f>
        <v>West</v>
      </c>
    </row>
    <row r="608" spans="1:18">
      <c r="A608" t="str">
        <f t="shared" si="45"/>
        <v>EOS0607</v>
      </c>
      <c r="B608" s="35">
        <v>45889</v>
      </c>
      <c r="C608" s="1" t="s">
        <v>911</v>
      </c>
      <c r="D608" s="1"/>
      <c r="E608" s="1" t="s">
        <v>1109</v>
      </c>
      <c r="F608" s="1" t="s">
        <v>1110</v>
      </c>
      <c r="G608" s="1" t="s">
        <v>236</v>
      </c>
      <c r="H608" s="1" t="s">
        <v>149</v>
      </c>
      <c r="I608" s="1">
        <v>130000</v>
      </c>
      <c r="J608" s="45">
        <v>107606</v>
      </c>
      <c r="K608" s="1" t="str">
        <f>TRIM(Cleaned_CRM_Data!H608)</f>
        <v>Rejected</v>
      </c>
      <c r="L608" t="str">
        <f>IFERROR(VLOOKUP(K608, Status_Mapping!A:B, 2,), "Not Found")</f>
        <v>Rejected</v>
      </c>
      <c r="N608" s="29" t="str">
        <f>IF(M608="","",M608-B608)</f>
        <v/>
      </c>
      <c r="O608" s="1" t="str">
        <f t="shared" si="46"/>
        <v>Starter</v>
      </c>
      <c r="P608" t="str">
        <f>TEXT(B608, "mmmm")</f>
        <v>August</v>
      </c>
      <c r="Q608" t="str">
        <f t="shared" si="47"/>
        <v>Q3</v>
      </c>
      <c r="R608" t="str">
        <f>IFERROR(VLOOKUP(TRIM(CLEAN(G608)),Sheet14!$A$2:$B$19,2,FALSE),"Not Mapped")</f>
        <v>North</v>
      </c>
    </row>
    <row r="609" spans="1:18">
      <c r="A609" t="str">
        <f t="shared" si="45"/>
        <v>EOS0608</v>
      </c>
      <c r="B609" s="35">
        <v>45889</v>
      </c>
      <c r="C609" s="1" t="s">
        <v>911</v>
      </c>
      <c r="D609" s="1"/>
      <c r="E609" s="1" t="s">
        <v>1093</v>
      </c>
      <c r="F609" s="1"/>
      <c r="G609" s="1"/>
      <c r="H609" s="1" t="s">
        <v>149</v>
      </c>
      <c r="I609" s="1">
        <v>130000</v>
      </c>
      <c r="J609" s="45">
        <v>107607</v>
      </c>
      <c r="K609" s="1" t="str">
        <f>TRIM(Cleaned_CRM_Data!H609)</f>
        <v>Rejected</v>
      </c>
      <c r="L609" t="str">
        <f>IFERROR(VLOOKUP(K609, Status_Mapping!A:B, 2,), "Not Found")</f>
        <v>Rejected</v>
      </c>
      <c r="N609" s="29" t="str">
        <f>IF(M609="","",M609-B609)</f>
        <v/>
      </c>
      <c r="O609" s="1" t="str">
        <f t="shared" si="46"/>
        <v>Starter</v>
      </c>
      <c r="P609" t="str">
        <f>TEXT(B609, "mmmm")</f>
        <v>August</v>
      </c>
      <c r="Q609" t="str">
        <f t="shared" si="47"/>
        <v>Q3</v>
      </c>
      <c r="R609" t="str">
        <f>IFERROR(VLOOKUP(TRIM(CLEAN(G609)),Sheet14!$A$2:$B$19,2,FALSE),"Not Mapped")</f>
        <v>Not Mapped</v>
      </c>
    </row>
    <row r="610" spans="1:18">
      <c r="A610" t="str">
        <f t="shared" si="45"/>
        <v>EOS0609</v>
      </c>
      <c r="B610" s="35">
        <v>45890</v>
      </c>
      <c r="C610" s="1" t="s">
        <v>267</v>
      </c>
      <c r="D610" s="1" t="str">
        <f t="shared" ref="D610:D611" si="49">TRIM(CLEAN(SUBSTITUTE(C610,CHAR(160),"")))</f>
        <v>FB</v>
      </c>
      <c r="E610" s="1" t="s">
        <v>1111</v>
      </c>
      <c r="F610" s="1" t="s">
        <v>321</v>
      </c>
      <c r="G610" s="1" t="s">
        <v>223</v>
      </c>
      <c r="H610" s="1" t="s">
        <v>149</v>
      </c>
      <c r="I610" s="1">
        <v>130000</v>
      </c>
      <c r="J610" s="45">
        <v>107608</v>
      </c>
      <c r="K610" s="1" t="str">
        <f>TRIM(Cleaned_CRM_Data!H610)</f>
        <v>Rejected</v>
      </c>
      <c r="L610" t="str">
        <f>IFERROR(VLOOKUP(K610, Status_Mapping!A:B, 2,), "Not Found")</f>
        <v>Rejected</v>
      </c>
      <c r="N610" s="29" t="str">
        <f>IF(M610="","",M610-B610)</f>
        <v/>
      </c>
      <c r="O610" s="1" t="str">
        <f t="shared" si="46"/>
        <v>Starter</v>
      </c>
      <c r="P610" t="str">
        <f>TEXT(B610, "mmmm")</f>
        <v>August</v>
      </c>
      <c r="Q610" t="str">
        <f t="shared" si="47"/>
        <v>Q3</v>
      </c>
      <c r="R610" t="str">
        <f>IFERROR(VLOOKUP(TRIM(CLEAN(G610)),Sheet14!$A$2:$B$19,2,FALSE),"Not Mapped")</f>
        <v>West</v>
      </c>
    </row>
    <row r="611" spans="1:18">
      <c r="A611" t="str">
        <f t="shared" si="45"/>
        <v>EOS0610</v>
      </c>
      <c r="B611" s="35">
        <v>45890</v>
      </c>
      <c r="C611" s="1" t="s">
        <v>267</v>
      </c>
      <c r="D611" s="1" t="str">
        <f t="shared" si="49"/>
        <v>FB</v>
      </c>
      <c r="E611" s="1" t="s">
        <v>1112</v>
      </c>
      <c r="F611" s="1" t="s">
        <v>1113</v>
      </c>
      <c r="G611" s="1" t="s">
        <v>223</v>
      </c>
      <c r="H611" s="1" t="s">
        <v>149</v>
      </c>
      <c r="I611" s="1">
        <v>130000</v>
      </c>
      <c r="J611" s="45">
        <v>107609</v>
      </c>
      <c r="K611" s="1" t="str">
        <f>TRIM(Cleaned_CRM_Data!H611)</f>
        <v>Rejected</v>
      </c>
      <c r="L611" t="str">
        <f>IFERROR(VLOOKUP(K611, Status_Mapping!A:B, 2,), "Not Found")</f>
        <v>Rejected</v>
      </c>
      <c r="N611" s="29" t="str">
        <f>IF(M611="","",M611-B611)</f>
        <v/>
      </c>
      <c r="O611" s="1" t="str">
        <f t="shared" si="46"/>
        <v>Starter</v>
      </c>
      <c r="P611" t="str">
        <f>TEXT(B611, "mmmm")</f>
        <v>August</v>
      </c>
      <c r="Q611" t="str">
        <f t="shared" si="47"/>
        <v>Q3</v>
      </c>
      <c r="R611" t="str">
        <f>IFERROR(VLOOKUP(TRIM(CLEAN(G611)),Sheet14!$A$2:$B$19,2,FALSE),"Not Mapped")</f>
        <v>West</v>
      </c>
    </row>
    <row r="612" spans="1:18">
      <c r="A612" t="str">
        <f t="shared" si="45"/>
        <v>EOS0611</v>
      </c>
      <c r="B612" s="35">
        <v>45891</v>
      </c>
      <c r="C612" s="1" t="s">
        <v>911</v>
      </c>
      <c r="D612" s="1"/>
      <c r="E612" s="1" t="s">
        <v>1114</v>
      </c>
      <c r="F612" s="1"/>
      <c r="G612" s="1"/>
      <c r="H612" s="1" t="s">
        <v>149</v>
      </c>
      <c r="I612" s="1">
        <v>130000</v>
      </c>
      <c r="J612" s="45">
        <v>107610</v>
      </c>
      <c r="K612" s="1" t="str">
        <f>TRIM(Cleaned_CRM_Data!H612)</f>
        <v>Rejected</v>
      </c>
      <c r="L612" t="str">
        <f>IFERROR(VLOOKUP(K612, Status_Mapping!A:B, 2,), "Not Found")</f>
        <v>Rejected</v>
      </c>
      <c r="N612" s="29" t="str">
        <f>IF(M612="","",M612-B612)</f>
        <v/>
      </c>
      <c r="O612" s="1" t="str">
        <f t="shared" si="46"/>
        <v>Starter</v>
      </c>
      <c r="P612" t="str">
        <f>TEXT(B612, "mmmm")</f>
        <v>August</v>
      </c>
      <c r="Q612" t="str">
        <f t="shared" si="47"/>
        <v>Q3</v>
      </c>
      <c r="R612" t="str">
        <f>IFERROR(VLOOKUP(TRIM(CLEAN(G612)),Sheet14!$A$2:$B$19,2,FALSE),"Not Mapped")</f>
        <v>Not Mapped</v>
      </c>
    </row>
    <row r="613" spans="1:18">
      <c r="A613" t="str">
        <f t="shared" si="45"/>
        <v>EOS0612</v>
      </c>
      <c r="B613" s="35">
        <v>45891</v>
      </c>
      <c r="C613" s="1" t="s">
        <v>911</v>
      </c>
      <c r="D613" s="1"/>
      <c r="E613" s="1" t="s">
        <v>1115</v>
      </c>
      <c r="F613" s="1"/>
      <c r="G613" s="1" t="s">
        <v>237</v>
      </c>
      <c r="H613" s="1" t="s">
        <v>149</v>
      </c>
      <c r="I613" s="1">
        <v>177000</v>
      </c>
      <c r="J613" s="45">
        <v>107611</v>
      </c>
      <c r="K613" s="1" t="str">
        <f>TRIM(Cleaned_CRM_Data!H613)</f>
        <v>Rejected</v>
      </c>
      <c r="L613" t="str">
        <f>IFERROR(VLOOKUP(K613, Status_Mapping!A:B, 2,), "Not Found")</f>
        <v>Rejected</v>
      </c>
      <c r="N613" s="29" t="str">
        <f>IF(M613="","",M613-B613)</f>
        <v/>
      </c>
      <c r="O613" s="1" t="str">
        <f t="shared" si="46"/>
        <v>Growth</v>
      </c>
      <c r="P613" t="str">
        <f>TEXT(B613, "mmmm")</f>
        <v>August</v>
      </c>
      <c r="Q613" t="str">
        <f t="shared" si="47"/>
        <v>Q3</v>
      </c>
      <c r="R613" t="str">
        <f>IFERROR(VLOOKUP(TRIM(CLEAN(G613)),Sheet14!$A$2:$B$19,2,FALSE),"Not Mapped")</f>
        <v>North</v>
      </c>
    </row>
    <row r="614" spans="1:18">
      <c r="A614" t="str">
        <f t="shared" si="45"/>
        <v>EOS0613</v>
      </c>
      <c r="B614" s="35">
        <v>45768</v>
      </c>
      <c r="C614" s="1" t="s">
        <v>911</v>
      </c>
      <c r="D614" s="1"/>
      <c r="E614" s="1" t="s">
        <v>1116</v>
      </c>
      <c r="F614" s="1"/>
      <c r="G614" s="1" t="s">
        <v>223</v>
      </c>
      <c r="H614" s="1" t="s">
        <v>149</v>
      </c>
      <c r="I614" s="1">
        <v>130000</v>
      </c>
      <c r="J614" s="45">
        <v>107612</v>
      </c>
      <c r="K614" s="1" t="str">
        <f>TRIM(Cleaned_CRM_Data!H614)</f>
        <v>Rejected</v>
      </c>
      <c r="L614" t="str">
        <f>IFERROR(VLOOKUP(K614, Status_Mapping!A:B, 2,), "Not Found")</f>
        <v>Rejected</v>
      </c>
      <c r="N614" s="29" t="str">
        <f>IF(M614="","",M614-B614)</f>
        <v/>
      </c>
      <c r="O614" s="1" t="str">
        <f t="shared" si="46"/>
        <v>Starter</v>
      </c>
      <c r="P614" t="str">
        <f>TEXT(B614, "mmmm")</f>
        <v>April</v>
      </c>
      <c r="Q614" t="str">
        <f t="shared" si="47"/>
        <v>Q2</v>
      </c>
      <c r="R614" t="str">
        <f>IFERROR(VLOOKUP(TRIM(CLEAN(G614)),Sheet14!$A$2:$B$19,2,FALSE),"Not Mapped")</f>
        <v>West</v>
      </c>
    </row>
    <row r="615" spans="1:18">
      <c r="A615" t="str">
        <f t="shared" si="45"/>
        <v>EOS0614</v>
      </c>
      <c r="B615" s="35">
        <v>45891</v>
      </c>
      <c r="C615" s="1" t="s">
        <v>267</v>
      </c>
      <c r="D615" s="1" t="str">
        <f t="shared" ref="D615:D616" si="50">TRIM(CLEAN(SUBSTITUTE(C615,CHAR(160),"")))</f>
        <v>FB</v>
      </c>
      <c r="E615" s="1" t="s">
        <v>1117</v>
      </c>
      <c r="F615" s="1"/>
      <c r="G615" s="1" t="s">
        <v>223</v>
      </c>
      <c r="H615" s="1" t="s">
        <v>149</v>
      </c>
      <c r="I615" s="1">
        <v>177000</v>
      </c>
      <c r="J615" s="45">
        <v>107613</v>
      </c>
      <c r="K615" s="1" t="str">
        <f>TRIM(Cleaned_CRM_Data!H615)</f>
        <v>Rejected</v>
      </c>
      <c r="L615" t="str">
        <f>IFERROR(VLOOKUP(K615, Status_Mapping!A:B, 2,), "Not Found")</f>
        <v>Rejected</v>
      </c>
      <c r="N615" s="29" t="str">
        <f>IF(M615="","",M615-B615)</f>
        <v/>
      </c>
      <c r="O615" s="1" t="str">
        <f t="shared" si="46"/>
        <v>Growth</v>
      </c>
      <c r="P615" t="str">
        <f>TEXT(B615, "mmmm")</f>
        <v>August</v>
      </c>
      <c r="Q615" t="str">
        <f t="shared" si="47"/>
        <v>Q3</v>
      </c>
      <c r="R615" t="str">
        <f>IFERROR(VLOOKUP(TRIM(CLEAN(G615)),Sheet14!$A$2:$B$19,2,FALSE),"Not Mapped")</f>
        <v>West</v>
      </c>
    </row>
    <row r="616" spans="1:18">
      <c r="A616" t="str">
        <f t="shared" si="45"/>
        <v>EOS0615</v>
      </c>
      <c r="B616" s="35">
        <v>45891</v>
      </c>
      <c r="C616" s="1" t="s">
        <v>267</v>
      </c>
      <c r="D616" s="1" t="str">
        <f t="shared" si="50"/>
        <v>FB</v>
      </c>
      <c r="E616" s="1" t="s">
        <v>1118</v>
      </c>
      <c r="F616" s="1"/>
      <c r="G616" s="1" t="s">
        <v>223</v>
      </c>
      <c r="H616" s="1" t="s">
        <v>149</v>
      </c>
      <c r="I616" s="1">
        <v>130000</v>
      </c>
      <c r="J616" s="45">
        <v>107614</v>
      </c>
      <c r="K616" s="1" t="str">
        <f>TRIM(Cleaned_CRM_Data!H616)</f>
        <v>Rejected</v>
      </c>
      <c r="L616" t="str">
        <f>IFERROR(VLOOKUP(K616, Status_Mapping!A:B, 2,), "Not Found")</f>
        <v>Rejected</v>
      </c>
      <c r="N616" s="29" t="str">
        <f>IF(M616="","",M616-B616)</f>
        <v/>
      </c>
      <c r="O616" s="1" t="str">
        <f t="shared" si="46"/>
        <v>Starter</v>
      </c>
      <c r="P616" t="str">
        <f>TEXT(B616, "mmmm")</f>
        <v>August</v>
      </c>
      <c r="Q616" t="str">
        <f t="shared" si="47"/>
        <v>Q3</v>
      </c>
      <c r="R616" t="str">
        <f>IFERROR(VLOOKUP(TRIM(CLEAN(G616)),Sheet14!$A$2:$B$19,2,FALSE),"Not Mapped")</f>
        <v>West</v>
      </c>
    </row>
    <row r="617" spans="1:18">
      <c r="A617" t="str">
        <f t="shared" si="45"/>
        <v>EOS0616</v>
      </c>
      <c r="B617" s="35">
        <v>45892</v>
      </c>
      <c r="C617" s="1" t="s">
        <v>911</v>
      </c>
      <c r="D617" s="1"/>
      <c r="E617" s="1" t="s">
        <v>1119</v>
      </c>
      <c r="F617" s="1" t="s">
        <v>275</v>
      </c>
      <c r="G617" s="1" t="s">
        <v>223</v>
      </c>
      <c r="H617" s="1" t="s">
        <v>149</v>
      </c>
      <c r="I617" s="1">
        <v>108000</v>
      </c>
      <c r="J617" s="45">
        <v>107615</v>
      </c>
      <c r="K617" s="1" t="str">
        <f>TRIM(Cleaned_CRM_Data!H617)</f>
        <v>Rejected</v>
      </c>
      <c r="L617" t="str">
        <f>IFERROR(VLOOKUP(K617, Status_Mapping!A:B, 2,), "Not Found")</f>
        <v>Rejected</v>
      </c>
      <c r="N617" s="29" t="str">
        <f>IF(M617="","",M617-B617)</f>
        <v/>
      </c>
      <c r="O617" s="1" t="str">
        <f t="shared" si="46"/>
        <v>Starter</v>
      </c>
      <c r="P617" t="str">
        <f>TEXT(B617, "mmmm")</f>
        <v>August</v>
      </c>
      <c r="Q617" t="str">
        <f t="shared" si="47"/>
        <v>Q3</v>
      </c>
      <c r="R617" t="str">
        <f>IFERROR(VLOOKUP(TRIM(CLEAN(G617)),Sheet14!$A$2:$B$19,2,FALSE),"Not Mapped")</f>
        <v>West</v>
      </c>
    </row>
    <row r="618" spans="1:18">
      <c r="A618" t="str">
        <f t="shared" si="45"/>
        <v>EOS0617</v>
      </c>
      <c r="B618" s="35">
        <v>45894</v>
      </c>
      <c r="C618" s="1" t="s">
        <v>267</v>
      </c>
      <c r="D618" s="1" t="str">
        <f t="shared" ref="D618:D622" si="51">TRIM(CLEAN(SUBSTITUTE(C618,CHAR(160),"")))</f>
        <v>FB</v>
      </c>
      <c r="E618" s="1" t="s">
        <v>1120</v>
      </c>
      <c r="F618" s="1"/>
      <c r="G618" s="1" t="s">
        <v>223</v>
      </c>
      <c r="H618" s="1" t="s">
        <v>149</v>
      </c>
      <c r="I618" s="1">
        <v>130000</v>
      </c>
      <c r="J618" s="45">
        <v>107616</v>
      </c>
      <c r="K618" s="1" t="str">
        <f>TRIM(Cleaned_CRM_Data!H618)</f>
        <v>Rejected</v>
      </c>
      <c r="L618" t="str">
        <f>IFERROR(VLOOKUP(K618, Status_Mapping!A:B, 2,), "Not Found")</f>
        <v>Rejected</v>
      </c>
      <c r="N618" s="29" t="str">
        <f>IF(M618="","",M618-B618)</f>
        <v/>
      </c>
      <c r="O618" s="1" t="str">
        <f t="shared" si="46"/>
        <v>Starter</v>
      </c>
      <c r="P618" t="str">
        <f>TEXT(B618, "mmmm")</f>
        <v>August</v>
      </c>
      <c r="Q618" t="str">
        <f t="shared" si="47"/>
        <v>Q3</v>
      </c>
      <c r="R618" t="str">
        <f>IFERROR(VLOOKUP(TRIM(CLEAN(G618)),Sheet14!$A$2:$B$19,2,FALSE),"Not Mapped")</f>
        <v>West</v>
      </c>
    </row>
    <row r="619" spans="1:18">
      <c r="A619" t="str">
        <f t="shared" si="45"/>
        <v>EOS0618</v>
      </c>
      <c r="B619" s="35">
        <v>45894</v>
      </c>
      <c r="C619" s="1" t="s">
        <v>267</v>
      </c>
      <c r="D619" s="1" t="str">
        <f t="shared" si="51"/>
        <v>FB</v>
      </c>
      <c r="E619" s="1" t="s">
        <v>1121</v>
      </c>
      <c r="F619" s="1" t="s">
        <v>860</v>
      </c>
      <c r="G619" s="1" t="s">
        <v>223</v>
      </c>
      <c r="H619" s="1" t="s">
        <v>149</v>
      </c>
      <c r="I619" s="1">
        <v>130000</v>
      </c>
      <c r="J619" s="45">
        <v>107617</v>
      </c>
      <c r="K619" s="1" t="str">
        <f>TRIM(Cleaned_CRM_Data!H619)</f>
        <v>Rejected</v>
      </c>
      <c r="L619" t="str">
        <f>IFERROR(VLOOKUP(K619, Status_Mapping!A:B, 2,), "Not Found")</f>
        <v>Rejected</v>
      </c>
      <c r="N619" s="29" t="str">
        <f>IF(M619="","",M619-B619)</f>
        <v/>
      </c>
      <c r="O619" s="1" t="str">
        <f t="shared" si="46"/>
        <v>Starter</v>
      </c>
      <c r="P619" t="str">
        <f>TEXT(B619, "mmmm")</f>
        <v>August</v>
      </c>
      <c r="Q619" t="str">
        <f t="shared" si="47"/>
        <v>Q3</v>
      </c>
      <c r="R619" t="str">
        <f>IFERROR(VLOOKUP(TRIM(CLEAN(G619)),Sheet14!$A$2:$B$19,2,FALSE),"Not Mapped")</f>
        <v>West</v>
      </c>
    </row>
    <row r="620" spans="1:18">
      <c r="A620" t="str">
        <f t="shared" si="45"/>
        <v>EOS0619</v>
      </c>
      <c r="B620" s="35">
        <v>45894</v>
      </c>
      <c r="C620" s="1" t="s">
        <v>267</v>
      </c>
      <c r="D620" s="1" t="str">
        <f t="shared" si="51"/>
        <v>FB</v>
      </c>
      <c r="E620" s="1" t="s">
        <v>1122</v>
      </c>
      <c r="F620" s="1"/>
      <c r="G620" s="1" t="s">
        <v>223</v>
      </c>
      <c r="H620" s="1" t="s">
        <v>149</v>
      </c>
      <c r="I620" s="1">
        <v>177000</v>
      </c>
      <c r="J620" s="45">
        <v>107618</v>
      </c>
      <c r="K620" s="1" t="str">
        <f>TRIM(Cleaned_CRM_Data!H620)</f>
        <v>Rejected</v>
      </c>
      <c r="L620" t="str">
        <f>IFERROR(VLOOKUP(K620, Status_Mapping!A:B, 2,), "Not Found")</f>
        <v>Rejected</v>
      </c>
      <c r="N620" s="29" t="str">
        <f>IF(M620="","",M620-B620)</f>
        <v/>
      </c>
      <c r="O620" s="1" t="str">
        <f t="shared" si="46"/>
        <v>Growth</v>
      </c>
      <c r="P620" t="str">
        <f>TEXT(B620, "mmmm")</f>
        <v>August</v>
      </c>
      <c r="Q620" t="str">
        <f t="shared" si="47"/>
        <v>Q3</v>
      </c>
      <c r="R620" t="str">
        <f>IFERROR(VLOOKUP(TRIM(CLEAN(G620)),Sheet14!$A$2:$B$19,2,FALSE),"Not Mapped")</f>
        <v>West</v>
      </c>
    </row>
    <row r="621" spans="1:18">
      <c r="A621" t="str">
        <f t="shared" si="45"/>
        <v>EOS0620</v>
      </c>
      <c r="B621" s="35">
        <v>45894</v>
      </c>
      <c r="C621" s="1" t="s">
        <v>267</v>
      </c>
      <c r="D621" s="1" t="str">
        <f t="shared" si="51"/>
        <v>FB</v>
      </c>
      <c r="E621" s="1" t="s">
        <v>1123</v>
      </c>
      <c r="F621" s="1"/>
      <c r="G621" s="1" t="s">
        <v>223</v>
      </c>
      <c r="H621" s="1" t="s">
        <v>149</v>
      </c>
      <c r="I621" s="1">
        <v>130000</v>
      </c>
      <c r="J621" s="45">
        <v>107619</v>
      </c>
      <c r="K621" s="1" t="str">
        <f>TRIM(Cleaned_CRM_Data!H621)</f>
        <v>Rejected</v>
      </c>
      <c r="L621" t="str">
        <f>IFERROR(VLOOKUP(K621, Status_Mapping!A:B, 2,), "Not Found")</f>
        <v>Rejected</v>
      </c>
      <c r="N621" s="29" t="str">
        <f>IF(M621="","",M621-B621)</f>
        <v/>
      </c>
      <c r="O621" s="1" t="str">
        <f t="shared" si="46"/>
        <v>Starter</v>
      </c>
      <c r="P621" t="str">
        <f>TEXT(B621, "mmmm")</f>
        <v>August</v>
      </c>
      <c r="Q621" t="str">
        <f t="shared" si="47"/>
        <v>Q3</v>
      </c>
      <c r="R621" t="str">
        <f>IFERROR(VLOOKUP(TRIM(CLEAN(G621)),Sheet14!$A$2:$B$19,2,FALSE),"Not Mapped")</f>
        <v>West</v>
      </c>
    </row>
    <row r="622" spans="1:18">
      <c r="A622" t="str">
        <f t="shared" si="45"/>
        <v>EOS0621</v>
      </c>
      <c r="B622" s="35">
        <v>45894</v>
      </c>
      <c r="C622" s="1" t="s">
        <v>267</v>
      </c>
      <c r="D622" s="1" t="str">
        <f t="shared" si="51"/>
        <v>FB</v>
      </c>
      <c r="E622" s="1" t="s">
        <v>1124</v>
      </c>
      <c r="F622" s="1" t="s">
        <v>1125</v>
      </c>
      <c r="G622" s="1" t="s">
        <v>223</v>
      </c>
      <c r="H622" s="1" t="s">
        <v>149</v>
      </c>
      <c r="I622" s="1">
        <v>130000</v>
      </c>
      <c r="J622" s="45">
        <v>107620</v>
      </c>
      <c r="K622" s="1" t="str">
        <f>TRIM(Cleaned_CRM_Data!H622)</f>
        <v>Rejected</v>
      </c>
      <c r="L622" t="str">
        <f>IFERROR(VLOOKUP(K622, Status_Mapping!A:B, 2,), "Not Found")</f>
        <v>Rejected</v>
      </c>
      <c r="N622" s="29" t="str">
        <f>IF(M622="","",M622-B622)</f>
        <v/>
      </c>
      <c r="O622" s="1" t="str">
        <f t="shared" si="46"/>
        <v>Starter</v>
      </c>
      <c r="P622" t="str">
        <f>TEXT(B622, "mmmm")</f>
        <v>August</v>
      </c>
      <c r="Q622" t="str">
        <f t="shared" si="47"/>
        <v>Q3</v>
      </c>
      <c r="R622" t="str">
        <f>IFERROR(VLOOKUP(TRIM(CLEAN(G622)),Sheet14!$A$2:$B$19,2,FALSE),"Not Mapped")</f>
        <v>West</v>
      </c>
    </row>
    <row r="623" spans="1:18">
      <c r="A623" t="str">
        <f t="shared" si="45"/>
        <v>EOS0622</v>
      </c>
      <c r="B623" s="35">
        <v>45894</v>
      </c>
      <c r="C623" s="1" t="s">
        <v>911</v>
      </c>
      <c r="D623" s="1"/>
      <c r="E623" s="1" t="s">
        <v>1126</v>
      </c>
      <c r="F623" s="1"/>
      <c r="G623" s="1" t="s">
        <v>223</v>
      </c>
      <c r="H623" s="1" t="s">
        <v>149</v>
      </c>
      <c r="I623" s="1">
        <v>108000</v>
      </c>
      <c r="J623" s="45">
        <v>107621</v>
      </c>
      <c r="K623" s="1" t="str">
        <f>TRIM(Cleaned_CRM_Data!H623)</f>
        <v>Rejected</v>
      </c>
      <c r="L623" t="str">
        <f>IFERROR(VLOOKUP(K623, Status_Mapping!A:B, 2,), "Not Found")</f>
        <v>Rejected</v>
      </c>
      <c r="N623" s="29" t="str">
        <f>IF(M623="","",M623-B623)</f>
        <v/>
      </c>
      <c r="O623" s="1" t="str">
        <f t="shared" si="46"/>
        <v>Starter</v>
      </c>
      <c r="P623" t="str">
        <f>TEXT(B623, "mmmm")</f>
        <v>August</v>
      </c>
      <c r="Q623" t="str">
        <f t="shared" si="47"/>
        <v>Q3</v>
      </c>
      <c r="R623" t="str">
        <f>IFERROR(VLOOKUP(TRIM(CLEAN(G623)),Sheet14!$A$2:$B$19,2,FALSE),"Not Mapped")</f>
        <v>West</v>
      </c>
    </row>
    <row r="624" spans="1:18">
      <c r="A624" t="str">
        <f t="shared" si="45"/>
        <v>EOS0623</v>
      </c>
      <c r="B624" s="35">
        <v>45894</v>
      </c>
      <c r="C624" s="1" t="s">
        <v>911</v>
      </c>
      <c r="D624" s="1"/>
      <c r="E624" s="1" t="s">
        <v>1127</v>
      </c>
      <c r="F624" s="1"/>
      <c r="G624" s="1" t="s">
        <v>223</v>
      </c>
      <c r="H624" s="1" t="s">
        <v>149</v>
      </c>
      <c r="I624" s="1">
        <v>108000</v>
      </c>
      <c r="J624" s="45">
        <v>107622</v>
      </c>
      <c r="K624" s="1" t="str">
        <f>TRIM(Cleaned_CRM_Data!H624)</f>
        <v>Rejected</v>
      </c>
      <c r="L624" t="str">
        <f>IFERROR(VLOOKUP(K624, Status_Mapping!A:B, 2,), "Not Found")</f>
        <v>Rejected</v>
      </c>
      <c r="N624" s="29" t="str">
        <f>IF(M624="","",M624-B624)</f>
        <v/>
      </c>
      <c r="O624" s="1" t="str">
        <f t="shared" si="46"/>
        <v>Starter</v>
      </c>
      <c r="P624" t="str">
        <f>TEXT(B624, "mmmm")</f>
        <v>August</v>
      </c>
      <c r="Q624" t="str">
        <f t="shared" si="47"/>
        <v>Q3</v>
      </c>
      <c r="R624" t="str">
        <f>IFERROR(VLOOKUP(TRIM(CLEAN(G624)),Sheet14!$A$2:$B$19,2,FALSE),"Not Mapped")</f>
        <v>West</v>
      </c>
    </row>
    <row r="625" spans="1:18">
      <c r="A625" t="str">
        <f t="shared" si="45"/>
        <v>EOS0624</v>
      </c>
      <c r="B625" s="35">
        <v>45894</v>
      </c>
      <c r="C625" s="1" t="s">
        <v>911</v>
      </c>
      <c r="D625" s="1"/>
      <c r="E625" s="1" t="s">
        <v>1128</v>
      </c>
      <c r="F625" s="1"/>
      <c r="G625" s="1" t="s">
        <v>223</v>
      </c>
      <c r="H625" s="1" t="s">
        <v>149</v>
      </c>
      <c r="I625" s="1">
        <v>177000</v>
      </c>
      <c r="J625" s="45">
        <v>107623</v>
      </c>
      <c r="K625" s="1" t="str">
        <f>TRIM(Cleaned_CRM_Data!H625)</f>
        <v>Rejected</v>
      </c>
      <c r="L625" t="str">
        <f>IFERROR(VLOOKUP(K625, Status_Mapping!A:B, 2,), "Not Found")</f>
        <v>Rejected</v>
      </c>
      <c r="N625" s="29" t="str">
        <f>IF(M625="","",M625-B625)</f>
        <v/>
      </c>
      <c r="O625" s="1" t="str">
        <f t="shared" si="46"/>
        <v>Growth</v>
      </c>
      <c r="P625" t="str">
        <f>TEXT(B625, "mmmm")</f>
        <v>August</v>
      </c>
      <c r="Q625" t="str">
        <f t="shared" si="47"/>
        <v>Q3</v>
      </c>
      <c r="R625" t="str">
        <f>IFERROR(VLOOKUP(TRIM(CLEAN(G625)),Sheet14!$A$2:$B$19,2,FALSE),"Not Mapped")</f>
        <v>West</v>
      </c>
    </row>
    <row r="626" spans="1:18">
      <c r="A626" t="str">
        <f t="shared" si="45"/>
        <v>EOS0625</v>
      </c>
      <c r="B626" s="35">
        <v>45894</v>
      </c>
      <c r="C626" s="1" t="s">
        <v>911</v>
      </c>
      <c r="D626" s="1"/>
      <c r="E626" s="1" t="s">
        <v>1129</v>
      </c>
      <c r="F626" s="1"/>
      <c r="G626" s="1" t="s">
        <v>223</v>
      </c>
      <c r="H626" s="1" t="s">
        <v>149</v>
      </c>
      <c r="I626" s="1">
        <v>177000</v>
      </c>
      <c r="J626" s="45">
        <v>107624</v>
      </c>
      <c r="K626" s="1" t="str">
        <f>TRIM(Cleaned_CRM_Data!H626)</f>
        <v>Rejected</v>
      </c>
      <c r="L626" t="str">
        <f>IFERROR(VLOOKUP(K626, Status_Mapping!A:B, 2,), "Not Found")</f>
        <v>Rejected</v>
      </c>
      <c r="N626" s="29" t="str">
        <f>IF(M626="","",M626-B626)</f>
        <v/>
      </c>
      <c r="O626" s="1" t="str">
        <f t="shared" si="46"/>
        <v>Growth</v>
      </c>
      <c r="P626" t="str">
        <f>TEXT(B626, "mmmm")</f>
        <v>August</v>
      </c>
      <c r="Q626" t="str">
        <f t="shared" si="47"/>
        <v>Q3</v>
      </c>
      <c r="R626" t="str">
        <f>IFERROR(VLOOKUP(TRIM(CLEAN(G626)),Sheet14!$A$2:$B$19,2,FALSE),"Not Mapped")</f>
        <v>West</v>
      </c>
    </row>
    <row r="627" spans="1:18">
      <c r="A627" t="str">
        <f t="shared" si="45"/>
        <v>EOS0626</v>
      </c>
      <c r="B627" s="35">
        <v>45894</v>
      </c>
      <c r="C627" s="1" t="s">
        <v>267</v>
      </c>
      <c r="D627" s="1" t="str">
        <f t="shared" ref="D627:D629" si="52">TRIM(CLEAN(SUBSTITUTE(C627,CHAR(160),"")))</f>
        <v>FB</v>
      </c>
      <c r="E627" s="1" t="s">
        <v>1130</v>
      </c>
      <c r="F627" s="1" t="s">
        <v>830</v>
      </c>
      <c r="G627" s="1" t="s">
        <v>223</v>
      </c>
      <c r="H627" s="1" t="s">
        <v>149</v>
      </c>
      <c r="I627" s="1">
        <v>177000</v>
      </c>
      <c r="J627" s="45">
        <v>107625</v>
      </c>
      <c r="K627" s="1" t="str">
        <f>TRIM(Cleaned_CRM_Data!H627)</f>
        <v>Rejected</v>
      </c>
      <c r="L627" t="str">
        <f>IFERROR(VLOOKUP(K627, Status_Mapping!A:B, 2,), "Not Found")</f>
        <v>Rejected</v>
      </c>
      <c r="N627" s="29" t="str">
        <f>IF(M627="","",M627-B627)</f>
        <v/>
      </c>
      <c r="O627" s="1" t="str">
        <f t="shared" si="46"/>
        <v>Growth</v>
      </c>
      <c r="P627" t="str">
        <f>TEXT(B627, "mmmm")</f>
        <v>August</v>
      </c>
      <c r="Q627" t="str">
        <f t="shared" si="47"/>
        <v>Q3</v>
      </c>
      <c r="R627" t="str">
        <f>IFERROR(VLOOKUP(TRIM(CLEAN(G627)),Sheet14!$A$2:$B$19,2,FALSE),"Not Mapped")</f>
        <v>West</v>
      </c>
    </row>
    <row r="628" spans="1:18">
      <c r="A628" t="str">
        <f t="shared" si="45"/>
        <v>EOS0627</v>
      </c>
      <c r="B628" s="35">
        <v>45894</v>
      </c>
      <c r="C628" s="1" t="s">
        <v>267</v>
      </c>
      <c r="D628" s="1" t="str">
        <f t="shared" si="52"/>
        <v>FB</v>
      </c>
      <c r="E628" s="1" t="s">
        <v>1131</v>
      </c>
      <c r="F628" s="1" t="s">
        <v>645</v>
      </c>
      <c r="G628" s="1" t="s">
        <v>223</v>
      </c>
      <c r="H628" s="1" t="s">
        <v>149</v>
      </c>
      <c r="I628" s="1">
        <v>130000</v>
      </c>
      <c r="J628" s="45">
        <v>107626</v>
      </c>
      <c r="K628" s="1" t="str">
        <f>TRIM(Cleaned_CRM_Data!H628)</f>
        <v>Rejected</v>
      </c>
      <c r="L628" t="str">
        <f>IFERROR(VLOOKUP(K628, Status_Mapping!A:B, 2,), "Not Found")</f>
        <v>Rejected</v>
      </c>
      <c r="N628" s="29" t="str">
        <f>IF(M628="","",M628-B628)</f>
        <v/>
      </c>
      <c r="O628" s="1" t="str">
        <f t="shared" si="46"/>
        <v>Starter</v>
      </c>
      <c r="P628" t="str">
        <f>TEXT(B628, "mmmm")</f>
        <v>August</v>
      </c>
      <c r="Q628" t="str">
        <f t="shared" si="47"/>
        <v>Q3</v>
      </c>
      <c r="R628" t="str">
        <f>IFERROR(VLOOKUP(TRIM(CLEAN(G628)),Sheet14!$A$2:$B$19,2,FALSE),"Not Mapped")</f>
        <v>West</v>
      </c>
    </row>
    <row r="629" spans="1:18">
      <c r="A629" t="str">
        <f t="shared" si="45"/>
        <v>EOS0628</v>
      </c>
      <c r="B629" s="35">
        <v>45894</v>
      </c>
      <c r="C629" s="1" t="s">
        <v>267</v>
      </c>
      <c r="D629" s="1" t="str">
        <f t="shared" si="52"/>
        <v>FB</v>
      </c>
      <c r="E629" s="1" t="s">
        <v>1132</v>
      </c>
      <c r="F629" s="1"/>
      <c r="G629" s="1" t="s">
        <v>223</v>
      </c>
      <c r="H629" s="1" t="s">
        <v>149</v>
      </c>
      <c r="I629" s="1">
        <v>130000</v>
      </c>
      <c r="J629" s="45">
        <v>107627</v>
      </c>
      <c r="K629" s="1" t="str">
        <f>TRIM(Cleaned_CRM_Data!H629)</f>
        <v>Rejected</v>
      </c>
      <c r="L629" t="str">
        <f>IFERROR(VLOOKUP(K629, Status_Mapping!A:B, 2,), "Not Found")</f>
        <v>Rejected</v>
      </c>
      <c r="N629" s="29" t="str">
        <f>IF(M629="","",M629-B629)</f>
        <v/>
      </c>
      <c r="O629" s="1" t="str">
        <f t="shared" si="46"/>
        <v>Starter</v>
      </c>
      <c r="P629" t="str">
        <f>TEXT(B629, "mmmm")</f>
        <v>August</v>
      </c>
      <c r="Q629" t="str">
        <f t="shared" si="47"/>
        <v>Q3</v>
      </c>
      <c r="R629" t="str">
        <f>IFERROR(VLOOKUP(TRIM(CLEAN(G629)),Sheet14!$A$2:$B$19,2,FALSE),"Not Mapped")</f>
        <v>West</v>
      </c>
    </row>
    <row r="630" spans="1:18">
      <c r="A630" t="str">
        <f t="shared" si="45"/>
        <v>EOS0629</v>
      </c>
      <c r="B630" s="35">
        <v>45894</v>
      </c>
      <c r="C630" s="1" t="s">
        <v>911</v>
      </c>
      <c r="D630" s="1"/>
      <c r="E630" s="1" t="s">
        <v>1133</v>
      </c>
      <c r="F630" s="1"/>
      <c r="G630" s="1" t="s">
        <v>223</v>
      </c>
      <c r="H630" s="1" t="s">
        <v>149</v>
      </c>
      <c r="I630" s="1">
        <v>130000</v>
      </c>
      <c r="J630" s="45">
        <v>107628</v>
      </c>
      <c r="K630" s="1" t="str">
        <f>TRIM(Cleaned_CRM_Data!H630)</f>
        <v>Rejected</v>
      </c>
      <c r="L630" t="str">
        <f>IFERROR(VLOOKUP(K630, Status_Mapping!A:B, 2,), "Not Found")</f>
        <v>Rejected</v>
      </c>
      <c r="N630" s="29" t="str">
        <f>IF(M630="","",M630-B630)</f>
        <v/>
      </c>
      <c r="O630" s="1" t="str">
        <f t="shared" si="46"/>
        <v>Starter</v>
      </c>
      <c r="P630" t="str">
        <f>TEXT(B630, "mmmm")</f>
        <v>August</v>
      </c>
      <c r="Q630" t="str">
        <f t="shared" si="47"/>
        <v>Q3</v>
      </c>
      <c r="R630" t="str">
        <f>IFERROR(VLOOKUP(TRIM(CLEAN(G630)),Sheet14!$A$2:$B$19,2,FALSE),"Not Mapped")</f>
        <v>West</v>
      </c>
    </row>
    <row r="631" spans="1:18">
      <c r="A631" t="str">
        <f t="shared" si="45"/>
        <v>EOS0630</v>
      </c>
      <c r="B631" s="35">
        <v>45894</v>
      </c>
      <c r="C631" s="1" t="s">
        <v>911</v>
      </c>
      <c r="D631" s="1"/>
      <c r="E631" s="1" t="s">
        <v>1134</v>
      </c>
      <c r="F631" s="7" t="s">
        <v>1135</v>
      </c>
      <c r="G631" s="1" t="s">
        <v>1136</v>
      </c>
      <c r="H631" s="1" t="s">
        <v>149</v>
      </c>
      <c r="I631" s="1">
        <v>130000</v>
      </c>
      <c r="J631" s="45">
        <v>107629</v>
      </c>
      <c r="K631" s="1" t="s">
        <v>40</v>
      </c>
      <c r="L631" t="str">
        <f>IFERROR(VLOOKUP(K631, Status_Mapping!A:B, 2,), "Not Found")</f>
        <v>Converted</v>
      </c>
      <c r="N631" s="29" t="str">
        <f>IF(M631="","",M631-B631)</f>
        <v/>
      </c>
      <c r="O631" s="1" t="str">
        <f t="shared" si="46"/>
        <v>Starter</v>
      </c>
      <c r="P631" t="str">
        <f>TEXT(B631, "mmmm")</f>
        <v>August</v>
      </c>
      <c r="Q631" t="str">
        <f t="shared" si="47"/>
        <v>Q3</v>
      </c>
      <c r="R631" t="str">
        <f>IFERROR(VLOOKUP(TRIM(CLEAN(G631)),Sheet14!$A$2:$B$19,2,FALSE),"Not Mapped")</f>
        <v>North</v>
      </c>
    </row>
    <row r="632" spans="1:18">
      <c r="A632" t="str">
        <f t="shared" si="45"/>
        <v>EOS0631</v>
      </c>
      <c r="B632" s="35">
        <v>45896</v>
      </c>
      <c r="C632" s="1" t="s">
        <v>911</v>
      </c>
      <c r="D632" s="1"/>
      <c r="E632" s="1" t="s">
        <v>1137</v>
      </c>
      <c r="F632" s="1"/>
      <c r="G632" s="1" t="s">
        <v>223</v>
      </c>
      <c r="H632" s="1" t="s">
        <v>149</v>
      </c>
      <c r="I632" s="1">
        <v>130000</v>
      </c>
      <c r="J632" s="45">
        <v>107630</v>
      </c>
      <c r="K632" s="1" t="str">
        <f>TRIM(Cleaned_CRM_Data!H632)</f>
        <v>Rejected</v>
      </c>
      <c r="L632" t="str">
        <f>IFERROR(VLOOKUP(K632, Status_Mapping!A:B, 2,), "Not Found")</f>
        <v>Rejected</v>
      </c>
      <c r="N632" s="29" t="str">
        <f>IF(M632="","",M632-B632)</f>
        <v/>
      </c>
      <c r="O632" s="1" t="str">
        <f t="shared" si="46"/>
        <v>Starter</v>
      </c>
      <c r="P632" t="str">
        <f>TEXT(B632, "mmmm")</f>
        <v>August</v>
      </c>
      <c r="Q632" t="str">
        <f t="shared" si="47"/>
        <v>Q3</v>
      </c>
      <c r="R632" t="str">
        <f>IFERROR(VLOOKUP(TRIM(CLEAN(G632)),Sheet14!$A$2:$B$19,2,FALSE),"Not Mapped")</f>
        <v>West</v>
      </c>
    </row>
    <row r="633" spans="1:18">
      <c r="A633" t="str">
        <f t="shared" si="45"/>
        <v>EOS0632</v>
      </c>
      <c r="B633" s="35">
        <v>45897</v>
      </c>
      <c r="C633" s="1" t="s">
        <v>267</v>
      </c>
      <c r="D633" s="1" t="str">
        <f>TRIM(CLEAN(SUBSTITUTE(C633,CHAR(160),"")))</f>
        <v>FB</v>
      </c>
      <c r="E633" s="1" t="s">
        <v>1138</v>
      </c>
      <c r="F633" s="1"/>
      <c r="G633" s="1" t="s">
        <v>223</v>
      </c>
      <c r="H633" s="1" t="s">
        <v>149</v>
      </c>
      <c r="I633" s="1">
        <v>108000</v>
      </c>
      <c r="J633" s="45">
        <v>107631</v>
      </c>
      <c r="K633" s="1" t="str">
        <f>TRIM(Cleaned_CRM_Data!H633)</f>
        <v>Rejected</v>
      </c>
      <c r="L633" t="str">
        <f>IFERROR(VLOOKUP(K633, Status_Mapping!A:B, 2,), "Not Found")</f>
        <v>Rejected</v>
      </c>
      <c r="N633" s="29" t="str">
        <f>IF(M633="","",M633-B633)</f>
        <v/>
      </c>
      <c r="O633" s="1" t="str">
        <f t="shared" si="46"/>
        <v>Starter</v>
      </c>
      <c r="P633" t="str">
        <f>TEXT(B633, "mmmm")</f>
        <v>August</v>
      </c>
      <c r="Q633" t="str">
        <f t="shared" si="47"/>
        <v>Q3</v>
      </c>
      <c r="R633" t="str">
        <f>IFERROR(VLOOKUP(TRIM(CLEAN(G633)),Sheet14!$A$2:$B$19,2,FALSE),"Not Mapped")</f>
        <v>West</v>
      </c>
    </row>
    <row r="634" spans="1:18">
      <c r="A634" t="str">
        <f t="shared" si="45"/>
        <v>EOS0633</v>
      </c>
      <c r="B634" s="35">
        <v>45897</v>
      </c>
      <c r="C634" s="1" t="s">
        <v>911</v>
      </c>
      <c r="D634" s="1"/>
      <c r="E634" s="1" t="s">
        <v>1139</v>
      </c>
      <c r="F634" s="1" t="s">
        <v>292</v>
      </c>
      <c r="G634" s="1" t="s">
        <v>224</v>
      </c>
      <c r="H634" s="1" t="s">
        <v>149</v>
      </c>
      <c r="I634" s="1">
        <v>130000</v>
      </c>
      <c r="J634" s="45">
        <v>107632</v>
      </c>
      <c r="K634" s="1" t="str">
        <f>TRIM(Cleaned_CRM_Data!H634)</f>
        <v>Rejected</v>
      </c>
      <c r="L634" t="str">
        <f>IFERROR(VLOOKUP(K634, Status_Mapping!A:B, 2,), "Not Found")</f>
        <v>Rejected</v>
      </c>
      <c r="N634" s="29" t="str">
        <f>IF(M634="","",M634-B634)</f>
        <v/>
      </c>
      <c r="O634" s="1" t="str">
        <f t="shared" si="46"/>
        <v>Starter</v>
      </c>
      <c r="P634" t="str">
        <f>TEXT(B634, "mmmm")</f>
        <v>August</v>
      </c>
      <c r="Q634" t="str">
        <f t="shared" si="47"/>
        <v>Q3</v>
      </c>
      <c r="R634" t="str">
        <f>IFERROR(VLOOKUP(TRIM(CLEAN(G634)),Sheet14!$A$2:$B$19,2,FALSE),"Not Mapped")</f>
        <v>West</v>
      </c>
    </row>
    <row r="635" spans="1:18">
      <c r="A635" t="str">
        <f t="shared" si="45"/>
        <v>EOS0634</v>
      </c>
      <c r="B635" s="35">
        <v>45897</v>
      </c>
      <c r="C635" s="1" t="s">
        <v>911</v>
      </c>
      <c r="D635" s="1"/>
      <c r="E635" s="1" t="s">
        <v>1140</v>
      </c>
      <c r="F635" s="1"/>
      <c r="G635" s="1" t="s">
        <v>224</v>
      </c>
      <c r="H635" s="1" t="s">
        <v>149</v>
      </c>
      <c r="I635" s="1">
        <v>177000</v>
      </c>
      <c r="J635" s="45">
        <v>107633</v>
      </c>
      <c r="K635" s="1" t="str">
        <f>TRIM(Cleaned_CRM_Data!H635)</f>
        <v>Rejected</v>
      </c>
      <c r="L635" t="str">
        <f>IFERROR(VLOOKUP(K635, Status_Mapping!A:B, 2,), "Not Found")</f>
        <v>Rejected</v>
      </c>
      <c r="N635" s="29" t="str">
        <f>IF(M635="","",M635-B635)</f>
        <v/>
      </c>
      <c r="O635" s="1" t="str">
        <f t="shared" si="46"/>
        <v>Growth</v>
      </c>
      <c r="P635" t="str">
        <f>TEXT(B635, "mmmm")</f>
        <v>August</v>
      </c>
      <c r="Q635" t="str">
        <f t="shared" si="47"/>
        <v>Q3</v>
      </c>
      <c r="R635" t="str">
        <f>IFERROR(VLOOKUP(TRIM(CLEAN(G635)),Sheet14!$A$2:$B$19,2,FALSE),"Not Mapped")</f>
        <v>West</v>
      </c>
    </row>
    <row r="636" spans="1:18">
      <c r="A636" t="str">
        <f t="shared" si="45"/>
        <v>EOS0635</v>
      </c>
      <c r="B636" s="35">
        <v>45897</v>
      </c>
      <c r="C636" s="1" t="s">
        <v>911</v>
      </c>
      <c r="D636" s="1"/>
      <c r="E636" s="1" t="s">
        <v>1141</v>
      </c>
      <c r="F636" s="1"/>
      <c r="G636" s="1" t="s">
        <v>224</v>
      </c>
      <c r="H636" s="1" t="s">
        <v>149</v>
      </c>
      <c r="I636" s="1">
        <v>108000</v>
      </c>
      <c r="J636" s="45">
        <v>107634</v>
      </c>
      <c r="K636" s="1" t="str">
        <f>TRIM(Cleaned_CRM_Data!H636)</f>
        <v>Rejected</v>
      </c>
      <c r="L636" t="str">
        <f>IFERROR(VLOOKUP(K636, Status_Mapping!A:B, 2,), "Not Found")</f>
        <v>Rejected</v>
      </c>
      <c r="N636" s="29" t="str">
        <f>IF(M636="","",M636-B636)</f>
        <v/>
      </c>
      <c r="O636" s="1" t="str">
        <f t="shared" si="46"/>
        <v>Starter</v>
      </c>
      <c r="P636" t="str">
        <f>TEXT(B636, "mmmm")</f>
        <v>August</v>
      </c>
      <c r="Q636" t="str">
        <f t="shared" si="47"/>
        <v>Q3</v>
      </c>
      <c r="R636" t="str">
        <f>IFERROR(VLOOKUP(TRIM(CLEAN(G636)),Sheet14!$A$2:$B$19,2,FALSE),"Not Mapped")</f>
        <v>West</v>
      </c>
    </row>
    <row r="637" spans="1:18">
      <c r="A637" t="str">
        <f t="shared" si="45"/>
        <v>EOS0636</v>
      </c>
      <c r="B637" s="35">
        <v>45897</v>
      </c>
      <c r="C637" s="1" t="s">
        <v>267</v>
      </c>
      <c r="D637" s="1" t="str">
        <f t="shared" ref="D637:D647" si="53">TRIM(CLEAN(SUBSTITUTE(C637,CHAR(160),"")))</f>
        <v>FB</v>
      </c>
      <c r="E637" s="1" t="s">
        <v>1142</v>
      </c>
      <c r="F637" s="1"/>
      <c r="G637" s="1" t="s">
        <v>224</v>
      </c>
      <c r="H637" s="1" t="s">
        <v>149</v>
      </c>
      <c r="I637" s="1">
        <v>177000</v>
      </c>
      <c r="J637" s="45">
        <v>107635</v>
      </c>
      <c r="K637" s="1" t="str">
        <f>TRIM(Cleaned_CRM_Data!H637)</f>
        <v>Rejected</v>
      </c>
      <c r="L637" t="str">
        <f>IFERROR(VLOOKUP(K637, Status_Mapping!A:B, 2,), "Not Found")</f>
        <v>Rejected</v>
      </c>
      <c r="N637" s="29" t="str">
        <f>IF(M637="","",M637-B637)</f>
        <v/>
      </c>
      <c r="O637" s="1" t="str">
        <f t="shared" si="46"/>
        <v>Growth</v>
      </c>
      <c r="P637" t="str">
        <f>TEXT(B637, "mmmm")</f>
        <v>August</v>
      </c>
      <c r="Q637" t="str">
        <f t="shared" si="47"/>
        <v>Q3</v>
      </c>
      <c r="R637" t="str">
        <f>IFERROR(VLOOKUP(TRIM(CLEAN(G637)),Sheet14!$A$2:$B$19,2,FALSE),"Not Mapped")</f>
        <v>West</v>
      </c>
    </row>
    <row r="638" spans="1:18">
      <c r="A638" t="str">
        <f t="shared" si="45"/>
        <v>EOS0637</v>
      </c>
      <c r="B638" s="35">
        <v>45897</v>
      </c>
      <c r="C638" s="1" t="s">
        <v>267</v>
      </c>
      <c r="D638" s="1" t="str">
        <f t="shared" si="53"/>
        <v>FB</v>
      </c>
      <c r="E638" s="1" t="s">
        <v>1143</v>
      </c>
      <c r="F638" s="1" t="s">
        <v>1144</v>
      </c>
      <c r="G638" s="1" t="s">
        <v>224</v>
      </c>
      <c r="H638" s="1" t="s">
        <v>149</v>
      </c>
      <c r="I638" s="1">
        <v>177000</v>
      </c>
      <c r="J638" s="45">
        <v>107636</v>
      </c>
      <c r="K638" s="1" t="str">
        <f>TRIM(Cleaned_CRM_Data!H638)</f>
        <v>Rejected</v>
      </c>
      <c r="L638" t="str">
        <f>IFERROR(VLOOKUP(K638, Status_Mapping!A:B, 2,), "Not Found")</f>
        <v>Rejected</v>
      </c>
      <c r="N638" s="29" t="str">
        <f>IF(M638="","",M638-B638)</f>
        <v/>
      </c>
      <c r="O638" s="1" t="str">
        <f t="shared" si="46"/>
        <v>Growth</v>
      </c>
      <c r="P638" t="str">
        <f>TEXT(B638, "mmmm")</f>
        <v>August</v>
      </c>
      <c r="Q638" t="str">
        <f t="shared" si="47"/>
        <v>Q3</v>
      </c>
      <c r="R638" t="str">
        <f>IFERROR(VLOOKUP(TRIM(CLEAN(G638)),Sheet14!$A$2:$B$19,2,FALSE),"Not Mapped")</f>
        <v>West</v>
      </c>
    </row>
    <row r="639" spans="1:18">
      <c r="A639" t="str">
        <f t="shared" si="45"/>
        <v>EOS0638</v>
      </c>
      <c r="B639" s="35">
        <v>45897</v>
      </c>
      <c r="C639" s="1" t="s">
        <v>267</v>
      </c>
      <c r="D639" s="1" t="str">
        <f t="shared" si="53"/>
        <v>FB</v>
      </c>
      <c r="E639" s="1" t="s">
        <v>1145</v>
      </c>
      <c r="F639" s="1" t="s">
        <v>333</v>
      </c>
      <c r="G639" s="1" t="s">
        <v>224</v>
      </c>
      <c r="H639" s="1" t="s">
        <v>149</v>
      </c>
      <c r="I639" s="1">
        <v>108000</v>
      </c>
      <c r="J639" s="45">
        <v>107637</v>
      </c>
      <c r="K639" s="1" t="str">
        <f>TRIM(Cleaned_CRM_Data!H639)</f>
        <v>Rejected</v>
      </c>
      <c r="L639" t="str">
        <f>IFERROR(VLOOKUP(K639, Status_Mapping!A:B, 2,), "Not Found")</f>
        <v>Rejected</v>
      </c>
      <c r="N639" s="29" t="str">
        <f>IF(M639="","",M639-B639)</f>
        <v/>
      </c>
      <c r="O639" s="1" t="str">
        <f t="shared" si="46"/>
        <v>Starter</v>
      </c>
      <c r="P639" t="str">
        <f>TEXT(B639, "mmmm")</f>
        <v>August</v>
      </c>
      <c r="Q639" t="str">
        <f t="shared" si="47"/>
        <v>Q3</v>
      </c>
      <c r="R639" t="str">
        <f>IFERROR(VLOOKUP(TRIM(CLEAN(G639)),Sheet14!$A$2:$B$19,2,FALSE),"Not Mapped")</f>
        <v>West</v>
      </c>
    </row>
    <row r="640" spans="1:18">
      <c r="A640" t="str">
        <f t="shared" si="45"/>
        <v>EOS0639</v>
      </c>
      <c r="B640" s="35">
        <v>45897</v>
      </c>
      <c r="C640" s="1" t="s">
        <v>267</v>
      </c>
      <c r="D640" s="1" t="str">
        <f t="shared" si="53"/>
        <v>FB</v>
      </c>
      <c r="E640" s="1" t="s">
        <v>1146</v>
      </c>
      <c r="F640" s="1"/>
      <c r="G640" s="1" t="s">
        <v>224</v>
      </c>
      <c r="H640" s="1" t="s">
        <v>149</v>
      </c>
      <c r="I640" s="1">
        <v>108000</v>
      </c>
      <c r="J640" s="45">
        <v>107638</v>
      </c>
      <c r="K640" s="1" t="str">
        <f>TRIM(Cleaned_CRM_Data!H640)</f>
        <v>Rejected</v>
      </c>
      <c r="L640" t="str">
        <f>IFERROR(VLOOKUP(K640, Status_Mapping!A:B, 2,), "Not Found")</f>
        <v>Rejected</v>
      </c>
      <c r="N640" s="29" t="str">
        <f>IF(M640="","",M640-B640)</f>
        <v/>
      </c>
      <c r="O640" s="1" t="str">
        <f t="shared" si="46"/>
        <v>Starter</v>
      </c>
      <c r="P640" t="str">
        <f>TEXT(B640, "mmmm")</f>
        <v>August</v>
      </c>
      <c r="Q640" t="str">
        <f t="shared" si="47"/>
        <v>Q3</v>
      </c>
      <c r="R640" t="str">
        <f>IFERROR(VLOOKUP(TRIM(CLEAN(G640)),Sheet14!$A$2:$B$19,2,FALSE),"Not Mapped")</f>
        <v>West</v>
      </c>
    </row>
    <row r="641" spans="1:18">
      <c r="A641" t="str">
        <f t="shared" si="45"/>
        <v>EOS0640</v>
      </c>
      <c r="B641" s="35">
        <v>45897</v>
      </c>
      <c r="C641" s="1" t="s">
        <v>267</v>
      </c>
      <c r="D641" s="1" t="str">
        <f t="shared" si="53"/>
        <v>FB</v>
      </c>
      <c r="E641" s="1" t="s">
        <v>1147</v>
      </c>
      <c r="F641" s="1"/>
      <c r="G641" s="1" t="s">
        <v>224</v>
      </c>
      <c r="H641" s="1" t="s">
        <v>149</v>
      </c>
      <c r="I641" s="1">
        <v>130000</v>
      </c>
      <c r="J641" s="45">
        <v>107639</v>
      </c>
      <c r="K641" s="1" t="str">
        <f>TRIM(Cleaned_CRM_Data!H641)</f>
        <v>Rejected</v>
      </c>
      <c r="L641" t="str">
        <f>IFERROR(VLOOKUP(K641, Status_Mapping!A:B, 2,), "Not Found")</f>
        <v>Rejected</v>
      </c>
      <c r="N641" s="29" t="str">
        <f>IF(M641="","",M641-B641)</f>
        <v/>
      </c>
      <c r="O641" s="1" t="str">
        <f t="shared" si="46"/>
        <v>Starter</v>
      </c>
      <c r="P641" t="str">
        <f>TEXT(B641, "mmmm")</f>
        <v>August</v>
      </c>
      <c r="Q641" t="str">
        <f t="shared" si="47"/>
        <v>Q3</v>
      </c>
      <c r="R641" t="str">
        <f>IFERROR(VLOOKUP(TRIM(CLEAN(G641)),Sheet14!$A$2:$B$19,2,FALSE),"Not Mapped")</f>
        <v>West</v>
      </c>
    </row>
    <row r="642" spans="1:18">
      <c r="A642" t="str">
        <f t="shared" si="45"/>
        <v>EOS0641</v>
      </c>
      <c r="B642" s="35">
        <v>45897</v>
      </c>
      <c r="C642" s="1" t="s">
        <v>267</v>
      </c>
      <c r="D642" s="1" t="str">
        <f t="shared" si="53"/>
        <v>FB</v>
      </c>
      <c r="E642" s="1" t="s">
        <v>1148</v>
      </c>
      <c r="F642" s="1"/>
      <c r="G642" s="1" t="s">
        <v>224</v>
      </c>
      <c r="H642" s="1" t="s">
        <v>149</v>
      </c>
      <c r="I642" s="1">
        <v>130000</v>
      </c>
      <c r="J642" s="45">
        <v>107640</v>
      </c>
      <c r="K642" s="1" t="str">
        <f>TRIM(Cleaned_CRM_Data!H642)</f>
        <v>Rejected</v>
      </c>
      <c r="L642" t="str">
        <f>IFERROR(VLOOKUP(K642, Status_Mapping!A:B, 2,), "Not Found")</f>
        <v>Rejected</v>
      </c>
      <c r="N642" s="29" t="str">
        <f>IF(M642="","",M642-B642)</f>
        <v/>
      </c>
      <c r="O642" s="1" t="str">
        <f t="shared" si="46"/>
        <v>Starter</v>
      </c>
      <c r="P642" t="str">
        <f>TEXT(B642, "mmmm")</f>
        <v>August</v>
      </c>
      <c r="Q642" t="str">
        <f t="shared" si="47"/>
        <v>Q3</v>
      </c>
      <c r="R642" t="str">
        <f>IFERROR(VLOOKUP(TRIM(CLEAN(G642)),Sheet14!$A$2:$B$19,2,FALSE),"Not Mapped")</f>
        <v>West</v>
      </c>
    </row>
    <row r="643" spans="1:18">
      <c r="A643" t="str">
        <f t="shared" ref="A643:A706" si="54">"EOS"&amp;TEXT(ROW()-1,"0000")</f>
        <v>EOS0642</v>
      </c>
      <c r="B643" s="35">
        <v>45897</v>
      </c>
      <c r="C643" s="1" t="s">
        <v>267</v>
      </c>
      <c r="D643" s="1" t="str">
        <f t="shared" si="53"/>
        <v>FB</v>
      </c>
      <c r="E643" s="1" t="s">
        <v>1149</v>
      </c>
      <c r="F643" s="1"/>
      <c r="G643" s="1" t="s">
        <v>224</v>
      </c>
      <c r="H643" s="1" t="s">
        <v>149</v>
      </c>
      <c r="I643" s="1">
        <v>108000</v>
      </c>
      <c r="J643" s="45">
        <v>107641</v>
      </c>
      <c r="K643" s="1" t="str">
        <f>TRIM(Cleaned_CRM_Data!H643)</f>
        <v>Rejected</v>
      </c>
      <c r="L643" t="str">
        <f>IFERROR(VLOOKUP(K643, Status_Mapping!A:B, 2,), "Not Found")</f>
        <v>Rejected</v>
      </c>
      <c r="N643" s="29" t="str">
        <f>IF(M643="","",M643-B643)</f>
        <v/>
      </c>
      <c r="O643" s="1" t="str">
        <f t="shared" ref="O643:O706" si="55">IF(OR(I643=108000,I643=130000),"Starter",IF(I643=177000,"Growth","Premium"))</f>
        <v>Starter</v>
      </c>
      <c r="P643" t="str">
        <f>TEXT(B643, "mmmm")</f>
        <v>August</v>
      </c>
      <c r="Q643" t="str">
        <f t="shared" ref="Q643:Q706" si="56">"Q"&amp;ROUNDUP(MONTH(B643)/3,0)</f>
        <v>Q3</v>
      </c>
      <c r="R643" t="str">
        <f>IFERROR(VLOOKUP(TRIM(CLEAN(G643)),Sheet14!$A$2:$B$19,2,FALSE),"Not Mapped")</f>
        <v>West</v>
      </c>
    </row>
    <row r="644" spans="1:18">
      <c r="A644" t="str">
        <f t="shared" si="54"/>
        <v>EOS0643</v>
      </c>
      <c r="B644" s="35">
        <v>45897</v>
      </c>
      <c r="C644" s="1" t="s">
        <v>267</v>
      </c>
      <c r="D644" s="1" t="str">
        <f t="shared" si="53"/>
        <v>FB</v>
      </c>
      <c r="E644" s="1" t="s">
        <v>1150</v>
      </c>
      <c r="F644" s="1"/>
      <c r="G644" s="1" t="s">
        <v>224</v>
      </c>
      <c r="H644" s="1" t="s">
        <v>149</v>
      </c>
      <c r="I644" s="1">
        <v>108000</v>
      </c>
      <c r="J644" s="45">
        <v>107642</v>
      </c>
      <c r="K644" s="1" t="str">
        <f>TRIM(Cleaned_CRM_Data!H644)</f>
        <v>Rejected</v>
      </c>
      <c r="L644" t="str">
        <f>IFERROR(VLOOKUP(K644, Status_Mapping!A:B, 2,), "Not Found")</f>
        <v>Rejected</v>
      </c>
      <c r="N644" s="29" t="str">
        <f>IF(M644="","",M644-B644)</f>
        <v/>
      </c>
      <c r="O644" s="1" t="str">
        <f t="shared" si="55"/>
        <v>Starter</v>
      </c>
      <c r="P644" t="str">
        <f>TEXT(B644, "mmmm")</f>
        <v>August</v>
      </c>
      <c r="Q644" t="str">
        <f t="shared" si="56"/>
        <v>Q3</v>
      </c>
      <c r="R644" t="str">
        <f>IFERROR(VLOOKUP(TRIM(CLEAN(G644)),Sheet14!$A$2:$B$19,2,FALSE),"Not Mapped")</f>
        <v>West</v>
      </c>
    </row>
    <row r="645" spans="1:18">
      <c r="A645" t="str">
        <f t="shared" si="54"/>
        <v>EOS0644</v>
      </c>
      <c r="B645" s="35">
        <v>45897</v>
      </c>
      <c r="C645" s="1" t="s">
        <v>267</v>
      </c>
      <c r="D645" s="1" t="str">
        <f t="shared" si="53"/>
        <v>FB</v>
      </c>
      <c r="E645" s="1" t="s">
        <v>1151</v>
      </c>
      <c r="F645" s="1" t="s">
        <v>601</v>
      </c>
      <c r="G645" s="1" t="s">
        <v>224</v>
      </c>
      <c r="H645" s="1" t="s">
        <v>149</v>
      </c>
      <c r="I645" s="1">
        <v>108000</v>
      </c>
      <c r="J645" s="45">
        <v>107643</v>
      </c>
      <c r="K645" s="1" t="str">
        <f>TRIM(Cleaned_CRM_Data!H645)</f>
        <v>Rejected</v>
      </c>
      <c r="L645" t="str">
        <f>IFERROR(VLOOKUP(K645, Status_Mapping!A:B, 2,), "Not Found")</f>
        <v>Rejected</v>
      </c>
      <c r="N645" s="29" t="str">
        <f>IF(M645="","",M645-B645)</f>
        <v/>
      </c>
      <c r="O645" s="1" t="str">
        <f t="shared" si="55"/>
        <v>Starter</v>
      </c>
      <c r="P645" t="str">
        <f>TEXT(B645, "mmmm")</f>
        <v>August</v>
      </c>
      <c r="Q645" t="str">
        <f t="shared" si="56"/>
        <v>Q3</v>
      </c>
      <c r="R645" t="str">
        <f>IFERROR(VLOOKUP(TRIM(CLEAN(G645)),Sheet14!$A$2:$B$19,2,FALSE),"Not Mapped")</f>
        <v>West</v>
      </c>
    </row>
    <row r="646" spans="1:18">
      <c r="A646" t="str">
        <f t="shared" si="54"/>
        <v>EOS0645</v>
      </c>
      <c r="B646" s="35">
        <v>45897</v>
      </c>
      <c r="C646" s="1" t="s">
        <v>267</v>
      </c>
      <c r="D646" s="1" t="str">
        <f t="shared" si="53"/>
        <v>FB</v>
      </c>
      <c r="E646" s="1" t="s">
        <v>1152</v>
      </c>
      <c r="F646" s="1"/>
      <c r="G646" s="1" t="s">
        <v>224</v>
      </c>
      <c r="H646" s="1" t="s">
        <v>149</v>
      </c>
      <c r="I646" s="1">
        <v>108000</v>
      </c>
      <c r="J646" s="45">
        <v>107644</v>
      </c>
      <c r="K646" s="1" t="str">
        <f>TRIM(Cleaned_CRM_Data!H646)</f>
        <v>Rejected</v>
      </c>
      <c r="L646" t="str">
        <f>IFERROR(VLOOKUP(K646, Status_Mapping!A:B, 2,), "Not Found")</f>
        <v>Rejected</v>
      </c>
      <c r="N646" s="29" t="str">
        <f>IF(M646="","",M646-B646)</f>
        <v/>
      </c>
      <c r="O646" s="1" t="str">
        <f t="shared" si="55"/>
        <v>Starter</v>
      </c>
      <c r="P646" t="str">
        <f>TEXT(B646, "mmmm")</f>
        <v>August</v>
      </c>
      <c r="Q646" t="str">
        <f t="shared" si="56"/>
        <v>Q3</v>
      </c>
      <c r="R646" t="str">
        <f>IFERROR(VLOOKUP(TRIM(CLEAN(G646)),Sheet14!$A$2:$B$19,2,FALSE),"Not Mapped")</f>
        <v>West</v>
      </c>
    </row>
    <row r="647" spans="1:18">
      <c r="A647" t="str">
        <f t="shared" si="54"/>
        <v>EOS0646</v>
      </c>
      <c r="B647" s="35">
        <v>45897</v>
      </c>
      <c r="C647" s="1" t="s">
        <v>267</v>
      </c>
      <c r="D647" s="1" t="str">
        <f t="shared" si="53"/>
        <v>FB</v>
      </c>
      <c r="E647" s="1" t="s">
        <v>1153</v>
      </c>
      <c r="F647" s="1" t="s">
        <v>300</v>
      </c>
      <c r="G647" s="1" t="s">
        <v>224</v>
      </c>
      <c r="H647" s="1" t="s">
        <v>149</v>
      </c>
      <c r="I647" s="1">
        <v>108000</v>
      </c>
      <c r="J647" s="45">
        <v>107645</v>
      </c>
      <c r="K647" s="1" t="str">
        <f>TRIM(Cleaned_CRM_Data!H647)</f>
        <v>Rejected</v>
      </c>
      <c r="L647" t="str">
        <f>IFERROR(VLOOKUP(K647, Status_Mapping!A:B, 2,), "Not Found")</f>
        <v>Rejected</v>
      </c>
      <c r="N647" s="29" t="str">
        <f>IF(M647="","",M647-B647)</f>
        <v/>
      </c>
      <c r="O647" s="1" t="str">
        <f t="shared" si="55"/>
        <v>Starter</v>
      </c>
      <c r="P647" t="str">
        <f>TEXT(B647, "mmmm")</f>
        <v>August</v>
      </c>
      <c r="Q647" t="str">
        <f t="shared" si="56"/>
        <v>Q3</v>
      </c>
      <c r="R647" t="str">
        <f>IFERROR(VLOOKUP(TRIM(CLEAN(G647)),Sheet14!$A$2:$B$19,2,FALSE),"Not Mapped")</f>
        <v>West</v>
      </c>
    </row>
    <row r="648" spans="1:18">
      <c r="A648" t="str">
        <f t="shared" si="54"/>
        <v>EOS0647</v>
      </c>
      <c r="B648" s="35">
        <v>45897</v>
      </c>
      <c r="C648" s="1" t="s">
        <v>911</v>
      </c>
      <c r="D648" s="1"/>
      <c r="E648" s="1" t="s">
        <v>1137</v>
      </c>
      <c r="F648" s="1"/>
      <c r="G648" s="1" t="s">
        <v>228</v>
      </c>
      <c r="H648" s="1" t="s">
        <v>149</v>
      </c>
      <c r="I648" s="1">
        <v>177000</v>
      </c>
      <c r="J648" s="45">
        <v>107646</v>
      </c>
      <c r="K648" s="1" t="s">
        <v>40</v>
      </c>
      <c r="L648" t="str">
        <f>IFERROR(VLOOKUP(K648, Status_Mapping!A:B, 2,), "Not Found")</f>
        <v>Converted</v>
      </c>
      <c r="N648" s="29" t="str">
        <f>IF(M648="","",M648-B648)</f>
        <v/>
      </c>
      <c r="O648" s="1" t="str">
        <f t="shared" si="55"/>
        <v>Growth</v>
      </c>
      <c r="P648" t="str">
        <f>TEXT(B648, "mmmm")</f>
        <v>August</v>
      </c>
      <c r="Q648" t="str">
        <f t="shared" si="56"/>
        <v>Q3</v>
      </c>
      <c r="R648" t="str">
        <f>IFERROR(VLOOKUP(TRIM(CLEAN(G648)),Sheet14!$A$2:$B$19,2,FALSE),"Not Mapped")</f>
        <v>Central</v>
      </c>
    </row>
    <row r="649" spans="1:18">
      <c r="A649" t="str">
        <f t="shared" si="54"/>
        <v>EOS0648</v>
      </c>
      <c r="B649" s="35">
        <v>45897</v>
      </c>
      <c r="C649" s="1" t="s">
        <v>911</v>
      </c>
      <c r="D649" s="1"/>
      <c r="E649" s="1" t="s">
        <v>1154</v>
      </c>
      <c r="F649" s="1" t="s">
        <v>1155</v>
      </c>
      <c r="G649" s="1" t="s">
        <v>224</v>
      </c>
      <c r="H649" s="1" t="s">
        <v>149</v>
      </c>
      <c r="I649" s="1">
        <v>108000</v>
      </c>
      <c r="J649" s="45">
        <v>107647</v>
      </c>
      <c r="K649" s="1" t="str">
        <f>TRIM(Cleaned_CRM_Data!H649)</f>
        <v>Rejected</v>
      </c>
      <c r="L649" t="str">
        <f>IFERROR(VLOOKUP(K649, Status_Mapping!A:B, 2,), "Not Found")</f>
        <v>Rejected</v>
      </c>
      <c r="N649" s="29" t="str">
        <f>IF(M649="","",M649-B649)</f>
        <v/>
      </c>
      <c r="O649" s="1" t="str">
        <f t="shared" si="55"/>
        <v>Starter</v>
      </c>
      <c r="P649" t="str">
        <f>TEXT(B649, "mmmm")</f>
        <v>August</v>
      </c>
      <c r="Q649" t="str">
        <f t="shared" si="56"/>
        <v>Q3</v>
      </c>
      <c r="R649" t="str">
        <f>IFERROR(VLOOKUP(TRIM(CLEAN(G649)),Sheet14!$A$2:$B$19,2,FALSE),"Not Mapped")</f>
        <v>West</v>
      </c>
    </row>
    <row r="650" spans="1:18">
      <c r="A650" t="str">
        <f t="shared" si="54"/>
        <v>EOS0649</v>
      </c>
      <c r="B650" s="35">
        <v>45897</v>
      </c>
      <c r="C650" s="1" t="s">
        <v>911</v>
      </c>
      <c r="D650" s="1"/>
      <c r="E650" s="1" t="s">
        <v>1156</v>
      </c>
      <c r="F650" s="1" t="s">
        <v>860</v>
      </c>
      <c r="G650" s="1" t="s">
        <v>224</v>
      </c>
      <c r="H650" s="1" t="s">
        <v>149</v>
      </c>
      <c r="I650" s="1">
        <v>130000</v>
      </c>
      <c r="J650" s="45">
        <v>107648</v>
      </c>
      <c r="K650" s="1" t="str">
        <f>TRIM(Cleaned_CRM_Data!H650)</f>
        <v>Rejected</v>
      </c>
      <c r="L650" t="str">
        <f>IFERROR(VLOOKUP(K650, Status_Mapping!A:B, 2,), "Not Found")</f>
        <v>Rejected</v>
      </c>
      <c r="N650" s="29" t="str">
        <f>IF(M650="","",M650-B650)</f>
        <v/>
      </c>
      <c r="O650" s="1" t="str">
        <f t="shared" si="55"/>
        <v>Starter</v>
      </c>
      <c r="P650" t="str">
        <f>TEXT(B650, "mmmm")</f>
        <v>August</v>
      </c>
      <c r="Q650" t="str">
        <f t="shared" si="56"/>
        <v>Q3</v>
      </c>
      <c r="R650" t="str">
        <f>IFERROR(VLOOKUP(TRIM(CLEAN(G650)),Sheet14!$A$2:$B$19,2,FALSE),"Not Mapped")</f>
        <v>West</v>
      </c>
    </row>
    <row r="651" spans="1:18">
      <c r="A651" t="str">
        <f t="shared" si="54"/>
        <v>EOS0650</v>
      </c>
      <c r="B651" s="35">
        <v>45897</v>
      </c>
      <c r="C651" s="1" t="s">
        <v>267</v>
      </c>
      <c r="D651" s="1" t="str">
        <f t="shared" ref="D651:D652" si="57">TRIM(CLEAN(SUBSTITUTE(C651,CHAR(160),"")))</f>
        <v>FB</v>
      </c>
      <c r="E651" s="1" t="s">
        <v>1157</v>
      </c>
      <c r="F651" s="1"/>
      <c r="G651" s="1" t="s">
        <v>224</v>
      </c>
      <c r="H651" s="1" t="s">
        <v>149</v>
      </c>
      <c r="I651" s="1">
        <v>130000</v>
      </c>
      <c r="J651" s="45">
        <v>107649</v>
      </c>
      <c r="K651" s="1" t="str">
        <f>TRIM(Cleaned_CRM_Data!H651)</f>
        <v>Rejected</v>
      </c>
      <c r="L651" t="str">
        <f>IFERROR(VLOOKUP(K651, Status_Mapping!A:B, 2,), "Not Found")</f>
        <v>Rejected</v>
      </c>
      <c r="N651" s="29" t="str">
        <f>IF(M651="","",M651-B651)</f>
        <v/>
      </c>
      <c r="O651" s="1" t="str">
        <f t="shared" si="55"/>
        <v>Starter</v>
      </c>
      <c r="P651" t="str">
        <f>TEXT(B651, "mmmm")</f>
        <v>August</v>
      </c>
      <c r="Q651" t="str">
        <f t="shared" si="56"/>
        <v>Q3</v>
      </c>
      <c r="R651" t="str">
        <f>IFERROR(VLOOKUP(TRIM(CLEAN(G651)),Sheet14!$A$2:$B$19,2,FALSE),"Not Mapped")</f>
        <v>West</v>
      </c>
    </row>
    <row r="652" spans="1:18">
      <c r="A652" t="str">
        <f t="shared" si="54"/>
        <v>EOS0651</v>
      </c>
      <c r="B652" s="35">
        <v>45898</v>
      </c>
      <c r="C652" s="1" t="s">
        <v>267</v>
      </c>
      <c r="D652" s="1" t="str">
        <f t="shared" si="57"/>
        <v>FB</v>
      </c>
      <c r="E652" s="1" t="s">
        <v>1158</v>
      </c>
      <c r="F652" s="1"/>
      <c r="G652" s="1"/>
      <c r="H652" s="1" t="s">
        <v>149</v>
      </c>
      <c r="I652" s="1">
        <v>108000</v>
      </c>
      <c r="J652" s="45">
        <v>107650</v>
      </c>
      <c r="K652" s="1" t="str">
        <f>TRIM(Cleaned_CRM_Data!H652)</f>
        <v>Rejected</v>
      </c>
      <c r="L652" t="str">
        <f>IFERROR(VLOOKUP(K652, Status_Mapping!A:B, 2,), "Not Found")</f>
        <v>Rejected</v>
      </c>
      <c r="N652" s="29" t="str">
        <f>IF(M652="","",M652-B652)</f>
        <v/>
      </c>
      <c r="O652" s="1" t="str">
        <f t="shared" si="55"/>
        <v>Starter</v>
      </c>
      <c r="P652" t="str">
        <f>TEXT(B652, "mmmm")</f>
        <v>August</v>
      </c>
      <c r="Q652" t="str">
        <f t="shared" si="56"/>
        <v>Q3</v>
      </c>
      <c r="R652" t="str">
        <f>IFERROR(VLOOKUP(TRIM(CLEAN(G652)),Sheet14!$A$2:$B$19,2,FALSE),"Not Mapped")</f>
        <v>Not Mapped</v>
      </c>
    </row>
    <row r="653" spans="1:18">
      <c r="A653" t="str">
        <f t="shared" si="54"/>
        <v>EOS0652</v>
      </c>
      <c r="B653" s="35">
        <v>45898</v>
      </c>
      <c r="C653" s="1" t="s">
        <v>911</v>
      </c>
      <c r="D653" s="1"/>
      <c r="E653" s="1" t="s">
        <v>1159</v>
      </c>
      <c r="F653" s="1"/>
      <c r="G653" s="1" t="s">
        <v>239</v>
      </c>
      <c r="H653" s="1" t="s">
        <v>149</v>
      </c>
      <c r="I653" s="1">
        <v>130000</v>
      </c>
      <c r="J653" s="45">
        <v>107651</v>
      </c>
      <c r="K653" s="1" t="str">
        <f>TRIM(Cleaned_CRM_Data!H653)</f>
        <v>Rejected</v>
      </c>
      <c r="L653" t="str">
        <f>IFERROR(VLOOKUP(K653, Status_Mapping!A:B, 2,), "Not Found")</f>
        <v>Rejected</v>
      </c>
      <c r="N653" s="29" t="str">
        <f>IF(M653="","",M653-B653)</f>
        <v/>
      </c>
      <c r="O653" s="1" t="str">
        <f t="shared" si="55"/>
        <v>Starter</v>
      </c>
      <c r="P653" t="str">
        <f>TEXT(B653, "mmmm")</f>
        <v>August</v>
      </c>
      <c r="Q653" t="str">
        <f t="shared" si="56"/>
        <v>Q3</v>
      </c>
      <c r="R653" t="str">
        <f>IFERROR(VLOOKUP(TRIM(CLEAN(G653)),Sheet14!$A$2:$B$19,2,FALSE),"Not Mapped")</f>
        <v>East</v>
      </c>
    </row>
    <row r="654" spans="1:18">
      <c r="A654" t="str">
        <f t="shared" si="54"/>
        <v>EOS0653</v>
      </c>
      <c r="B654" s="35">
        <v>45898</v>
      </c>
      <c r="C654" s="1" t="s">
        <v>911</v>
      </c>
      <c r="D654" s="1"/>
      <c r="E654" s="1" t="s">
        <v>1160</v>
      </c>
      <c r="F654" s="1" t="s">
        <v>1161</v>
      </c>
      <c r="G654" s="1" t="s">
        <v>223</v>
      </c>
      <c r="H654" s="1" t="s">
        <v>149</v>
      </c>
      <c r="I654" s="1">
        <v>130000</v>
      </c>
      <c r="J654" s="45">
        <v>107652</v>
      </c>
      <c r="K654" s="1" t="str">
        <f>TRIM(Cleaned_CRM_Data!H654)</f>
        <v>Rejected</v>
      </c>
      <c r="L654" t="str">
        <f>IFERROR(VLOOKUP(K654, Status_Mapping!A:B, 2,), "Not Found")</f>
        <v>Rejected</v>
      </c>
      <c r="N654" s="29" t="str">
        <f>IF(M654="","",M654-B654)</f>
        <v/>
      </c>
      <c r="O654" s="1" t="str">
        <f t="shared" si="55"/>
        <v>Starter</v>
      </c>
      <c r="P654" t="str">
        <f>TEXT(B654, "mmmm")</f>
        <v>August</v>
      </c>
      <c r="Q654" t="str">
        <f t="shared" si="56"/>
        <v>Q3</v>
      </c>
      <c r="R654" t="str">
        <f>IFERROR(VLOOKUP(TRIM(CLEAN(G654)),Sheet14!$A$2:$B$19,2,FALSE),"Not Mapped")</f>
        <v>West</v>
      </c>
    </row>
    <row r="655" spans="1:18">
      <c r="A655" t="str">
        <f t="shared" si="54"/>
        <v>EOS0654</v>
      </c>
      <c r="B655" s="35">
        <v>45899</v>
      </c>
      <c r="C655" s="1" t="s">
        <v>911</v>
      </c>
      <c r="D655" s="1"/>
      <c r="E655" s="1" t="s">
        <v>1162</v>
      </c>
      <c r="F655" s="1"/>
      <c r="G655" s="1" t="s">
        <v>1163</v>
      </c>
      <c r="H655" s="1" t="s">
        <v>149</v>
      </c>
      <c r="I655" s="1">
        <v>108000</v>
      </c>
      <c r="J655" s="45">
        <v>107653</v>
      </c>
      <c r="K655" s="1" t="str">
        <f>TRIM(Cleaned_CRM_Data!H655)</f>
        <v>Rejected</v>
      </c>
      <c r="L655" t="str">
        <f>IFERROR(VLOOKUP(K655, Status_Mapping!A:B, 2,), "Not Found")</f>
        <v>Rejected</v>
      </c>
      <c r="N655" s="29" t="str">
        <f>IF(M655="","",M655-B655)</f>
        <v/>
      </c>
      <c r="O655" s="1" t="str">
        <f t="shared" si="55"/>
        <v>Starter</v>
      </c>
      <c r="P655" t="str">
        <f>TEXT(B655, "mmmm")</f>
        <v>August</v>
      </c>
      <c r="Q655" t="str">
        <f t="shared" si="56"/>
        <v>Q3</v>
      </c>
      <c r="R655" t="str">
        <f>IFERROR(VLOOKUP(TRIM(CLEAN(G655)),Sheet14!$A$2:$B$19,2,FALSE),"Not Mapped")</f>
        <v>North</v>
      </c>
    </row>
    <row r="656" spans="1:18">
      <c r="A656" t="str">
        <f t="shared" si="54"/>
        <v>EOS0655</v>
      </c>
      <c r="B656" s="35">
        <v>45899</v>
      </c>
      <c r="C656" s="1" t="s">
        <v>267</v>
      </c>
      <c r="D656" s="1" t="str">
        <f t="shared" ref="D656:D676" si="58">TRIM(CLEAN(SUBSTITUTE(C656,CHAR(160),"")))</f>
        <v>FB</v>
      </c>
      <c r="E656" s="1" t="s">
        <v>1162</v>
      </c>
      <c r="F656" s="1" t="s">
        <v>1164</v>
      </c>
      <c r="G656" s="1" t="s">
        <v>1163</v>
      </c>
      <c r="H656" s="1" t="s">
        <v>149</v>
      </c>
      <c r="I656" s="1">
        <v>108000</v>
      </c>
      <c r="J656" s="45">
        <v>107654</v>
      </c>
      <c r="K656" s="1" t="str">
        <f>TRIM(Cleaned_CRM_Data!H656)</f>
        <v>Rejected</v>
      </c>
      <c r="L656" t="str">
        <f>IFERROR(VLOOKUP(K656, Status_Mapping!A:B, 2,), "Not Found")</f>
        <v>Rejected</v>
      </c>
      <c r="N656" s="29" t="str">
        <f>IF(M656="","",M656-B656)</f>
        <v/>
      </c>
      <c r="O656" s="1" t="str">
        <f t="shared" si="55"/>
        <v>Starter</v>
      </c>
      <c r="P656" t="str">
        <f>TEXT(B656, "mmmm")</f>
        <v>August</v>
      </c>
      <c r="Q656" t="str">
        <f t="shared" si="56"/>
        <v>Q3</v>
      </c>
      <c r="R656" t="str">
        <f>IFERROR(VLOOKUP(TRIM(CLEAN(G656)),Sheet14!$A$2:$B$19,2,FALSE),"Not Mapped")</f>
        <v>North</v>
      </c>
    </row>
    <row r="657" spans="1:18">
      <c r="A657" t="str">
        <f t="shared" si="54"/>
        <v>EOS0656</v>
      </c>
      <c r="B657" s="35">
        <v>45899</v>
      </c>
      <c r="C657" s="1" t="s">
        <v>267</v>
      </c>
      <c r="D657" s="1" t="str">
        <f t="shared" si="58"/>
        <v>FB</v>
      </c>
      <c r="E657" s="1" t="s">
        <v>1165</v>
      </c>
      <c r="F657" s="1"/>
      <c r="G657" s="1" t="s">
        <v>223</v>
      </c>
      <c r="H657" s="1" t="s">
        <v>149</v>
      </c>
      <c r="I657" s="1">
        <v>108000</v>
      </c>
      <c r="J657" s="45">
        <v>107655</v>
      </c>
      <c r="K657" s="1" t="str">
        <f>TRIM(Cleaned_CRM_Data!H657)</f>
        <v>Rejected</v>
      </c>
      <c r="L657" t="str">
        <f>IFERROR(VLOOKUP(K657, Status_Mapping!A:B, 2,), "Not Found")</f>
        <v>Rejected</v>
      </c>
      <c r="N657" s="29" t="str">
        <f>IF(M657="","",M657-B657)</f>
        <v/>
      </c>
      <c r="O657" s="1" t="str">
        <f t="shared" si="55"/>
        <v>Starter</v>
      </c>
      <c r="P657" t="str">
        <f>TEXT(B657, "mmmm")</f>
        <v>August</v>
      </c>
      <c r="Q657" t="str">
        <f t="shared" si="56"/>
        <v>Q3</v>
      </c>
      <c r="R657" t="str">
        <f>IFERROR(VLOOKUP(TRIM(CLEAN(G657)),Sheet14!$A$2:$B$19,2,FALSE),"Not Mapped")</f>
        <v>West</v>
      </c>
    </row>
    <row r="658" spans="1:18">
      <c r="A658" t="str">
        <f t="shared" si="54"/>
        <v>EOS0657</v>
      </c>
      <c r="B658" s="35">
        <v>45899</v>
      </c>
      <c r="C658" s="1" t="s">
        <v>267</v>
      </c>
      <c r="D658" s="1" t="str">
        <f t="shared" si="58"/>
        <v>FB</v>
      </c>
      <c r="E658" s="1" t="s">
        <v>1166</v>
      </c>
      <c r="F658" s="1"/>
      <c r="G658" s="1" t="s">
        <v>223</v>
      </c>
      <c r="H658" s="1" t="s">
        <v>149</v>
      </c>
      <c r="I658" s="1">
        <v>108000</v>
      </c>
      <c r="J658" s="45">
        <v>107656</v>
      </c>
      <c r="K658" s="1" t="str">
        <f>TRIM(Cleaned_CRM_Data!H658)</f>
        <v>Rejected</v>
      </c>
      <c r="L658" t="str">
        <f>IFERROR(VLOOKUP(K658, Status_Mapping!A:B, 2,), "Not Found")</f>
        <v>Rejected</v>
      </c>
      <c r="N658" s="29" t="str">
        <f>IF(M658="","",M658-B658)</f>
        <v/>
      </c>
      <c r="O658" s="1" t="str">
        <f t="shared" si="55"/>
        <v>Starter</v>
      </c>
      <c r="P658" t="str">
        <f>TEXT(B658, "mmmm")</f>
        <v>August</v>
      </c>
      <c r="Q658" t="str">
        <f t="shared" si="56"/>
        <v>Q3</v>
      </c>
      <c r="R658" t="str">
        <f>IFERROR(VLOOKUP(TRIM(CLEAN(G658)),Sheet14!$A$2:$B$19,2,FALSE),"Not Mapped")</f>
        <v>West</v>
      </c>
    </row>
    <row r="659" spans="1:18">
      <c r="A659" t="str">
        <f t="shared" si="54"/>
        <v>EOS0658</v>
      </c>
      <c r="B659" s="35">
        <v>45899</v>
      </c>
      <c r="C659" s="1" t="s">
        <v>267</v>
      </c>
      <c r="D659" s="1" t="str">
        <f t="shared" si="58"/>
        <v>FB</v>
      </c>
      <c r="E659" s="1" t="s">
        <v>1167</v>
      </c>
      <c r="F659" s="1"/>
      <c r="G659" s="1" t="s">
        <v>223</v>
      </c>
      <c r="H659" s="1" t="s">
        <v>149</v>
      </c>
      <c r="I659" s="1">
        <v>108000</v>
      </c>
      <c r="J659" s="45">
        <v>107657</v>
      </c>
      <c r="K659" s="1" t="str">
        <f>TRIM(Cleaned_CRM_Data!H659)</f>
        <v>Rejected</v>
      </c>
      <c r="L659" t="str">
        <f>IFERROR(VLOOKUP(K659, Status_Mapping!A:B, 2,), "Not Found")</f>
        <v>Rejected</v>
      </c>
      <c r="N659" s="29" t="str">
        <f>IF(M659="","",M659-B659)</f>
        <v/>
      </c>
      <c r="O659" s="1" t="str">
        <f t="shared" si="55"/>
        <v>Starter</v>
      </c>
      <c r="P659" t="str">
        <f>TEXT(B659, "mmmm")</f>
        <v>August</v>
      </c>
      <c r="Q659" t="str">
        <f t="shared" si="56"/>
        <v>Q3</v>
      </c>
      <c r="R659" t="str">
        <f>IFERROR(VLOOKUP(TRIM(CLEAN(G659)),Sheet14!$A$2:$B$19,2,FALSE),"Not Mapped")</f>
        <v>West</v>
      </c>
    </row>
    <row r="660" spans="1:18">
      <c r="A660" t="str">
        <f t="shared" si="54"/>
        <v>EOS0659</v>
      </c>
      <c r="B660" s="35">
        <v>45899</v>
      </c>
      <c r="C660" s="1" t="s">
        <v>267</v>
      </c>
      <c r="D660" s="1" t="str">
        <f t="shared" si="58"/>
        <v>FB</v>
      </c>
      <c r="E660" s="1" t="s">
        <v>1168</v>
      </c>
      <c r="F660" s="1"/>
      <c r="G660" s="1" t="s">
        <v>223</v>
      </c>
      <c r="H660" s="1" t="s">
        <v>149</v>
      </c>
      <c r="I660" s="1">
        <v>130000</v>
      </c>
      <c r="J660" s="45">
        <v>107658</v>
      </c>
      <c r="K660" s="1" t="str">
        <f>TRIM(Cleaned_CRM_Data!H660)</f>
        <v>Rejected</v>
      </c>
      <c r="L660" t="str">
        <f>IFERROR(VLOOKUP(K660, Status_Mapping!A:B, 2,), "Not Found")</f>
        <v>Rejected</v>
      </c>
      <c r="N660" s="29" t="str">
        <f>IF(M660="","",M660-B660)</f>
        <v/>
      </c>
      <c r="O660" s="1" t="str">
        <f t="shared" si="55"/>
        <v>Starter</v>
      </c>
      <c r="P660" t="str">
        <f>TEXT(B660, "mmmm")</f>
        <v>August</v>
      </c>
      <c r="Q660" t="str">
        <f t="shared" si="56"/>
        <v>Q3</v>
      </c>
      <c r="R660" t="str">
        <f>IFERROR(VLOOKUP(TRIM(CLEAN(G660)),Sheet14!$A$2:$B$19,2,FALSE),"Not Mapped")</f>
        <v>West</v>
      </c>
    </row>
    <row r="661" spans="1:18">
      <c r="A661" t="str">
        <f t="shared" si="54"/>
        <v>EOS0660</v>
      </c>
      <c r="B661" s="35">
        <v>45899</v>
      </c>
      <c r="C661" s="1" t="s">
        <v>267</v>
      </c>
      <c r="D661" s="1" t="str">
        <f t="shared" si="58"/>
        <v>FB</v>
      </c>
      <c r="E661" s="1" t="s">
        <v>1169</v>
      </c>
      <c r="F661" s="1"/>
      <c r="G661" s="1" t="s">
        <v>223</v>
      </c>
      <c r="H661" s="1" t="s">
        <v>149</v>
      </c>
      <c r="I661" s="1">
        <v>177000</v>
      </c>
      <c r="J661" s="45">
        <v>107659</v>
      </c>
      <c r="K661" s="1" t="str">
        <f>TRIM(Cleaned_CRM_Data!H661)</f>
        <v>Rejected</v>
      </c>
      <c r="L661" t="str">
        <f>IFERROR(VLOOKUP(K661, Status_Mapping!A:B, 2,), "Not Found")</f>
        <v>Rejected</v>
      </c>
      <c r="N661" s="29" t="str">
        <f>IF(M661="","",M661-B661)</f>
        <v/>
      </c>
      <c r="O661" s="1" t="str">
        <f t="shared" si="55"/>
        <v>Growth</v>
      </c>
      <c r="P661" t="str">
        <f>TEXT(B661, "mmmm")</f>
        <v>August</v>
      </c>
      <c r="Q661" t="str">
        <f t="shared" si="56"/>
        <v>Q3</v>
      </c>
      <c r="R661" t="str">
        <f>IFERROR(VLOOKUP(TRIM(CLEAN(G661)),Sheet14!$A$2:$B$19,2,FALSE),"Not Mapped")</f>
        <v>West</v>
      </c>
    </row>
    <row r="662" spans="1:18">
      <c r="A662" t="str">
        <f t="shared" si="54"/>
        <v>EOS0661</v>
      </c>
      <c r="B662" s="35">
        <v>45900</v>
      </c>
      <c r="C662" s="1" t="s">
        <v>267</v>
      </c>
      <c r="D662" s="1" t="str">
        <f t="shared" si="58"/>
        <v>FB</v>
      </c>
      <c r="E662" s="1" t="s">
        <v>1170</v>
      </c>
      <c r="F662" s="2" t="s">
        <v>1171</v>
      </c>
      <c r="G662" s="1" t="s">
        <v>224</v>
      </c>
      <c r="H662" s="1" t="s">
        <v>149</v>
      </c>
      <c r="I662" s="1">
        <v>130000</v>
      </c>
      <c r="J662" s="45">
        <v>107660</v>
      </c>
      <c r="K662" s="1" t="str">
        <f>TRIM(Cleaned_CRM_Data!H662)</f>
        <v>Rejected</v>
      </c>
      <c r="L662" t="str">
        <f>IFERROR(VLOOKUP(K662, Status_Mapping!A:B, 2,), "Not Found")</f>
        <v>Rejected</v>
      </c>
      <c r="N662" s="29" t="str">
        <f>IF(M662="","",M662-B662)</f>
        <v/>
      </c>
      <c r="O662" s="1" t="str">
        <f t="shared" si="55"/>
        <v>Starter</v>
      </c>
      <c r="P662" t="str">
        <f>TEXT(B662, "mmmm")</f>
        <v>August</v>
      </c>
      <c r="Q662" t="str">
        <f t="shared" si="56"/>
        <v>Q3</v>
      </c>
      <c r="R662" t="str">
        <f>IFERROR(VLOOKUP(TRIM(CLEAN(G662)),Sheet14!$A$2:$B$19,2,FALSE),"Not Mapped")</f>
        <v>West</v>
      </c>
    </row>
    <row r="663" spans="1:18">
      <c r="A663" t="str">
        <f t="shared" si="54"/>
        <v>EOS0662</v>
      </c>
      <c r="B663" s="35">
        <v>45900</v>
      </c>
      <c r="C663" s="1" t="s">
        <v>267</v>
      </c>
      <c r="D663" s="1" t="str">
        <f t="shared" si="58"/>
        <v>FB</v>
      </c>
      <c r="E663" s="1" t="s">
        <v>1172</v>
      </c>
      <c r="F663" s="1" t="s">
        <v>654</v>
      </c>
      <c r="G663" s="1" t="s">
        <v>224</v>
      </c>
      <c r="H663" s="1" t="s">
        <v>149</v>
      </c>
      <c r="I663" s="1">
        <v>108000</v>
      </c>
      <c r="J663" s="45">
        <v>107661</v>
      </c>
      <c r="K663" s="1" t="str">
        <f>TRIM(Cleaned_CRM_Data!H663)</f>
        <v>Rejected</v>
      </c>
      <c r="L663" t="str">
        <f>IFERROR(VLOOKUP(K663, Status_Mapping!A:B, 2,), "Not Found")</f>
        <v>Rejected</v>
      </c>
      <c r="N663" s="29" t="str">
        <f>IF(M663="","",M663-B663)</f>
        <v/>
      </c>
      <c r="O663" s="1" t="str">
        <f t="shared" si="55"/>
        <v>Starter</v>
      </c>
      <c r="P663" t="str">
        <f>TEXT(B663, "mmmm")</f>
        <v>August</v>
      </c>
      <c r="Q663" t="str">
        <f t="shared" si="56"/>
        <v>Q3</v>
      </c>
      <c r="R663" t="str">
        <f>IFERROR(VLOOKUP(TRIM(CLEAN(G663)),Sheet14!$A$2:$B$19,2,FALSE),"Not Mapped")</f>
        <v>West</v>
      </c>
    </row>
    <row r="664" spans="1:18">
      <c r="A664" t="str">
        <f t="shared" si="54"/>
        <v>EOS0663</v>
      </c>
      <c r="B664" s="35">
        <v>45900</v>
      </c>
      <c r="C664" s="1" t="s">
        <v>267</v>
      </c>
      <c r="D664" s="1" t="str">
        <f t="shared" si="58"/>
        <v>FB</v>
      </c>
      <c r="E664" s="1" t="s">
        <v>1173</v>
      </c>
      <c r="F664" s="1" t="s">
        <v>275</v>
      </c>
      <c r="G664" s="1" t="s">
        <v>224</v>
      </c>
      <c r="H664" s="1" t="s">
        <v>149</v>
      </c>
      <c r="I664" s="1">
        <v>130000</v>
      </c>
      <c r="J664" s="45">
        <v>107662</v>
      </c>
      <c r="K664" s="1" t="str">
        <f>TRIM(Cleaned_CRM_Data!H664)</f>
        <v>Rejected</v>
      </c>
      <c r="L664" t="str">
        <f>IFERROR(VLOOKUP(K664, Status_Mapping!A:B, 2,), "Not Found")</f>
        <v>Rejected</v>
      </c>
      <c r="N664" s="29" t="str">
        <f>IF(M664="","",M664-B664)</f>
        <v/>
      </c>
      <c r="O664" s="1" t="str">
        <f t="shared" si="55"/>
        <v>Starter</v>
      </c>
      <c r="P664" t="str">
        <f>TEXT(B664, "mmmm")</f>
        <v>August</v>
      </c>
      <c r="Q664" t="str">
        <f t="shared" si="56"/>
        <v>Q3</v>
      </c>
      <c r="R664" t="str">
        <f>IFERROR(VLOOKUP(TRIM(CLEAN(G664)),Sheet14!$A$2:$B$19,2,FALSE),"Not Mapped")</f>
        <v>West</v>
      </c>
    </row>
    <row r="665" spans="1:18">
      <c r="A665" t="str">
        <f t="shared" si="54"/>
        <v>EOS0664</v>
      </c>
      <c r="B665" s="35">
        <v>45900</v>
      </c>
      <c r="C665" s="1" t="s">
        <v>267</v>
      </c>
      <c r="D665" s="1" t="str">
        <f t="shared" si="58"/>
        <v>FB</v>
      </c>
      <c r="E665" s="1" t="s">
        <v>1174</v>
      </c>
      <c r="F665" s="1" t="s">
        <v>1175</v>
      </c>
      <c r="G665" s="1" t="s">
        <v>1176</v>
      </c>
      <c r="H665" s="1" t="s">
        <v>149</v>
      </c>
      <c r="I665" s="1">
        <v>108000</v>
      </c>
      <c r="J665" s="45">
        <v>107663</v>
      </c>
      <c r="K665" s="1" t="str">
        <f>TRIM(Cleaned_CRM_Data!H665)</f>
        <v>Rejected</v>
      </c>
      <c r="L665" t="str">
        <f>IFERROR(VLOOKUP(K665, Status_Mapping!A:B, 2,), "Not Found")</f>
        <v>Rejected</v>
      </c>
      <c r="N665" s="29" t="str">
        <f>IF(M665="","",M665-B665)</f>
        <v/>
      </c>
      <c r="O665" s="1" t="str">
        <f t="shared" si="55"/>
        <v>Starter</v>
      </c>
      <c r="P665" t="str">
        <f>TEXT(B665, "mmmm")</f>
        <v>August</v>
      </c>
      <c r="Q665" t="str">
        <f t="shared" si="56"/>
        <v>Q3</v>
      </c>
      <c r="R665" t="str">
        <f>IFERROR(VLOOKUP(TRIM(CLEAN(G665)),Sheet14!$A$2:$B$19,2,FALSE),"Not Mapped")</f>
        <v>West</v>
      </c>
    </row>
    <row r="666" spans="1:18">
      <c r="A666" t="str">
        <f t="shared" si="54"/>
        <v>EOS0665</v>
      </c>
      <c r="B666" s="35">
        <v>45900</v>
      </c>
      <c r="C666" s="1" t="s">
        <v>267</v>
      </c>
      <c r="D666" s="1" t="str">
        <f t="shared" si="58"/>
        <v>FB</v>
      </c>
      <c r="E666" s="1" t="s">
        <v>1177</v>
      </c>
      <c r="F666" s="1"/>
      <c r="G666" s="1" t="s">
        <v>224</v>
      </c>
      <c r="H666" s="1" t="s">
        <v>149</v>
      </c>
      <c r="I666" s="1">
        <v>130000</v>
      </c>
      <c r="J666" s="45">
        <v>107664</v>
      </c>
      <c r="K666" s="1" t="str">
        <f>TRIM(Cleaned_CRM_Data!H666)</f>
        <v>Rejected</v>
      </c>
      <c r="L666" t="str">
        <f>IFERROR(VLOOKUP(K666, Status_Mapping!A:B, 2,), "Not Found")</f>
        <v>Rejected</v>
      </c>
      <c r="N666" s="29" t="str">
        <f>IF(M666="","",M666-B666)</f>
        <v/>
      </c>
      <c r="O666" s="1" t="str">
        <f t="shared" si="55"/>
        <v>Starter</v>
      </c>
      <c r="P666" t="str">
        <f>TEXT(B666, "mmmm")</f>
        <v>August</v>
      </c>
      <c r="Q666" t="str">
        <f t="shared" si="56"/>
        <v>Q3</v>
      </c>
      <c r="R666" t="str">
        <f>IFERROR(VLOOKUP(TRIM(CLEAN(G666)),Sheet14!$A$2:$B$19,2,FALSE),"Not Mapped")</f>
        <v>West</v>
      </c>
    </row>
    <row r="667" spans="1:18">
      <c r="A667" t="str">
        <f t="shared" si="54"/>
        <v>EOS0666</v>
      </c>
      <c r="B667" s="35">
        <v>45900</v>
      </c>
      <c r="C667" s="1" t="s">
        <v>267</v>
      </c>
      <c r="D667" s="1" t="str">
        <f t="shared" si="58"/>
        <v>FB</v>
      </c>
      <c r="E667" s="1" t="s">
        <v>1178</v>
      </c>
      <c r="F667" s="1"/>
      <c r="G667" s="1" t="s">
        <v>224</v>
      </c>
      <c r="H667" s="1" t="s">
        <v>149</v>
      </c>
      <c r="I667" s="1">
        <v>108000</v>
      </c>
      <c r="J667" s="45">
        <v>107665</v>
      </c>
      <c r="K667" s="1" t="str">
        <f>TRIM(Cleaned_CRM_Data!H667)</f>
        <v>Rejected</v>
      </c>
      <c r="L667" t="str">
        <f>IFERROR(VLOOKUP(K667, Status_Mapping!A:B, 2,), "Not Found")</f>
        <v>Rejected</v>
      </c>
      <c r="N667" s="29" t="str">
        <f>IF(M667="","",M667-B667)</f>
        <v/>
      </c>
      <c r="O667" s="1" t="str">
        <f t="shared" si="55"/>
        <v>Starter</v>
      </c>
      <c r="P667" t="str">
        <f>TEXT(B667, "mmmm")</f>
        <v>August</v>
      </c>
      <c r="Q667" t="str">
        <f t="shared" si="56"/>
        <v>Q3</v>
      </c>
      <c r="R667" t="str">
        <f>IFERROR(VLOOKUP(TRIM(CLEAN(G667)),Sheet14!$A$2:$B$19,2,FALSE),"Not Mapped")</f>
        <v>West</v>
      </c>
    </row>
    <row r="668" spans="1:18">
      <c r="A668" t="str">
        <f t="shared" si="54"/>
        <v>EOS0667</v>
      </c>
      <c r="B668" s="35">
        <v>45900</v>
      </c>
      <c r="C668" s="1" t="s">
        <v>267</v>
      </c>
      <c r="D668" s="1" t="str">
        <f t="shared" si="58"/>
        <v>FB</v>
      </c>
      <c r="E668" s="1" t="s">
        <v>1179</v>
      </c>
      <c r="F668" s="1"/>
      <c r="G668" s="1" t="s">
        <v>224</v>
      </c>
      <c r="H668" s="1" t="s">
        <v>149</v>
      </c>
      <c r="I668" s="1">
        <v>108000</v>
      </c>
      <c r="J668" s="45">
        <v>107666</v>
      </c>
      <c r="K668" s="1" t="str">
        <f>TRIM(Cleaned_CRM_Data!H668)</f>
        <v>Rejected</v>
      </c>
      <c r="L668" t="str">
        <f>IFERROR(VLOOKUP(K668, Status_Mapping!A:B, 2,), "Not Found")</f>
        <v>Rejected</v>
      </c>
      <c r="N668" s="29" t="str">
        <f>IF(M668="","",M668-B668)</f>
        <v/>
      </c>
      <c r="O668" s="1" t="str">
        <f t="shared" si="55"/>
        <v>Starter</v>
      </c>
      <c r="P668" t="str">
        <f>TEXT(B668, "mmmm")</f>
        <v>August</v>
      </c>
      <c r="Q668" t="str">
        <f t="shared" si="56"/>
        <v>Q3</v>
      </c>
      <c r="R668" t="str">
        <f>IFERROR(VLOOKUP(TRIM(CLEAN(G668)),Sheet14!$A$2:$B$19,2,FALSE),"Not Mapped")</f>
        <v>West</v>
      </c>
    </row>
    <row r="669" spans="1:18">
      <c r="A669" t="str">
        <f t="shared" si="54"/>
        <v>EOS0668</v>
      </c>
      <c r="B669" s="35">
        <v>45900</v>
      </c>
      <c r="C669" s="1" t="s">
        <v>267</v>
      </c>
      <c r="D669" s="1" t="str">
        <f t="shared" si="58"/>
        <v>FB</v>
      </c>
      <c r="E669" s="1" t="s">
        <v>1180</v>
      </c>
      <c r="F669" s="1" t="s">
        <v>321</v>
      </c>
      <c r="G669" s="1" t="s">
        <v>224</v>
      </c>
      <c r="H669" s="1" t="s">
        <v>149</v>
      </c>
      <c r="I669" s="1">
        <v>108000</v>
      </c>
      <c r="J669" s="45">
        <v>107667</v>
      </c>
      <c r="K669" s="1" t="str">
        <f>TRIM(Cleaned_CRM_Data!H669)</f>
        <v>Rejected</v>
      </c>
      <c r="L669" t="str">
        <f>IFERROR(VLOOKUP(K669, Status_Mapping!A:B, 2,), "Not Found")</f>
        <v>Rejected</v>
      </c>
      <c r="N669" s="29" t="str">
        <f>IF(M669="","",M669-B669)</f>
        <v/>
      </c>
      <c r="O669" s="1" t="str">
        <f t="shared" si="55"/>
        <v>Starter</v>
      </c>
      <c r="P669" t="str">
        <f>TEXT(B669, "mmmm")</f>
        <v>August</v>
      </c>
      <c r="Q669" t="str">
        <f t="shared" si="56"/>
        <v>Q3</v>
      </c>
      <c r="R669" t="str">
        <f>IFERROR(VLOOKUP(TRIM(CLEAN(G669)),Sheet14!$A$2:$B$19,2,FALSE),"Not Mapped")</f>
        <v>West</v>
      </c>
    </row>
    <row r="670" spans="1:18">
      <c r="A670" t="str">
        <f t="shared" si="54"/>
        <v>EOS0669</v>
      </c>
      <c r="B670" s="35">
        <v>45900</v>
      </c>
      <c r="C670" s="1" t="s">
        <v>267</v>
      </c>
      <c r="D670" s="1" t="str">
        <f t="shared" si="58"/>
        <v>FB</v>
      </c>
      <c r="E670" s="1" t="s">
        <v>1181</v>
      </c>
      <c r="F670" s="1"/>
      <c r="G670" s="1" t="s">
        <v>224</v>
      </c>
      <c r="H670" s="1" t="s">
        <v>149</v>
      </c>
      <c r="I670" s="1">
        <v>177000</v>
      </c>
      <c r="J670" s="45">
        <v>107668</v>
      </c>
      <c r="K670" s="1" t="str">
        <f>TRIM(Cleaned_CRM_Data!H670)</f>
        <v>Rejected</v>
      </c>
      <c r="L670" t="str">
        <f>IFERROR(VLOOKUP(K670, Status_Mapping!A:B, 2,), "Not Found")</f>
        <v>Rejected</v>
      </c>
      <c r="N670" s="29" t="str">
        <f>IF(M670="","",M670-B670)</f>
        <v/>
      </c>
      <c r="O670" s="1" t="str">
        <f t="shared" si="55"/>
        <v>Growth</v>
      </c>
      <c r="P670" t="str">
        <f>TEXT(B670, "mmmm")</f>
        <v>August</v>
      </c>
      <c r="Q670" t="str">
        <f t="shared" si="56"/>
        <v>Q3</v>
      </c>
      <c r="R670" t="str">
        <f>IFERROR(VLOOKUP(TRIM(CLEAN(G670)),Sheet14!$A$2:$B$19,2,FALSE),"Not Mapped")</f>
        <v>West</v>
      </c>
    </row>
    <row r="671" spans="1:18">
      <c r="A671" t="str">
        <f t="shared" si="54"/>
        <v>EOS0670</v>
      </c>
      <c r="B671" s="35">
        <v>45900</v>
      </c>
      <c r="C671" s="1" t="s">
        <v>267</v>
      </c>
      <c r="D671" s="1" t="str">
        <f t="shared" si="58"/>
        <v>FB</v>
      </c>
      <c r="E671" s="1" t="s">
        <v>1182</v>
      </c>
      <c r="F671" s="1" t="s">
        <v>296</v>
      </c>
      <c r="G671" s="1" t="s">
        <v>224</v>
      </c>
      <c r="H671" s="1" t="s">
        <v>149</v>
      </c>
      <c r="I671" s="1">
        <v>108000</v>
      </c>
      <c r="J671" s="45">
        <v>107669</v>
      </c>
      <c r="K671" s="1" t="str">
        <f>TRIM(Cleaned_CRM_Data!H671)</f>
        <v>Rejected</v>
      </c>
      <c r="L671" t="str">
        <f>IFERROR(VLOOKUP(K671, Status_Mapping!A:B, 2,), "Not Found")</f>
        <v>Rejected</v>
      </c>
      <c r="N671" s="29" t="str">
        <f>IF(M671="","",M671-B671)</f>
        <v/>
      </c>
      <c r="O671" s="1" t="str">
        <f t="shared" si="55"/>
        <v>Starter</v>
      </c>
      <c r="P671" t="str">
        <f>TEXT(B671, "mmmm")</f>
        <v>August</v>
      </c>
      <c r="Q671" t="str">
        <f t="shared" si="56"/>
        <v>Q3</v>
      </c>
      <c r="R671" t="str">
        <f>IFERROR(VLOOKUP(TRIM(CLEAN(G671)),Sheet14!$A$2:$B$19,2,FALSE),"Not Mapped")</f>
        <v>West</v>
      </c>
    </row>
    <row r="672" spans="1:18">
      <c r="A672" t="str">
        <f t="shared" si="54"/>
        <v>EOS0671</v>
      </c>
      <c r="B672" s="35">
        <v>45900</v>
      </c>
      <c r="C672" s="1" t="s">
        <v>267</v>
      </c>
      <c r="D672" s="1" t="str">
        <f t="shared" si="58"/>
        <v>FB</v>
      </c>
      <c r="E672" s="1" t="s">
        <v>1183</v>
      </c>
      <c r="F672" s="1" t="s">
        <v>275</v>
      </c>
      <c r="G672" s="1" t="s">
        <v>224</v>
      </c>
      <c r="H672" s="1" t="s">
        <v>149</v>
      </c>
      <c r="I672" s="1">
        <v>108000</v>
      </c>
      <c r="J672" s="45">
        <v>107670</v>
      </c>
      <c r="K672" s="1" t="str">
        <f>TRIM(Cleaned_CRM_Data!H672)</f>
        <v>Rejected</v>
      </c>
      <c r="L672" t="str">
        <f>IFERROR(VLOOKUP(K672, Status_Mapping!A:B, 2,), "Not Found")</f>
        <v>Rejected</v>
      </c>
      <c r="N672" s="29" t="str">
        <f>IF(M672="","",M672-B672)</f>
        <v/>
      </c>
      <c r="O672" s="1" t="str">
        <f t="shared" si="55"/>
        <v>Starter</v>
      </c>
      <c r="P672" t="str">
        <f>TEXT(B672, "mmmm")</f>
        <v>August</v>
      </c>
      <c r="Q672" t="str">
        <f t="shared" si="56"/>
        <v>Q3</v>
      </c>
      <c r="R672" t="str">
        <f>IFERROR(VLOOKUP(TRIM(CLEAN(G672)),Sheet14!$A$2:$B$19,2,FALSE),"Not Mapped")</f>
        <v>West</v>
      </c>
    </row>
    <row r="673" spans="1:18">
      <c r="A673" t="str">
        <f t="shared" si="54"/>
        <v>EOS0672</v>
      </c>
      <c r="B673" s="35">
        <v>45900</v>
      </c>
      <c r="C673" s="1" t="s">
        <v>267</v>
      </c>
      <c r="D673" s="1" t="str">
        <f t="shared" si="58"/>
        <v>FB</v>
      </c>
      <c r="E673" s="1" t="s">
        <v>1184</v>
      </c>
      <c r="F673" s="1" t="s">
        <v>350</v>
      </c>
      <c r="G673" s="1" t="s">
        <v>224</v>
      </c>
      <c r="H673" s="1" t="s">
        <v>149</v>
      </c>
      <c r="I673" s="1">
        <v>108000</v>
      </c>
      <c r="J673" s="45">
        <v>107671</v>
      </c>
      <c r="K673" s="1" t="str">
        <f>TRIM(Cleaned_CRM_Data!H673)</f>
        <v>Rejected</v>
      </c>
      <c r="L673" t="str">
        <f>IFERROR(VLOOKUP(K673, Status_Mapping!A:B, 2,), "Not Found")</f>
        <v>Rejected</v>
      </c>
      <c r="N673" s="29" t="str">
        <f>IF(M673="","",M673-B673)</f>
        <v/>
      </c>
      <c r="O673" s="1" t="str">
        <f t="shared" si="55"/>
        <v>Starter</v>
      </c>
      <c r="P673" t="str">
        <f>TEXT(B673, "mmmm")</f>
        <v>August</v>
      </c>
      <c r="Q673" t="str">
        <f t="shared" si="56"/>
        <v>Q3</v>
      </c>
      <c r="R673" t="str">
        <f>IFERROR(VLOOKUP(TRIM(CLEAN(G673)),Sheet14!$A$2:$B$19,2,FALSE),"Not Mapped")</f>
        <v>West</v>
      </c>
    </row>
    <row r="674" spans="1:18">
      <c r="A674" t="str">
        <f t="shared" si="54"/>
        <v>EOS0673</v>
      </c>
      <c r="B674" s="35">
        <v>45900</v>
      </c>
      <c r="C674" s="1" t="s">
        <v>267</v>
      </c>
      <c r="D674" s="1" t="str">
        <f t="shared" si="58"/>
        <v>FB</v>
      </c>
      <c r="E674" s="1" t="s">
        <v>1185</v>
      </c>
      <c r="F674" s="1" t="s">
        <v>1186</v>
      </c>
      <c r="G674" s="1" t="s">
        <v>237</v>
      </c>
      <c r="H674" s="1" t="s">
        <v>149</v>
      </c>
      <c r="I674" s="1">
        <v>130000</v>
      </c>
      <c r="J674" s="45">
        <v>107672</v>
      </c>
      <c r="K674" s="1" t="str">
        <f>TRIM(Cleaned_CRM_Data!H674)</f>
        <v>Rejected</v>
      </c>
      <c r="L674" t="str">
        <f>IFERROR(VLOOKUP(K674, Status_Mapping!A:B, 2,), "Not Found")</f>
        <v>Rejected</v>
      </c>
      <c r="N674" s="29" t="str">
        <f>IF(M674="","",M674-B674)</f>
        <v/>
      </c>
      <c r="O674" s="1" t="str">
        <f t="shared" si="55"/>
        <v>Starter</v>
      </c>
      <c r="P674" t="str">
        <f>TEXT(B674, "mmmm")</f>
        <v>August</v>
      </c>
      <c r="Q674" t="str">
        <f t="shared" si="56"/>
        <v>Q3</v>
      </c>
      <c r="R674" t="str">
        <f>IFERROR(VLOOKUP(TRIM(CLEAN(G674)),Sheet14!$A$2:$B$19,2,FALSE),"Not Mapped")</f>
        <v>North</v>
      </c>
    </row>
    <row r="675" spans="1:18">
      <c r="A675" t="str">
        <f t="shared" si="54"/>
        <v>EOS0674</v>
      </c>
      <c r="B675" s="35">
        <v>45901</v>
      </c>
      <c r="C675" s="1" t="s">
        <v>267</v>
      </c>
      <c r="D675" s="1" t="str">
        <f t="shared" si="58"/>
        <v>FB</v>
      </c>
      <c r="E675" s="1" t="s">
        <v>1187</v>
      </c>
      <c r="F675" s="1" t="s">
        <v>275</v>
      </c>
      <c r="G675" s="1" t="s">
        <v>223</v>
      </c>
      <c r="H675" s="1" t="s">
        <v>149</v>
      </c>
      <c r="I675" s="1">
        <v>108000</v>
      </c>
      <c r="J675" s="45">
        <v>107673</v>
      </c>
      <c r="K675" s="1" t="str">
        <f>TRIM(Cleaned_CRM_Data!H675)</f>
        <v>Rejected</v>
      </c>
      <c r="L675" t="str">
        <f>IFERROR(VLOOKUP(K675, Status_Mapping!A:B, 2,), "Not Found")</f>
        <v>Rejected</v>
      </c>
      <c r="N675" s="29" t="str">
        <f>IF(M675="","",M675-B675)</f>
        <v/>
      </c>
      <c r="O675" s="1" t="str">
        <f t="shared" si="55"/>
        <v>Starter</v>
      </c>
      <c r="P675" t="str">
        <f>TEXT(B675, "mmmm")</f>
        <v>September</v>
      </c>
      <c r="Q675" t="str">
        <f t="shared" si="56"/>
        <v>Q3</v>
      </c>
      <c r="R675" t="str">
        <f>IFERROR(VLOOKUP(TRIM(CLEAN(G675)),Sheet14!$A$2:$B$19,2,FALSE),"Not Mapped")</f>
        <v>West</v>
      </c>
    </row>
    <row r="676" spans="1:18">
      <c r="A676" t="str">
        <f t="shared" si="54"/>
        <v>EOS0675</v>
      </c>
      <c r="B676" s="35">
        <v>45901</v>
      </c>
      <c r="C676" s="1" t="s">
        <v>267</v>
      </c>
      <c r="D676" s="1" t="str">
        <f t="shared" si="58"/>
        <v>FB</v>
      </c>
      <c r="E676" s="1" t="s">
        <v>1188</v>
      </c>
      <c r="F676" s="1"/>
      <c r="G676" s="1" t="s">
        <v>224</v>
      </c>
      <c r="H676" s="1" t="s">
        <v>149</v>
      </c>
      <c r="I676" s="1">
        <v>130000</v>
      </c>
      <c r="J676" s="45">
        <v>107674</v>
      </c>
      <c r="K676" s="1" t="str">
        <f>TRIM(Cleaned_CRM_Data!H676)</f>
        <v>Rejected</v>
      </c>
      <c r="L676" t="str">
        <f>IFERROR(VLOOKUP(K676, Status_Mapping!A:B, 2,), "Not Found")</f>
        <v>Rejected</v>
      </c>
      <c r="N676" s="29" t="str">
        <f>IF(M676="","",M676-B676)</f>
        <v/>
      </c>
      <c r="O676" s="1" t="str">
        <f t="shared" si="55"/>
        <v>Starter</v>
      </c>
      <c r="P676" t="str">
        <f>TEXT(B676, "mmmm")</f>
        <v>September</v>
      </c>
      <c r="Q676" t="str">
        <f t="shared" si="56"/>
        <v>Q3</v>
      </c>
      <c r="R676" t="str">
        <f>IFERROR(VLOOKUP(TRIM(CLEAN(G676)),Sheet14!$A$2:$B$19,2,FALSE),"Not Mapped")</f>
        <v>West</v>
      </c>
    </row>
    <row r="677" spans="1:18">
      <c r="A677" t="str">
        <f t="shared" si="54"/>
        <v>EOS0676</v>
      </c>
      <c r="B677" s="35">
        <v>45901</v>
      </c>
      <c r="C677" s="1" t="s">
        <v>911</v>
      </c>
      <c r="D677" s="1"/>
      <c r="E677" s="1">
        <v>0</v>
      </c>
      <c r="F677" s="1"/>
      <c r="G677" s="1" t="s">
        <v>239</v>
      </c>
      <c r="H677" s="1" t="s">
        <v>149</v>
      </c>
      <c r="I677" s="1">
        <v>108000</v>
      </c>
      <c r="J677" s="45">
        <v>107675</v>
      </c>
      <c r="K677" s="1" t="str">
        <f>TRIM(Cleaned_CRM_Data!H677)</f>
        <v>Rejected</v>
      </c>
      <c r="L677" t="str">
        <f>IFERROR(VLOOKUP(K677, Status_Mapping!A:B, 2,), "Not Found")</f>
        <v>Rejected</v>
      </c>
      <c r="N677" s="29" t="str">
        <f>IF(M677="","",M677-B677)</f>
        <v/>
      </c>
      <c r="O677" s="1" t="str">
        <f t="shared" si="55"/>
        <v>Starter</v>
      </c>
      <c r="P677" t="str">
        <f>TEXT(B677, "mmmm")</f>
        <v>September</v>
      </c>
      <c r="Q677" t="str">
        <f t="shared" si="56"/>
        <v>Q3</v>
      </c>
      <c r="R677" t="str">
        <f>IFERROR(VLOOKUP(TRIM(CLEAN(G677)),Sheet14!$A$2:$B$19,2,FALSE),"Not Mapped")</f>
        <v>East</v>
      </c>
    </row>
    <row r="678" spans="1:18">
      <c r="A678" t="str">
        <f t="shared" si="54"/>
        <v>EOS0677</v>
      </c>
      <c r="B678" s="35">
        <v>45901</v>
      </c>
      <c r="C678" s="1" t="s">
        <v>911</v>
      </c>
      <c r="D678" s="1"/>
      <c r="E678" s="1" t="s">
        <v>1189</v>
      </c>
      <c r="F678" s="1" t="s">
        <v>1190</v>
      </c>
      <c r="G678" s="1" t="s">
        <v>236</v>
      </c>
      <c r="H678" s="1" t="s">
        <v>149</v>
      </c>
      <c r="I678" s="1">
        <v>130000</v>
      </c>
      <c r="J678" s="45">
        <v>107676</v>
      </c>
      <c r="K678" s="1" t="str">
        <f>TRIM(Cleaned_CRM_Data!H678)</f>
        <v>Rejected</v>
      </c>
      <c r="L678" t="str">
        <f>IFERROR(VLOOKUP(K678, Status_Mapping!A:B, 2,), "Not Found")</f>
        <v>Rejected</v>
      </c>
      <c r="N678" s="29" t="str">
        <f>IF(M678="","",M678-B678)</f>
        <v/>
      </c>
      <c r="O678" s="1" t="str">
        <f t="shared" si="55"/>
        <v>Starter</v>
      </c>
      <c r="P678" t="str">
        <f>TEXT(B678, "mmmm")</f>
        <v>September</v>
      </c>
      <c r="Q678" t="str">
        <f t="shared" si="56"/>
        <v>Q3</v>
      </c>
      <c r="R678" t="str">
        <f>IFERROR(VLOOKUP(TRIM(CLEAN(G678)),Sheet14!$A$2:$B$19,2,FALSE),"Not Mapped")</f>
        <v>North</v>
      </c>
    </row>
    <row r="679" spans="1:18">
      <c r="A679" t="str">
        <f t="shared" si="54"/>
        <v>EOS0678</v>
      </c>
      <c r="B679" s="35">
        <v>45901</v>
      </c>
      <c r="C679" s="1" t="s">
        <v>911</v>
      </c>
      <c r="D679" s="1"/>
      <c r="E679" s="1" t="s">
        <v>1191</v>
      </c>
      <c r="F679" s="1"/>
      <c r="G679" s="1"/>
      <c r="H679" s="1" t="s">
        <v>149</v>
      </c>
      <c r="I679" s="1">
        <v>130000</v>
      </c>
      <c r="J679" s="45">
        <v>107677</v>
      </c>
      <c r="K679" s="1" t="str">
        <f>TRIM(Cleaned_CRM_Data!H679)</f>
        <v>Rejected</v>
      </c>
      <c r="L679" t="str">
        <f>IFERROR(VLOOKUP(K679, Status_Mapping!A:B, 2,), "Not Found")</f>
        <v>Rejected</v>
      </c>
      <c r="N679" s="29" t="str">
        <f>IF(M679="","",M679-B679)</f>
        <v/>
      </c>
      <c r="O679" s="1" t="str">
        <f t="shared" si="55"/>
        <v>Starter</v>
      </c>
      <c r="P679" t="str">
        <f>TEXT(B679, "mmmm")</f>
        <v>September</v>
      </c>
      <c r="Q679" t="str">
        <f t="shared" si="56"/>
        <v>Q3</v>
      </c>
      <c r="R679" t="str">
        <f>IFERROR(VLOOKUP(TRIM(CLEAN(G679)),Sheet14!$A$2:$B$19,2,FALSE),"Not Mapped")</f>
        <v>Not Mapped</v>
      </c>
    </row>
    <row r="680" spans="1:18">
      <c r="A680" t="str">
        <f t="shared" si="54"/>
        <v>EOS0679</v>
      </c>
      <c r="B680" s="35">
        <v>45901</v>
      </c>
      <c r="C680" s="1" t="s">
        <v>911</v>
      </c>
      <c r="D680" s="1"/>
      <c r="E680" s="1" t="s">
        <v>1192</v>
      </c>
      <c r="F680" s="1"/>
      <c r="G680" s="1" t="s">
        <v>223</v>
      </c>
      <c r="H680" s="1" t="s">
        <v>149</v>
      </c>
      <c r="I680" s="1">
        <v>130000</v>
      </c>
      <c r="J680" s="45">
        <v>107678</v>
      </c>
      <c r="K680" s="1" t="str">
        <f>TRIM(Cleaned_CRM_Data!H680)</f>
        <v>Rejected</v>
      </c>
      <c r="L680" t="str">
        <f>IFERROR(VLOOKUP(K680, Status_Mapping!A:B, 2,), "Not Found")</f>
        <v>Rejected</v>
      </c>
      <c r="N680" s="29" t="str">
        <f>IF(M680="","",M680-B680)</f>
        <v/>
      </c>
      <c r="O680" s="1" t="str">
        <f t="shared" si="55"/>
        <v>Starter</v>
      </c>
      <c r="P680" t="str">
        <f>TEXT(B680, "mmmm")</f>
        <v>September</v>
      </c>
      <c r="Q680" t="str">
        <f t="shared" si="56"/>
        <v>Q3</v>
      </c>
      <c r="R680" t="str">
        <f>IFERROR(VLOOKUP(TRIM(CLEAN(G680)),Sheet14!$A$2:$B$19,2,FALSE),"Not Mapped")</f>
        <v>West</v>
      </c>
    </row>
    <row r="681" spans="1:18">
      <c r="A681" t="str">
        <f t="shared" si="54"/>
        <v>EOS0680</v>
      </c>
      <c r="B681" s="35">
        <v>45901</v>
      </c>
      <c r="C681" s="1" t="s">
        <v>911</v>
      </c>
      <c r="D681" s="1"/>
      <c r="E681" s="1" t="s">
        <v>1193</v>
      </c>
      <c r="F681" s="1"/>
      <c r="G681" s="1" t="s">
        <v>224</v>
      </c>
      <c r="H681" s="1" t="s">
        <v>149</v>
      </c>
      <c r="I681" s="1">
        <v>108000</v>
      </c>
      <c r="J681" s="45">
        <v>107679</v>
      </c>
      <c r="K681" s="1" t="str">
        <f>TRIM(Cleaned_CRM_Data!H681)</f>
        <v>Rejected</v>
      </c>
      <c r="L681" t="str">
        <f>IFERROR(VLOOKUP(K681, Status_Mapping!A:B, 2,), "Not Found")</f>
        <v>Rejected</v>
      </c>
      <c r="N681" s="29" t="str">
        <f>IF(M681="","",M681-B681)</f>
        <v/>
      </c>
      <c r="O681" s="1" t="str">
        <f t="shared" si="55"/>
        <v>Starter</v>
      </c>
      <c r="P681" t="str">
        <f>TEXT(B681, "mmmm")</f>
        <v>September</v>
      </c>
      <c r="Q681" t="str">
        <f t="shared" si="56"/>
        <v>Q3</v>
      </c>
      <c r="R681" t="str">
        <f>IFERROR(VLOOKUP(TRIM(CLEAN(G681)),Sheet14!$A$2:$B$19,2,FALSE),"Not Mapped")</f>
        <v>West</v>
      </c>
    </row>
    <row r="682" spans="1:18">
      <c r="A682" t="str">
        <f t="shared" si="54"/>
        <v>EOS0681</v>
      </c>
      <c r="B682" s="35">
        <v>45902</v>
      </c>
      <c r="C682" s="1" t="s">
        <v>267</v>
      </c>
      <c r="D682" s="1" t="str">
        <f>TRIM(CLEAN(SUBSTITUTE(C682,CHAR(160),"")))</f>
        <v>FB</v>
      </c>
      <c r="E682" s="1" t="s">
        <v>1194</v>
      </c>
      <c r="F682" s="1" t="s">
        <v>275</v>
      </c>
      <c r="G682" s="1" t="s">
        <v>1195</v>
      </c>
      <c r="H682" s="1" t="s">
        <v>149</v>
      </c>
      <c r="I682" s="1">
        <v>177000</v>
      </c>
      <c r="J682" s="45">
        <v>107680</v>
      </c>
      <c r="K682" s="1" t="str">
        <f>TRIM(Cleaned_CRM_Data!H682)</f>
        <v>Rejected</v>
      </c>
      <c r="L682" t="str">
        <f>IFERROR(VLOOKUP(K682, Status_Mapping!A:B, 2,), "Not Found")</f>
        <v>Rejected</v>
      </c>
      <c r="N682" s="29" t="str">
        <f>IF(M682="","",M682-B682)</f>
        <v/>
      </c>
      <c r="O682" s="1" t="str">
        <f t="shared" si="55"/>
        <v>Growth</v>
      </c>
      <c r="P682" t="str">
        <f>TEXT(B682, "mmmm")</f>
        <v>September</v>
      </c>
      <c r="Q682" t="str">
        <f t="shared" si="56"/>
        <v>Q3</v>
      </c>
      <c r="R682" t="str">
        <f>IFERROR(VLOOKUP(TRIM(CLEAN(G682)),Sheet14!$A$2:$B$19,2,FALSE),"Not Mapped")</f>
        <v>West</v>
      </c>
    </row>
    <row r="683" spans="1:18">
      <c r="A683" t="str">
        <f t="shared" si="54"/>
        <v>EOS0682</v>
      </c>
      <c r="B683" s="35">
        <v>45902</v>
      </c>
      <c r="C683" s="1" t="s">
        <v>911</v>
      </c>
      <c r="D683" s="1"/>
      <c r="E683" s="1" t="s">
        <v>1196</v>
      </c>
      <c r="F683" s="1"/>
      <c r="G683" s="1" t="s">
        <v>228</v>
      </c>
      <c r="H683" s="1" t="s">
        <v>149</v>
      </c>
      <c r="I683" s="1">
        <v>177000</v>
      </c>
      <c r="J683" s="45">
        <v>107681</v>
      </c>
      <c r="K683" s="1" t="str">
        <f>TRIM(Cleaned_CRM_Data!H683)</f>
        <v>Rejected</v>
      </c>
      <c r="L683" t="str">
        <f>IFERROR(VLOOKUP(K683, Status_Mapping!A:B, 2,), "Not Found")</f>
        <v>Rejected</v>
      </c>
      <c r="N683" s="29" t="str">
        <f>IF(M683="","",M683-B683)</f>
        <v/>
      </c>
      <c r="O683" s="1" t="str">
        <f t="shared" si="55"/>
        <v>Growth</v>
      </c>
      <c r="P683" t="str">
        <f>TEXT(B683, "mmmm")</f>
        <v>September</v>
      </c>
      <c r="Q683" t="str">
        <f t="shared" si="56"/>
        <v>Q3</v>
      </c>
      <c r="R683" t="str">
        <f>IFERROR(VLOOKUP(TRIM(CLEAN(G683)),Sheet14!$A$2:$B$19,2,FALSE),"Not Mapped")</f>
        <v>Central</v>
      </c>
    </row>
    <row r="684" spans="1:18">
      <c r="A684" t="str">
        <f t="shared" si="54"/>
        <v>EOS0683</v>
      </c>
      <c r="B684" s="35">
        <v>45902</v>
      </c>
      <c r="C684" s="1" t="s">
        <v>911</v>
      </c>
      <c r="D684" s="1"/>
      <c r="E684" s="1" t="s">
        <v>1197</v>
      </c>
      <c r="F684" s="1" t="s">
        <v>1198</v>
      </c>
      <c r="G684" s="1" t="s">
        <v>236</v>
      </c>
      <c r="H684" s="1" t="s">
        <v>149</v>
      </c>
      <c r="I684" s="1">
        <v>108000</v>
      </c>
      <c r="J684" s="45">
        <v>107682</v>
      </c>
      <c r="K684" s="1" t="str">
        <f>TRIM(Cleaned_CRM_Data!H684)</f>
        <v>Rejected</v>
      </c>
      <c r="L684" t="str">
        <f>IFERROR(VLOOKUP(K684, Status_Mapping!A:B, 2,), "Not Found")</f>
        <v>Rejected</v>
      </c>
      <c r="N684" s="29" t="str">
        <f>IF(M684="","",M684-B684)</f>
        <v/>
      </c>
      <c r="O684" s="1" t="str">
        <f t="shared" si="55"/>
        <v>Starter</v>
      </c>
      <c r="P684" t="str">
        <f>TEXT(B684, "mmmm")</f>
        <v>September</v>
      </c>
      <c r="Q684" t="str">
        <f t="shared" si="56"/>
        <v>Q3</v>
      </c>
      <c r="R684" t="str">
        <f>IFERROR(VLOOKUP(TRIM(CLEAN(G684)),Sheet14!$A$2:$B$19,2,FALSE),"Not Mapped")</f>
        <v>North</v>
      </c>
    </row>
    <row r="685" spans="1:18">
      <c r="A685" t="str">
        <f t="shared" si="54"/>
        <v>EOS0684</v>
      </c>
      <c r="B685" s="35">
        <v>45902</v>
      </c>
      <c r="C685" s="1" t="s">
        <v>911</v>
      </c>
      <c r="D685" s="1"/>
      <c r="E685" s="1" t="s">
        <v>1199</v>
      </c>
      <c r="F685" s="1" t="s">
        <v>1200</v>
      </c>
      <c r="G685" s="1" t="s">
        <v>236</v>
      </c>
      <c r="H685" s="1" t="s">
        <v>149</v>
      </c>
      <c r="I685" s="1">
        <v>130000</v>
      </c>
      <c r="J685" s="45">
        <v>107683</v>
      </c>
      <c r="K685" s="1" t="str">
        <f>TRIM(Cleaned_CRM_Data!H685)</f>
        <v>Rejected</v>
      </c>
      <c r="L685" t="str">
        <f>IFERROR(VLOOKUP(K685, Status_Mapping!A:B, 2,), "Not Found")</f>
        <v>Rejected</v>
      </c>
      <c r="N685" s="29" t="str">
        <f>IF(M685="","",M685-B685)</f>
        <v/>
      </c>
      <c r="O685" s="1" t="str">
        <f t="shared" si="55"/>
        <v>Starter</v>
      </c>
      <c r="P685" t="str">
        <f>TEXT(B685, "mmmm")</f>
        <v>September</v>
      </c>
      <c r="Q685" t="str">
        <f t="shared" si="56"/>
        <v>Q3</v>
      </c>
      <c r="R685" t="str">
        <f>IFERROR(VLOOKUP(TRIM(CLEAN(G685)),Sheet14!$A$2:$B$19,2,FALSE),"Not Mapped")</f>
        <v>North</v>
      </c>
    </row>
    <row r="686" spans="1:18">
      <c r="A686" t="str">
        <f t="shared" si="54"/>
        <v>EOS0685</v>
      </c>
      <c r="B686" s="35">
        <v>45902</v>
      </c>
      <c r="C686" s="1" t="s">
        <v>911</v>
      </c>
      <c r="D686" s="1"/>
      <c r="E686" s="1" t="s">
        <v>1201</v>
      </c>
      <c r="F686" s="1"/>
      <c r="G686" s="1"/>
      <c r="H686" s="1" t="s">
        <v>149</v>
      </c>
      <c r="I686" s="1">
        <v>108000</v>
      </c>
      <c r="J686" s="45">
        <v>107684</v>
      </c>
      <c r="K686" s="1" t="str">
        <f>TRIM(Cleaned_CRM_Data!H686)</f>
        <v>Rejected</v>
      </c>
      <c r="L686" t="str">
        <f>IFERROR(VLOOKUP(K686, Status_Mapping!A:B, 2,), "Not Found")</f>
        <v>Rejected</v>
      </c>
      <c r="N686" s="29" t="str">
        <f>IF(M686="","",M686-B686)</f>
        <v/>
      </c>
      <c r="O686" s="1" t="str">
        <f t="shared" si="55"/>
        <v>Starter</v>
      </c>
      <c r="P686" t="str">
        <f>TEXT(B686, "mmmm")</f>
        <v>September</v>
      </c>
      <c r="Q686" t="str">
        <f t="shared" si="56"/>
        <v>Q3</v>
      </c>
      <c r="R686" t="str">
        <f>IFERROR(VLOOKUP(TRIM(CLEAN(G686)),Sheet14!$A$2:$B$19,2,FALSE),"Not Mapped")</f>
        <v>Not Mapped</v>
      </c>
    </row>
    <row r="687" spans="1:18">
      <c r="A687" t="str">
        <f t="shared" si="54"/>
        <v>EOS0686</v>
      </c>
      <c r="B687" s="35">
        <v>45902</v>
      </c>
      <c r="C687" s="1" t="s">
        <v>911</v>
      </c>
      <c r="D687" s="1"/>
      <c r="E687" s="1" t="s">
        <v>1202</v>
      </c>
      <c r="F687" s="1"/>
      <c r="G687" s="1"/>
      <c r="H687" s="1" t="s">
        <v>149</v>
      </c>
      <c r="I687" s="1">
        <v>108000</v>
      </c>
      <c r="J687" s="45">
        <v>107685</v>
      </c>
      <c r="K687" s="1" t="str">
        <f>TRIM(Cleaned_CRM_Data!H687)</f>
        <v>Rejected</v>
      </c>
      <c r="L687" t="str">
        <f>IFERROR(VLOOKUP(K687, Status_Mapping!A:B, 2,), "Not Found")</f>
        <v>Rejected</v>
      </c>
      <c r="N687" s="29" t="str">
        <f>IF(M687="","",M687-B687)</f>
        <v/>
      </c>
      <c r="O687" s="1" t="str">
        <f t="shared" si="55"/>
        <v>Starter</v>
      </c>
      <c r="P687" t="str">
        <f>TEXT(B687, "mmmm")</f>
        <v>September</v>
      </c>
      <c r="Q687" t="str">
        <f t="shared" si="56"/>
        <v>Q3</v>
      </c>
      <c r="R687" t="str">
        <f>IFERROR(VLOOKUP(TRIM(CLEAN(G687)),Sheet14!$A$2:$B$19,2,FALSE),"Not Mapped")</f>
        <v>Not Mapped</v>
      </c>
    </row>
    <row r="688" spans="1:18">
      <c r="A688" t="str">
        <f t="shared" si="54"/>
        <v>EOS0687</v>
      </c>
      <c r="B688" s="35">
        <v>45903</v>
      </c>
      <c r="C688" s="1" t="s">
        <v>911</v>
      </c>
      <c r="D688" s="1"/>
      <c r="E688" s="1" t="s">
        <v>1203</v>
      </c>
      <c r="F688" s="1" t="s">
        <v>1204</v>
      </c>
      <c r="G688" s="1" t="s">
        <v>228</v>
      </c>
      <c r="H688" s="1" t="s">
        <v>149</v>
      </c>
      <c r="I688" s="1">
        <v>108000</v>
      </c>
      <c r="J688" s="45">
        <v>107686</v>
      </c>
      <c r="K688" s="1" t="str">
        <f>TRIM(Cleaned_CRM_Data!H688)</f>
        <v>Rejected</v>
      </c>
      <c r="L688" t="str">
        <f>IFERROR(VLOOKUP(K688, Status_Mapping!A:B, 2,), "Not Found")</f>
        <v>Rejected</v>
      </c>
      <c r="N688" s="29" t="str">
        <f>IF(M688="","",M688-B688)</f>
        <v/>
      </c>
      <c r="O688" s="1" t="str">
        <f t="shared" si="55"/>
        <v>Starter</v>
      </c>
      <c r="P688" t="str">
        <f>TEXT(B688, "mmmm")</f>
        <v>September</v>
      </c>
      <c r="Q688" t="str">
        <f t="shared" si="56"/>
        <v>Q3</v>
      </c>
      <c r="R688" t="str">
        <f>IFERROR(VLOOKUP(TRIM(CLEAN(G688)),Sheet14!$A$2:$B$19,2,FALSE),"Not Mapped")</f>
        <v>Central</v>
      </c>
    </row>
    <row r="689" spans="1:18">
      <c r="A689" t="str">
        <f t="shared" si="54"/>
        <v>EOS0688</v>
      </c>
      <c r="B689" s="35">
        <v>45903</v>
      </c>
      <c r="C689" s="1" t="s">
        <v>911</v>
      </c>
      <c r="D689" s="1"/>
      <c r="E689" s="1" t="s">
        <v>1205</v>
      </c>
      <c r="F689" s="1"/>
      <c r="G689" s="1" t="s">
        <v>228</v>
      </c>
      <c r="H689" s="1" t="s">
        <v>149</v>
      </c>
      <c r="I689" s="1">
        <v>108000</v>
      </c>
      <c r="J689" s="45">
        <v>107687</v>
      </c>
      <c r="K689" s="1" t="str">
        <f>TRIM(Cleaned_CRM_Data!H689)</f>
        <v>Rejected</v>
      </c>
      <c r="L689" t="str">
        <f>IFERROR(VLOOKUP(K689, Status_Mapping!A:B, 2,), "Not Found")</f>
        <v>Rejected</v>
      </c>
      <c r="N689" s="29" t="str">
        <f>IF(M689="","",M689-B689)</f>
        <v/>
      </c>
      <c r="O689" s="1" t="str">
        <f t="shared" si="55"/>
        <v>Starter</v>
      </c>
      <c r="P689" t="str">
        <f>TEXT(B689, "mmmm")</f>
        <v>September</v>
      </c>
      <c r="Q689" t="str">
        <f t="shared" si="56"/>
        <v>Q3</v>
      </c>
      <c r="R689" t="str">
        <f>IFERROR(VLOOKUP(TRIM(CLEAN(G689)),Sheet14!$A$2:$B$19,2,FALSE),"Not Mapped")</f>
        <v>Central</v>
      </c>
    </row>
    <row r="690" spans="1:18">
      <c r="A690" t="str">
        <f t="shared" si="54"/>
        <v>EOS0689</v>
      </c>
      <c r="B690" s="35">
        <v>45903</v>
      </c>
      <c r="C690" s="1" t="s">
        <v>267</v>
      </c>
      <c r="D690" s="1" t="str">
        <f t="shared" ref="D690:D704" si="59">TRIM(CLEAN(SUBSTITUTE(C690,CHAR(160),"")))</f>
        <v>FB</v>
      </c>
      <c r="E690" s="1" t="s">
        <v>1206</v>
      </c>
      <c r="F690" s="1" t="s">
        <v>844</v>
      </c>
      <c r="G690" s="1" t="s">
        <v>224</v>
      </c>
      <c r="H690" s="1" t="s">
        <v>149</v>
      </c>
      <c r="I690" s="1">
        <v>108000</v>
      </c>
      <c r="J690" s="45">
        <v>107688</v>
      </c>
      <c r="K690" s="1" t="str">
        <f>TRIM(Cleaned_CRM_Data!H690)</f>
        <v>Rejected</v>
      </c>
      <c r="L690" t="str">
        <f>IFERROR(VLOOKUP(K690, Status_Mapping!A:B, 2,), "Not Found")</f>
        <v>Rejected</v>
      </c>
      <c r="N690" s="29" t="str">
        <f>IF(M690="","",M690-B690)</f>
        <v/>
      </c>
      <c r="O690" s="1" t="str">
        <f t="shared" si="55"/>
        <v>Starter</v>
      </c>
      <c r="P690" t="str">
        <f>TEXT(B690, "mmmm")</f>
        <v>September</v>
      </c>
      <c r="Q690" t="str">
        <f t="shared" si="56"/>
        <v>Q3</v>
      </c>
      <c r="R690" t="str">
        <f>IFERROR(VLOOKUP(TRIM(CLEAN(G690)),Sheet14!$A$2:$B$19,2,FALSE),"Not Mapped")</f>
        <v>West</v>
      </c>
    </row>
    <row r="691" spans="1:18">
      <c r="A691" t="str">
        <f t="shared" si="54"/>
        <v>EOS0690</v>
      </c>
      <c r="B691" s="35">
        <v>45903</v>
      </c>
      <c r="C691" s="1" t="s">
        <v>267</v>
      </c>
      <c r="D691" s="1" t="str">
        <f t="shared" si="59"/>
        <v>FB</v>
      </c>
      <c r="E691" s="1" t="s">
        <v>1207</v>
      </c>
      <c r="F691" s="1" t="s">
        <v>304</v>
      </c>
      <c r="G691" s="1" t="s">
        <v>224</v>
      </c>
      <c r="H691" s="1" t="s">
        <v>149</v>
      </c>
      <c r="I691" s="1">
        <v>108000</v>
      </c>
      <c r="J691" s="45">
        <v>107689</v>
      </c>
      <c r="K691" s="1" t="str">
        <f>TRIM(Cleaned_CRM_Data!H691)</f>
        <v>Rejected</v>
      </c>
      <c r="L691" t="str">
        <f>IFERROR(VLOOKUP(K691, Status_Mapping!A:B, 2,), "Not Found")</f>
        <v>Rejected</v>
      </c>
      <c r="N691" s="29" t="str">
        <f>IF(M691="","",M691-B691)</f>
        <v/>
      </c>
      <c r="O691" s="1" t="str">
        <f t="shared" si="55"/>
        <v>Starter</v>
      </c>
      <c r="P691" t="str">
        <f>TEXT(B691, "mmmm")</f>
        <v>September</v>
      </c>
      <c r="Q691" t="str">
        <f t="shared" si="56"/>
        <v>Q3</v>
      </c>
      <c r="R691" t="str">
        <f>IFERROR(VLOOKUP(TRIM(CLEAN(G691)),Sheet14!$A$2:$B$19,2,FALSE),"Not Mapped")</f>
        <v>West</v>
      </c>
    </row>
    <row r="692" spans="1:18">
      <c r="A692" t="str">
        <f t="shared" si="54"/>
        <v>EOS0691</v>
      </c>
      <c r="B692" s="35">
        <v>45903</v>
      </c>
      <c r="C692" s="1" t="s">
        <v>267</v>
      </c>
      <c r="D692" s="1" t="str">
        <f t="shared" si="59"/>
        <v>FB</v>
      </c>
      <c r="E692" s="1" t="s">
        <v>1208</v>
      </c>
      <c r="F692" s="1" t="s">
        <v>1209</v>
      </c>
      <c r="G692" s="1" t="s">
        <v>1210</v>
      </c>
      <c r="H692" s="1" t="s">
        <v>149</v>
      </c>
      <c r="I692" s="1">
        <v>108000</v>
      </c>
      <c r="J692" s="45">
        <v>107690</v>
      </c>
      <c r="K692" s="1" t="str">
        <f>TRIM(Cleaned_CRM_Data!H692)</f>
        <v>Rejected</v>
      </c>
      <c r="L692" t="str">
        <f>IFERROR(VLOOKUP(K692, Status_Mapping!A:B, 2,), "Not Found")</f>
        <v>Rejected</v>
      </c>
      <c r="N692" s="29" t="str">
        <f>IF(M692="","",M692-B692)</f>
        <v/>
      </c>
      <c r="O692" s="1" t="str">
        <f t="shared" si="55"/>
        <v>Starter</v>
      </c>
      <c r="P692" t="str">
        <f>TEXT(B692, "mmmm")</f>
        <v>September</v>
      </c>
      <c r="Q692" t="str">
        <f t="shared" si="56"/>
        <v>Q3</v>
      </c>
      <c r="R692" t="str">
        <f>IFERROR(VLOOKUP(TRIM(CLEAN(G692)),Sheet14!$A$2:$B$19,2,FALSE),"Not Mapped")</f>
        <v>North</v>
      </c>
    </row>
    <row r="693" spans="1:18">
      <c r="A693" t="str">
        <f t="shared" si="54"/>
        <v>EOS0692</v>
      </c>
      <c r="B693" s="35">
        <v>45904</v>
      </c>
      <c r="C693" s="1" t="s">
        <v>267</v>
      </c>
      <c r="D693" s="1" t="str">
        <f t="shared" si="59"/>
        <v>FB</v>
      </c>
      <c r="E693" s="1" t="s">
        <v>1211</v>
      </c>
      <c r="F693" s="1" t="s">
        <v>300</v>
      </c>
      <c r="G693" s="1" t="s">
        <v>1176</v>
      </c>
      <c r="H693" s="1" t="s">
        <v>149</v>
      </c>
      <c r="I693" s="1">
        <v>130000</v>
      </c>
      <c r="J693" s="45">
        <v>107691</v>
      </c>
      <c r="K693" s="1" t="str">
        <f>TRIM(Cleaned_CRM_Data!H693)</f>
        <v>Rejected</v>
      </c>
      <c r="L693" t="str">
        <f>IFERROR(VLOOKUP(K693, Status_Mapping!A:B, 2,), "Not Found")</f>
        <v>Rejected</v>
      </c>
      <c r="N693" s="29" t="str">
        <f>IF(M693="","",M693-B693)</f>
        <v/>
      </c>
      <c r="O693" s="1" t="str">
        <f t="shared" si="55"/>
        <v>Starter</v>
      </c>
      <c r="P693" t="str">
        <f>TEXT(B693, "mmmm")</f>
        <v>September</v>
      </c>
      <c r="Q693" t="str">
        <f t="shared" si="56"/>
        <v>Q3</v>
      </c>
      <c r="R693" t="str">
        <f>IFERROR(VLOOKUP(TRIM(CLEAN(G693)),Sheet14!$A$2:$B$19,2,FALSE),"Not Mapped")</f>
        <v>West</v>
      </c>
    </row>
    <row r="694" spans="1:18">
      <c r="A694" t="str">
        <f t="shared" si="54"/>
        <v>EOS0693</v>
      </c>
      <c r="B694" s="35">
        <v>45904</v>
      </c>
      <c r="C694" s="1" t="s">
        <v>267</v>
      </c>
      <c r="D694" s="1" t="str">
        <f t="shared" si="59"/>
        <v>FB</v>
      </c>
      <c r="E694" s="1" t="s">
        <v>1212</v>
      </c>
      <c r="F694" s="1" t="s">
        <v>412</v>
      </c>
      <c r="G694" s="1" t="s">
        <v>223</v>
      </c>
      <c r="H694" s="1" t="s">
        <v>149</v>
      </c>
      <c r="I694" s="1">
        <v>130000</v>
      </c>
      <c r="J694" s="45">
        <v>107692</v>
      </c>
      <c r="K694" s="1" t="str">
        <f>TRIM(Cleaned_CRM_Data!H694)</f>
        <v>Rejected</v>
      </c>
      <c r="L694" t="str">
        <f>IFERROR(VLOOKUP(K694, Status_Mapping!A:B, 2,), "Not Found")</f>
        <v>Rejected</v>
      </c>
      <c r="N694" s="29" t="str">
        <f>IF(M694="","",M694-B694)</f>
        <v/>
      </c>
      <c r="O694" s="1" t="str">
        <f t="shared" si="55"/>
        <v>Starter</v>
      </c>
      <c r="P694" t="str">
        <f>TEXT(B694, "mmmm")</f>
        <v>September</v>
      </c>
      <c r="Q694" t="str">
        <f t="shared" si="56"/>
        <v>Q3</v>
      </c>
      <c r="R694" t="str">
        <f>IFERROR(VLOOKUP(TRIM(CLEAN(G694)),Sheet14!$A$2:$B$19,2,FALSE),"Not Mapped")</f>
        <v>West</v>
      </c>
    </row>
    <row r="695" spans="1:18">
      <c r="A695" t="str">
        <f t="shared" si="54"/>
        <v>EOS0694</v>
      </c>
      <c r="B695" s="35">
        <v>45905</v>
      </c>
      <c r="C695" s="1" t="s">
        <v>267</v>
      </c>
      <c r="D695" s="1" t="str">
        <f t="shared" si="59"/>
        <v>FB</v>
      </c>
      <c r="E695" s="1" t="s">
        <v>1213</v>
      </c>
      <c r="F695" s="1"/>
      <c r="G695" s="1" t="s">
        <v>223</v>
      </c>
      <c r="H695" s="1" t="s">
        <v>149</v>
      </c>
      <c r="I695" s="1">
        <v>108000</v>
      </c>
      <c r="J695" s="45">
        <v>107693</v>
      </c>
      <c r="K695" s="1" t="str">
        <f>TRIM(Cleaned_CRM_Data!H695)</f>
        <v>Rejected</v>
      </c>
      <c r="L695" t="str">
        <f>IFERROR(VLOOKUP(K695, Status_Mapping!A:B, 2,), "Not Found")</f>
        <v>Rejected</v>
      </c>
      <c r="N695" s="29" t="str">
        <f>IF(M695="","",M695-B695)</f>
        <v/>
      </c>
      <c r="O695" s="1" t="str">
        <f t="shared" si="55"/>
        <v>Starter</v>
      </c>
      <c r="P695" t="str">
        <f>TEXT(B695, "mmmm")</f>
        <v>September</v>
      </c>
      <c r="Q695" t="str">
        <f t="shared" si="56"/>
        <v>Q3</v>
      </c>
      <c r="R695" t="str">
        <f>IFERROR(VLOOKUP(TRIM(CLEAN(G695)),Sheet14!$A$2:$B$19,2,FALSE),"Not Mapped")</f>
        <v>West</v>
      </c>
    </row>
    <row r="696" spans="1:18">
      <c r="A696" t="str">
        <f t="shared" si="54"/>
        <v>EOS0695</v>
      </c>
      <c r="B696" s="35">
        <v>45905</v>
      </c>
      <c r="C696" s="1" t="s">
        <v>267</v>
      </c>
      <c r="D696" s="1" t="str">
        <f t="shared" si="59"/>
        <v>FB</v>
      </c>
      <c r="E696" s="1" t="s">
        <v>1214</v>
      </c>
      <c r="F696" s="1"/>
      <c r="G696" s="1" t="s">
        <v>223</v>
      </c>
      <c r="H696" s="1" t="s">
        <v>149</v>
      </c>
      <c r="I696" s="1">
        <v>130000</v>
      </c>
      <c r="J696" s="45">
        <v>107694</v>
      </c>
      <c r="K696" s="1" t="str">
        <f>TRIM(Cleaned_CRM_Data!H696)</f>
        <v>Rejected</v>
      </c>
      <c r="L696" t="str">
        <f>IFERROR(VLOOKUP(K696, Status_Mapping!A:B, 2,), "Not Found")</f>
        <v>Rejected</v>
      </c>
      <c r="N696" s="29" t="str">
        <f>IF(M696="","",M696-B696)</f>
        <v/>
      </c>
      <c r="O696" s="1" t="str">
        <f t="shared" si="55"/>
        <v>Starter</v>
      </c>
      <c r="P696" t="str">
        <f>TEXT(B696, "mmmm")</f>
        <v>September</v>
      </c>
      <c r="Q696" t="str">
        <f t="shared" si="56"/>
        <v>Q3</v>
      </c>
      <c r="R696" t="str">
        <f>IFERROR(VLOOKUP(TRIM(CLEAN(G696)),Sheet14!$A$2:$B$19,2,FALSE),"Not Mapped")</f>
        <v>West</v>
      </c>
    </row>
    <row r="697" spans="1:18">
      <c r="A697" t="str">
        <f t="shared" si="54"/>
        <v>EOS0696</v>
      </c>
      <c r="B697" s="35">
        <v>45905</v>
      </c>
      <c r="C697" s="1" t="s">
        <v>267</v>
      </c>
      <c r="D697" s="1" t="str">
        <f t="shared" si="59"/>
        <v>FB</v>
      </c>
      <c r="E697" s="1" t="s">
        <v>1215</v>
      </c>
      <c r="F697" s="1"/>
      <c r="G697" s="1" t="s">
        <v>223</v>
      </c>
      <c r="H697" s="1" t="s">
        <v>149</v>
      </c>
      <c r="I697" s="1">
        <v>130000</v>
      </c>
      <c r="J697" s="45">
        <v>107695</v>
      </c>
      <c r="K697" s="1" t="str">
        <f>TRIM(Cleaned_CRM_Data!H697)</f>
        <v>Rejected</v>
      </c>
      <c r="L697" t="str">
        <f>IFERROR(VLOOKUP(K697, Status_Mapping!A:B, 2,), "Not Found")</f>
        <v>Rejected</v>
      </c>
      <c r="N697" s="29" t="str">
        <f>IF(M697="","",M697-B697)</f>
        <v/>
      </c>
      <c r="O697" s="1" t="str">
        <f t="shared" si="55"/>
        <v>Starter</v>
      </c>
      <c r="P697" t="str">
        <f>TEXT(B697, "mmmm")</f>
        <v>September</v>
      </c>
      <c r="Q697" t="str">
        <f t="shared" si="56"/>
        <v>Q3</v>
      </c>
      <c r="R697" t="str">
        <f>IFERROR(VLOOKUP(TRIM(CLEAN(G697)),Sheet14!$A$2:$B$19,2,FALSE),"Not Mapped")</f>
        <v>West</v>
      </c>
    </row>
    <row r="698" spans="1:18">
      <c r="A698" t="str">
        <f t="shared" si="54"/>
        <v>EOS0697</v>
      </c>
      <c r="B698" s="35">
        <v>45905</v>
      </c>
      <c r="C698" s="1" t="s">
        <v>267</v>
      </c>
      <c r="D698" s="1" t="str">
        <f t="shared" si="59"/>
        <v>FB</v>
      </c>
      <c r="E698" s="1" t="s">
        <v>1216</v>
      </c>
      <c r="F698" s="1"/>
      <c r="G698" s="1" t="s">
        <v>223</v>
      </c>
      <c r="H698" s="1" t="s">
        <v>149</v>
      </c>
      <c r="I698" s="1">
        <v>108000</v>
      </c>
      <c r="J698" s="45">
        <v>107696</v>
      </c>
      <c r="K698" s="1" t="str">
        <f>TRIM(Cleaned_CRM_Data!H698)</f>
        <v>Rejected</v>
      </c>
      <c r="L698" t="str">
        <f>IFERROR(VLOOKUP(K698, Status_Mapping!A:B, 2,), "Not Found")</f>
        <v>Rejected</v>
      </c>
      <c r="N698" s="29" t="str">
        <f>IF(M698="","",M698-B698)</f>
        <v/>
      </c>
      <c r="O698" s="1" t="str">
        <f t="shared" si="55"/>
        <v>Starter</v>
      </c>
      <c r="P698" t="str">
        <f>TEXT(B698, "mmmm")</f>
        <v>September</v>
      </c>
      <c r="Q698" t="str">
        <f t="shared" si="56"/>
        <v>Q3</v>
      </c>
      <c r="R698" t="str">
        <f>IFERROR(VLOOKUP(TRIM(CLEAN(G698)),Sheet14!$A$2:$B$19,2,FALSE),"Not Mapped")</f>
        <v>West</v>
      </c>
    </row>
    <row r="699" spans="1:18">
      <c r="A699" t="str">
        <f t="shared" si="54"/>
        <v>EOS0698</v>
      </c>
      <c r="B699" s="35">
        <v>45905</v>
      </c>
      <c r="C699" s="1" t="s">
        <v>267</v>
      </c>
      <c r="D699" s="1" t="str">
        <f t="shared" si="59"/>
        <v>FB</v>
      </c>
      <c r="E699" s="1" t="s">
        <v>1217</v>
      </c>
      <c r="F699" s="1"/>
      <c r="G699" s="1" t="s">
        <v>223</v>
      </c>
      <c r="H699" s="1" t="s">
        <v>149</v>
      </c>
      <c r="I699" s="1">
        <v>108000</v>
      </c>
      <c r="J699" s="45">
        <v>107697</v>
      </c>
      <c r="K699" s="1" t="str">
        <f>TRIM(Cleaned_CRM_Data!H699)</f>
        <v>Rejected</v>
      </c>
      <c r="L699" t="str">
        <f>IFERROR(VLOOKUP(K699, Status_Mapping!A:B, 2,), "Not Found")</f>
        <v>Rejected</v>
      </c>
      <c r="N699" s="29" t="str">
        <f>IF(M699="","",M699-B699)</f>
        <v/>
      </c>
      <c r="O699" s="1" t="str">
        <f t="shared" si="55"/>
        <v>Starter</v>
      </c>
      <c r="P699" t="str">
        <f>TEXT(B699, "mmmm")</f>
        <v>September</v>
      </c>
      <c r="Q699" t="str">
        <f t="shared" si="56"/>
        <v>Q3</v>
      </c>
      <c r="R699" t="str">
        <f>IFERROR(VLOOKUP(TRIM(CLEAN(G699)),Sheet14!$A$2:$B$19,2,FALSE),"Not Mapped")</f>
        <v>West</v>
      </c>
    </row>
    <row r="700" spans="1:18">
      <c r="A700" t="str">
        <f t="shared" si="54"/>
        <v>EOS0699</v>
      </c>
      <c r="B700" s="35">
        <v>45905</v>
      </c>
      <c r="C700" s="1" t="s">
        <v>267</v>
      </c>
      <c r="D700" s="1" t="str">
        <f t="shared" si="59"/>
        <v>FB</v>
      </c>
      <c r="E700" s="1" t="s">
        <v>1218</v>
      </c>
      <c r="F700" s="1"/>
      <c r="G700" s="1" t="s">
        <v>223</v>
      </c>
      <c r="H700" s="1" t="s">
        <v>149</v>
      </c>
      <c r="I700" s="1">
        <v>108000</v>
      </c>
      <c r="J700" s="45">
        <v>107698</v>
      </c>
      <c r="K700" s="1" t="str">
        <f>TRIM(Cleaned_CRM_Data!H700)</f>
        <v>Rejected</v>
      </c>
      <c r="L700" t="str">
        <f>IFERROR(VLOOKUP(K700, Status_Mapping!A:B, 2,), "Not Found")</f>
        <v>Rejected</v>
      </c>
      <c r="N700" s="29" t="str">
        <f>IF(M700="","",M700-B700)</f>
        <v/>
      </c>
      <c r="O700" s="1" t="str">
        <f t="shared" si="55"/>
        <v>Starter</v>
      </c>
      <c r="P700" t="str">
        <f>TEXT(B700, "mmmm")</f>
        <v>September</v>
      </c>
      <c r="Q700" t="str">
        <f t="shared" si="56"/>
        <v>Q3</v>
      </c>
      <c r="R700" t="str">
        <f>IFERROR(VLOOKUP(TRIM(CLEAN(G700)),Sheet14!$A$2:$B$19,2,FALSE),"Not Mapped")</f>
        <v>West</v>
      </c>
    </row>
    <row r="701" spans="1:18">
      <c r="A701" t="str">
        <f t="shared" si="54"/>
        <v>EOS0700</v>
      </c>
      <c r="B701" s="35">
        <v>45905</v>
      </c>
      <c r="C701" s="1" t="s">
        <v>267</v>
      </c>
      <c r="D701" s="1" t="str">
        <f t="shared" si="59"/>
        <v>FB</v>
      </c>
      <c r="E701" s="1" t="s">
        <v>1219</v>
      </c>
      <c r="F701" s="1"/>
      <c r="G701" s="1" t="s">
        <v>223</v>
      </c>
      <c r="H701" s="1" t="s">
        <v>149</v>
      </c>
      <c r="I701" s="1">
        <v>108000</v>
      </c>
      <c r="J701" s="45">
        <v>107699</v>
      </c>
      <c r="K701" s="1" t="str">
        <f>TRIM(Cleaned_CRM_Data!H701)</f>
        <v>Rejected</v>
      </c>
      <c r="L701" t="str">
        <f>IFERROR(VLOOKUP(K701, Status_Mapping!A:B, 2,), "Not Found")</f>
        <v>Rejected</v>
      </c>
      <c r="N701" s="29" t="str">
        <f>IF(M701="","",M701-B701)</f>
        <v/>
      </c>
      <c r="O701" s="1" t="str">
        <f t="shared" si="55"/>
        <v>Starter</v>
      </c>
      <c r="P701" t="str">
        <f>TEXT(B701, "mmmm")</f>
        <v>September</v>
      </c>
      <c r="Q701" t="str">
        <f t="shared" si="56"/>
        <v>Q3</v>
      </c>
      <c r="R701" t="str">
        <f>IFERROR(VLOOKUP(TRIM(CLEAN(G701)),Sheet14!$A$2:$B$19,2,FALSE),"Not Mapped")</f>
        <v>West</v>
      </c>
    </row>
    <row r="702" spans="1:18">
      <c r="A702" t="str">
        <f t="shared" si="54"/>
        <v>EOS0701</v>
      </c>
      <c r="B702" s="35">
        <v>45905</v>
      </c>
      <c r="C702" s="1" t="s">
        <v>267</v>
      </c>
      <c r="D702" s="1" t="str">
        <f t="shared" si="59"/>
        <v>FB</v>
      </c>
      <c r="E702" s="1" t="s">
        <v>1220</v>
      </c>
      <c r="F702" s="1"/>
      <c r="G702" s="1" t="s">
        <v>223</v>
      </c>
      <c r="H702" s="1" t="s">
        <v>149</v>
      </c>
      <c r="I702" s="1">
        <v>108000</v>
      </c>
      <c r="J702" s="45">
        <v>107700</v>
      </c>
      <c r="K702" s="1" t="str">
        <f>TRIM(Cleaned_CRM_Data!H702)</f>
        <v>Rejected</v>
      </c>
      <c r="L702" t="str">
        <f>IFERROR(VLOOKUP(K702, Status_Mapping!A:B, 2,), "Not Found")</f>
        <v>Rejected</v>
      </c>
      <c r="N702" s="29" t="str">
        <f>IF(M702="","",M702-B702)</f>
        <v/>
      </c>
      <c r="O702" s="1" t="str">
        <f t="shared" si="55"/>
        <v>Starter</v>
      </c>
      <c r="P702" t="str">
        <f>TEXT(B702, "mmmm")</f>
        <v>September</v>
      </c>
      <c r="Q702" t="str">
        <f t="shared" si="56"/>
        <v>Q3</v>
      </c>
      <c r="R702" t="str">
        <f>IFERROR(VLOOKUP(TRIM(CLEAN(G702)),Sheet14!$A$2:$B$19,2,FALSE),"Not Mapped")</f>
        <v>West</v>
      </c>
    </row>
    <row r="703" spans="1:18">
      <c r="A703" t="str">
        <f t="shared" si="54"/>
        <v>EOS0702</v>
      </c>
      <c r="B703" s="35">
        <v>45905</v>
      </c>
      <c r="C703" s="1" t="s">
        <v>267</v>
      </c>
      <c r="D703" s="1" t="str">
        <f t="shared" si="59"/>
        <v>FB</v>
      </c>
      <c r="E703" s="1" t="s">
        <v>1221</v>
      </c>
      <c r="F703" s="1"/>
      <c r="G703" s="1" t="s">
        <v>223</v>
      </c>
      <c r="H703" s="1" t="s">
        <v>149</v>
      </c>
      <c r="I703" s="1">
        <v>108000</v>
      </c>
      <c r="J703" s="45">
        <v>107701</v>
      </c>
      <c r="K703" s="1" t="str">
        <f>TRIM(Cleaned_CRM_Data!H703)</f>
        <v>Rejected</v>
      </c>
      <c r="L703" t="str">
        <f>IFERROR(VLOOKUP(K703, Status_Mapping!A:B, 2,), "Not Found")</f>
        <v>Rejected</v>
      </c>
      <c r="N703" s="29" t="str">
        <f>IF(M703="","",M703-B703)</f>
        <v/>
      </c>
      <c r="O703" s="1" t="str">
        <f t="shared" si="55"/>
        <v>Starter</v>
      </c>
      <c r="P703" t="str">
        <f>TEXT(B703, "mmmm")</f>
        <v>September</v>
      </c>
      <c r="Q703" t="str">
        <f t="shared" si="56"/>
        <v>Q3</v>
      </c>
      <c r="R703" t="str">
        <f>IFERROR(VLOOKUP(TRIM(CLEAN(G703)),Sheet14!$A$2:$B$19,2,FALSE),"Not Mapped")</f>
        <v>West</v>
      </c>
    </row>
    <row r="704" spans="1:18">
      <c r="A704" t="str">
        <f t="shared" si="54"/>
        <v>EOS0703</v>
      </c>
      <c r="B704" s="35">
        <v>45905</v>
      </c>
      <c r="C704" s="1" t="s">
        <v>267</v>
      </c>
      <c r="D704" s="1" t="str">
        <f t="shared" si="59"/>
        <v>FB</v>
      </c>
      <c r="E704" s="1" t="s">
        <v>1222</v>
      </c>
      <c r="F704" s="1" t="s">
        <v>860</v>
      </c>
      <c r="G704" s="1" t="s">
        <v>223</v>
      </c>
      <c r="H704" s="1" t="s">
        <v>149</v>
      </c>
      <c r="I704" s="1">
        <v>108000</v>
      </c>
      <c r="J704" s="45">
        <v>107702</v>
      </c>
      <c r="K704" s="1" t="str">
        <f>TRIM(Cleaned_CRM_Data!H704)</f>
        <v>Rejected</v>
      </c>
      <c r="L704" t="str">
        <f>IFERROR(VLOOKUP(K704, Status_Mapping!A:B, 2,), "Not Found")</f>
        <v>Rejected</v>
      </c>
      <c r="N704" s="29" t="str">
        <f>IF(M704="","",M704-B704)</f>
        <v/>
      </c>
      <c r="O704" s="1" t="str">
        <f t="shared" si="55"/>
        <v>Starter</v>
      </c>
      <c r="P704" t="str">
        <f>TEXT(B704, "mmmm")</f>
        <v>September</v>
      </c>
      <c r="Q704" t="str">
        <f t="shared" si="56"/>
        <v>Q3</v>
      </c>
      <c r="R704" t="str">
        <f>IFERROR(VLOOKUP(TRIM(CLEAN(G704)),Sheet14!$A$2:$B$19,2,FALSE),"Not Mapped")</f>
        <v>West</v>
      </c>
    </row>
    <row r="705" spans="1:18">
      <c r="A705" t="str">
        <f t="shared" si="54"/>
        <v>EOS0704</v>
      </c>
      <c r="B705" s="35">
        <v>45908</v>
      </c>
      <c r="C705" s="1" t="s">
        <v>911</v>
      </c>
      <c r="D705" s="1"/>
      <c r="E705" s="1" t="s">
        <v>1223</v>
      </c>
      <c r="F705" s="1"/>
      <c r="G705" s="1" t="s">
        <v>223</v>
      </c>
      <c r="H705" s="1" t="s">
        <v>149</v>
      </c>
      <c r="I705" s="1">
        <v>108000</v>
      </c>
      <c r="J705" s="45">
        <v>107703</v>
      </c>
      <c r="K705" s="1" t="str">
        <f>TRIM(Cleaned_CRM_Data!H705)</f>
        <v>Rejected</v>
      </c>
      <c r="L705" t="str">
        <f>IFERROR(VLOOKUP(K705, Status_Mapping!A:B, 2,), "Not Found")</f>
        <v>Rejected</v>
      </c>
      <c r="N705" s="29" t="str">
        <f>IF(M705="","",M705-B705)</f>
        <v/>
      </c>
      <c r="O705" s="1" t="str">
        <f t="shared" si="55"/>
        <v>Starter</v>
      </c>
      <c r="P705" t="str">
        <f>TEXT(B705, "mmmm")</f>
        <v>September</v>
      </c>
      <c r="Q705" t="str">
        <f t="shared" si="56"/>
        <v>Q3</v>
      </c>
      <c r="R705" t="str">
        <f>IFERROR(VLOOKUP(TRIM(CLEAN(G705)),Sheet14!$A$2:$B$19,2,FALSE),"Not Mapped")</f>
        <v>West</v>
      </c>
    </row>
    <row r="706" spans="1:18">
      <c r="A706" t="str">
        <f t="shared" si="54"/>
        <v>EOS0705</v>
      </c>
      <c r="B706" s="35">
        <v>45908</v>
      </c>
      <c r="C706" s="1" t="s">
        <v>267</v>
      </c>
      <c r="D706" s="1" t="str">
        <f t="shared" ref="D706:D719" si="60">TRIM(CLEAN(SUBSTITUTE(C706,CHAR(160),"")))</f>
        <v>FB</v>
      </c>
      <c r="E706" s="1" t="s">
        <v>1224</v>
      </c>
      <c r="F706" s="1"/>
      <c r="G706" s="1" t="s">
        <v>223</v>
      </c>
      <c r="H706" s="1" t="s">
        <v>149</v>
      </c>
      <c r="I706" s="1">
        <v>108000</v>
      </c>
      <c r="J706" s="45">
        <v>107704</v>
      </c>
      <c r="K706" s="1" t="str">
        <f>TRIM(Cleaned_CRM_Data!H706)</f>
        <v>Rejected</v>
      </c>
      <c r="L706" t="str">
        <f>IFERROR(VLOOKUP(K706, Status_Mapping!A:B, 2,), "Not Found")</f>
        <v>Rejected</v>
      </c>
      <c r="N706" s="29" t="str">
        <f>IF(M706="","",M706-B706)</f>
        <v/>
      </c>
      <c r="O706" s="1" t="str">
        <f t="shared" si="55"/>
        <v>Starter</v>
      </c>
      <c r="P706" t="str">
        <f>TEXT(B706, "mmmm")</f>
        <v>September</v>
      </c>
      <c r="Q706" t="str">
        <f t="shared" si="56"/>
        <v>Q3</v>
      </c>
      <c r="R706" t="str">
        <f>IFERROR(VLOOKUP(TRIM(CLEAN(G706)),Sheet14!$A$2:$B$19,2,FALSE),"Not Mapped")</f>
        <v>West</v>
      </c>
    </row>
    <row r="707" spans="1:18">
      <c r="A707" t="str">
        <f t="shared" ref="A707:A770" si="61">"EOS"&amp;TEXT(ROW()-1,"0000")</f>
        <v>EOS0706</v>
      </c>
      <c r="B707" s="35">
        <v>45908</v>
      </c>
      <c r="C707" s="1" t="s">
        <v>267</v>
      </c>
      <c r="D707" s="1" t="str">
        <f t="shared" si="60"/>
        <v>FB</v>
      </c>
      <c r="E707" s="1" t="s">
        <v>1225</v>
      </c>
      <c r="F707" s="1" t="s">
        <v>860</v>
      </c>
      <c r="G707" s="1" t="s">
        <v>223</v>
      </c>
      <c r="H707" s="1" t="s">
        <v>149</v>
      </c>
      <c r="I707" s="1">
        <v>130000</v>
      </c>
      <c r="J707" s="45">
        <v>107705</v>
      </c>
      <c r="K707" s="1" t="str">
        <f>TRIM(Cleaned_CRM_Data!H707)</f>
        <v>Rejected</v>
      </c>
      <c r="L707" t="str">
        <f>IFERROR(VLOOKUP(K707, Status_Mapping!A:B, 2,), "Not Found")</f>
        <v>Rejected</v>
      </c>
      <c r="N707" s="29" t="str">
        <f>IF(M707="","",M707-B707)</f>
        <v/>
      </c>
      <c r="O707" s="1" t="str">
        <f t="shared" ref="O707:O770" si="62">IF(OR(I707=108000,I707=130000),"Starter",IF(I707=177000,"Growth","Premium"))</f>
        <v>Starter</v>
      </c>
      <c r="P707" t="str">
        <f>TEXT(B707, "mmmm")</f>
        <v>September</v>
      </c>
      <c r="Q707" t="str">
        <f t="shared" ref="Q707:Q770" si="63">"Q"&amp;ROUNDUP(MONTH(B707)/3,0)</f>
        <v>Q3</v>
      </c>
      <c r="R707" t="str">
        <f>IFERROR(VLOOKUP(TRIM(CLEAN(G707)),Sheet14!$A$2:$B$19,2,FALSE),"Not Mapped")</f>
        <v>West</v>
      </c>
    </row>
    <row r="708" spans="1:18">
      <c r="A708" t="str">
        <f t="shared" si="61"/>
        <v>EOS0707</v>
      </c>
      <c r="B708" s="35">
        <v>45908</v>
      </c>
      <c r="C708" s="1" t="s">
        <v>267</v>
      </c>
      <c r="D708" s="1" t="str">
        <f t="shared" si="60"/>
        <v>FB</v>
      </c>
      <c r="E708" s="1" t="s">
        <v>1226</v>
      </c>
      <c r="F708" s="1" t="s">
        <v>275</v>
      </c>
      <c r="G708" s="1" t="s">
        <v>223</v>
      </c>
      <c r="H708" s="1" t="s">
        <v>149</v>
      </c>
      <c r="I708" s="1">
        <v>108000</v>
      </c>
      <c r="J708" s="45">
        <v>107706</v>
      </c>
      <c r="K708" s="1" t="str">
        <f>TRIM(Cleaned_CRM_Data!H708)</f>
        <v>Rejected</v>
      </c>
      <c r="L708" t="str">
        <f>IFERROR(VLOOKUP(K708, Status_Mapping!A:B, 2,), "Not Found")</f>
        <v>Rejected</v>
      </c>
      <c r="N708" s="29" t="str">
        <f>IF(M708="","",M708-B708)</f>
        <v/>
      </c>
      <c r="O708" s="1" t="str">
        <f t="shared" si="62"/>
        <v>Starter</v>
      </c>
      <c r="P708" t="str">
        <f>TEXT(B708, "mmmm")</f>
        <v>September</v>
      </c>
      <c r="Q708" t="str">
        <f t="shared" si="63"/>
        <v>Q3</v>
      </c>
      <c r="R708" t="str">
        <f>IFERROR(VLOOKUP(TRIM(CLEAN(G708)),Sheet14!$A$2:$B$19,2,FALSE),"Not Mapped")</f>
        <v>West</v>
      </c>
    </row>
    <row r="709" spans="1:18">
      <c r="A709" t="str">
        <f t="shared" si="61"/>
        <v>EOS0708</v>
      </c>
      <c r="B709" s="35">
        <v>45908</v>
      </c>
      <c r="C709" s="1" t="s">
        <v>267</v>
      </c>
      <c r="D709" s="1" t="str">
        <f t="shared" si="60"/>
        <v>FB</v>
      </c>
      <c r="E709" s="1" t="s">
        <v>1227</v>
      </c>
      <c r="F709" s="1" t="s">
        <v>412</v>
      </c>
      <c r="G709" s="1" t="s">
        <v>223</v>
      </c>
      <c r="H709" s="1" t="s">
        <v>149</v>
      </c>
      <c r="I709" s="1">
        <v>130000</v>
      </c>
      <c r="J709" s="45">
        <v>107707</v>
      </c>
      <c r="K709" s="1" t="str">
        <f>TRIM(Cleaned_CRM_Data!H709)</f>
        <v>Rejected</v>
      </c>
      <c r="L709" t="str">
        <f>IFERROR(VLOOKUP(K709, Status_Mapping!A:B, 2,), "Not Found")</f>
        <v>Rejected</v>
      </c>
      <c r="N709" s="29" t="str">
        <f>IF(M709="","",M709-B709)</f>
        <v/>
      </c>
      <c r="O709" s="1" t="str">
        <f t="shared" si="62"/>
        <v>Starter</v>
      </c>
      <c r="P709" t="str">
        <f>TEXT(B709, "mmmm")</f>
        <v>September</v>
      </c>
      <c r="Q709" t="str">
        <f t="shared" si="63"/>
        <v>Q3</v>
      </c>
      <c r="R709" t="str">
        <f>IFERROR(VLOOKUP(TRIM(CLEAN(G709)),Sheet14!$A$2:$B$19,2,FALSE),"Not Mapped")</f>
        <v>West</v>
      </c>
    </row>
    <row r="710" spans="1:18">
      <c r="A710" t="str">
        <f t="shared" si="61"/>
        <v>EOS0709</v>
      </c>
      <c r="B710" s="35">
        <v>45908</v>
      </c>
      <c r="C710" s="1" t="s">
        <v>267</v>
      </c>
      <c r="D710" s="1" t="str">
        <f t="shared" si="60"/>
        <v>FB</v>
      </c>
      <c r="E710" s="1" t="s">
        <v>1228</v>
      </c>
      <c r="F710" s="1" t="s">
        <v>275</v>
      </c>
      <c r="G710" s="1" t="s">
        <v>223</v>
      </c>
      <c r="H710" s="1" t="s">
        <v>149</v>
      </c>
      <c r="I710" s="1">
        <v>177000</v>
      </c>
      <c r="J710" s="45">
        <v>107708</v>
      </c>
      <c r="K710" s="1" t="str">
        <f>TRIM(Cleaned_CRM_Data!H710)</f>
        <v>Rejected</v>
      </c>
      <c r="L710" t="str">
        <f>IFERROR(VLOOKUP(K710, Status_Mapping!A:B, 2,), "Not Found")</f>
        <v>Rejected</v>
      </c>
      <c r="N710" s="29" t="str">
        <f>IF(M710="","",M710-B710)</f>
        <v/>
      </c>
      <c r="O710" s="1" t="str">
        <f t="shared" si="62"/>
        <v>Growth</v>
      </c>
      <c r="P710" t="str">
        <f>TEXT(B710, "mmmm")</f>
        <v>September</v>
      </c>
      <c r="Q710" t="str">
        <f t="shared" si="63"/>
        <v>Q3</v>
      </c>
      <c r="R710" t="str">
        <f>IFERROR(VLOOKUP(TRIM(CLEAN(G710)),Sheet14!$A$2:$B$19,2,FALSE),"Not Mapped")</f>
        <v>West</v>
      </c>
    </row>
    <row r="711" spans="1:18">
      <c r="A711" t="str">
        <f t="shared" si="61"/>
        <v>EOS0710</v>
      </c>
      <c r="B711" s="35">
        <v>45908</v>
      </c>
      <c r="C711" s="1" t="s">
        <v>267</v>
      </c>
      <c r="D711" s="1" t="str">
        <f t="shared" si="60"/>
        <v>FB</v>
      </c>
      <c r="E711" s="1" t="s">
        <v>1229</v>
      </c>
      <c r="F711" s="1" t="s">
        <v>304</v>
      </c>
      <c r="G711" s="1" t="s">
        <v>223</v>
      </c>
      <c r="H711" s="1" t="s">
        <v>149</v>
      </c>
      <c r="I711" s="1">
        <v>108000</v>
      </c>
      <c r="J711" s="45">
        <v>107709</v>
      </c>
      <c r="K711" s="1" t="str">
        <f>TRIM(Cleaned_CRM_Data!H711)</f>
        <v>Rejected</v>
      </c>
      <c r="L711" t="str">
        <f>IFERROR(VLOOKUP(K711, Status_Mapping!A:B, 2,), "Not Found")</f>
        <v>Rejected</v>
      </c>
      <c r="N711" s="29" t="str">
        <f>IF(M711="","",M711-B711)</f>
        <v/>
      </c>
      <c r="O711" s="1" t="str">
        <f t="shared" si="62"/>
        <v>Starter</v>
      </c>
      <c r="P711" t="str">
        <f>TEXT(B711, "mmmm")</f>
        <v>September</v>
      </c>
      <c r="Q711" t="str">
        <f t="shared" si="63"/>
        <v>Q3</v>
      </c>
      <c r="R711" t="str">
        <f>IFERROR(VLOOKUP(TRIM(CLEAN(G711)),Sheet14!$A$2:$B$19,2,FALSE),"Not Mapped")</f>
        <v>West</v>
      </c>
    </row>
    <row r="712" spans="1:18">
      <c r="A712" t="str">
        <f t="shared" si="61"/>
        <v>EOS0711</v>
      </c>
      <c r="B712" s="35">
        <v>45908</v>
      </c>
      <c r="C712" s="1" t="s">
        <v>267</v>
      </c>
      <c r="D712" s="1" t="str">
        <f t="shared" si="60"/>
        <v>FB</v>
      </c>
      <c r="E712" s="1" t="s">
        <v>1230</v>
      </c>
      <c r="F712" s="1" t="s">
        <v>333</v>
      </c>
      <c r="G712" s="1" t="s">
        <v>223</v>
      </c>
      <c r="H712" s="1" t="s">
        <v>149</v>
      </c>
      <c r="I712" s="1">
        <v>130000</v>
      </c>
      <c r="J712" s="45">
        <v>107710</v>
      </c>
      <c r="K712" s="1" t="str">
        <f>TRIM(Cleaned_CRM_Data!H712)</f>
        <v>Rejected</v>
      </c>
      <c r="L712" t="str">
        <f>IFERROR(VLOOKUP(K712, Status_Mapping!A:B, 2,), "Not Found")</f>
        <v>Rejected</v>
      </c>
      <c r="N712" s="29" t="str">
        <f>IF(M712="","",M712-B712)</f>
        <v/>
      </c>
      <c r="O712" s="1" t="str">
        <f t="shared" si="62"/>
        <v>Starter</v>
      </c>
      <c r="P712" t="str">
        <f>TEXT(B712, "mmmm")</f>
        <v>September</v>
      </c>
      <c r="Q712" t="str">
        <f t="shared" si="63"/>
        <v>Q3</v>
      </c>
      <c r="R712" t="str">
        <f>IFERROR(VLOOKUP(TRIM(CLEAN(G712)),Sheet14!$A$2:$B$19,2,FALSE),"Not Mapped")</f>
        <v>West</v>
      </c>
    </row>
    <row r="713" spans="1:18">
      <c r="A713" t="str">
        <f t="shared" si="61"/>
        <v>EOS0712</v>
      </c>
      <c r="B713" s="35">
        <v>45908</v>
      </c>
      <c r="C713" s="1" t="s">
        <v>267</v>
      </c>
      <c r="D713" s="1" t="str">
        <f t="shared" si="60"/>
        <v>FB</v>
      </c>
      <c r="E713" s="1" t="s">
        <v>1231</v>
      </c>
      <c r="F713" s="1" t="s">
        <v>333</v>
      </c>
      <c r="G713" s="1" t="s">
        <v>223</v>
      </c>
      <c r="H713" s="1" t="s">
        <v>149</v>
      </c>
      <c r="I713" s="1">
        <v>130000</v>
      </c>
      <c r="J713" s="45">
        <v>107711</v>
      </c>
      <c r="K713" s="1" t="str">
        <f>TRIM(Cleaned_CRM_Data!H713)</f>
        <v>Rejected</v>
      </c>
      <c r="L713" t="str">
        <f>IFERROR(VLOOKUP(K713, Status_Mapping!A:B, 2,), "Not Found")</f>
        <v>Rejected</v>
      </c>
      <c r="N713" s="29" t="str">
        <f>IF(M713="","",M713-B713)</f>
        <v/>
      </c>
      <c r="O713" s="1" t="str">
        <f t="shared" si="62"/>
        <v>Starter</v>
      </c>
      <c r="P713" t="str">
        <f>TEXT(B713, "mmmm")</f>
        <v>September</v>
      </c>
      <c r="Q713" t="str">
        <f t="shared" si="63"/>
        <v>Q3</v>
      </c>
      <c r="R713" t="str">
        <f>IFERROR(VLOOKUP(TRIM(CLEAN(G713)),Sheet14!$A$2:$B$19,2,FALSE),"Not Mapped")</f>
        <v>West</v>
      </c>
    </row>
    <row r="714" spans="1:18">
      <c r="A714" t="str">
        <f t="shared" si="61"/>
        <v>EOS0713</v>
      </c>
      <c r="B714" s="35">
        <v>45908</v>
      </c>
      <c r="C714" s="1" t="s">
        <v>267</v>
      </c>
      <c r="D714" s="1" t="str">
        <f t="shared" si="60"/>
        <v>FB</v>
      </c>
      <c r="E714" s="1" t="s">
        <v>1232</v>
      </c>
      <c r="F714" s="1" t="s">
        <v>292</v>
      </c>
      <c r="G714" s="1" t="s">
        <v>223</v>
      </c>
      <c r="H714" s="1" t="s">
        <v>149</v>
      </c>
      <c r="I714" s="1">
        <v>130000</v>
      </c>
      <c r="J714" s="45">
        <v>107712</v>
      </c>
      <c r="K714" s="1" t="str">
        <f>TRIM(Cleaned_CRM_Data!H714)</f>
        <v>Rejected</v>
      </c>
      <c r="L714" t="str">
        <f>IFERROR(VLOOKUP(K714, Status_Mapping!A:B, 2,), "Not Found")</f>
        <v>Rejected</v>
      </c>
      <c r="N714" s="29" t="str">
        <f>IF(M714="","",M714-B714)</f>
        <v/>
      </c>
      <c r="O714" s="1" t="str">
        <f t="shared" si="62"/>
        <v>Starter</v>
      </c>
      <c r="P714" t="str">
        <f>TEXT(B714, "mmmm")</f>
        <v>September</v>
      </c>
      <c r="Q714" t="str">
        <f t="shared" si="63"/>
        <v>Q3</v>
      </c>
      <c r="R714" t="str">
        <f>IFERROR(VLOOKUP(TRIM(CLEAN(G714)),Sheet14!$A$2:$B$19,2,FALSE),"Not Mapped")</f>
        <v>West</v>
      </c>
    </row>
    <row r="715" spans="1:18">
      <c r="A715" t="str">
        <f t="shared" si="61"/>
        <v>EOS0714</v>
      </c>
      <c r="B715" s="35">
        <v>45908</v>
      </c>
      <c r="C715" s="1" t="s">
        <v>267</v>
      </c>
      <c r="D715" s="1" t="str">
        <f t="shared" si="60"/>
        <v>FB</v>
      </c>
      <c r="E715" s="1" t="s">
        <v>1233</v>
      </c>
      <c r="F715" s="1" t="s">
        <v>1234</v>
      </c>
      <c r="G715" s="1" t="s">
        <v>223</v>
      </c>
      <c r="H715" s="1" t="s">
        <v>149</v>
      </c>
      <c r="I715" s="1">
        <v>130000</v>
      </c>
      <c r="J715" s="45">
        <v>107713</v>
      </c>
      <c r="K715" s="1" t="str">
        <f>TRIM(Cleaned_CRM_Data!H715)</f>
        <v>Rejected</v>
      </c>
      <c r="L715" t="str">
        <f>IFERROR(VLOOKUP(K715, Status_Mapping!A:B, 2,), "Not Found")</f>
        <v>Rejected</v>
      </c>
      <c r="N715" s="29" t="str">
        <f>IF(M715="","",M715-B715)</f>
        <v/>
      </c>
      <c r="O715" s="1" t="str">
        <f t="shared" si="62"/>
        <v>Starter</v>
      </c>
      <c r="P715" t="str">
        <f>TEXT(B715, "mmmm")</f>
        <v>September</v>
      </c>
      <c r="Q715" t="str">
        <f t="shared" si="63"/>
        <v>Q3</v>
      </c>
      <c r="R715" t="str">
        <f>IFERROR(VLOOKUP(TRIM(CLEAN(G715)),Sheet14!$A$2:$B$19,2,FALSE),"Not Mapped")</f>
        <v>West</v>
      </c>
    </row>
    <row r="716" spans="1:18">
      <c r="A716" t="str">
        <f t="shared" si="61"/>
        <v>EOS0715</v>
      </c>
      <c r="B716" s="35">
        <v>45908</v>
      </c>
      <c r="C716" s="1" t="s">
        <v>267</v>
      </c>
      <c r="D716" s="1" t="str">
        <f t="shared" si="60"/>
        <v>FB</v>
      </c>
      <c r="E716" s="1" t="s">
        <v>1235</v>
      </c>
      <c r="F716" s="1" t="s">
        <v>296</v>
      </c>
      <c r="G716" s="1" t="s">
        <v>223</v>
      </c>
      <c r="H716" s="1" t="s">
        <v>149</v>
      </c>
      <c r="I716" s="1">
        <v>177000</v>
      </c>
      <c r="J716" s="45">
        <v>107714</v>
      </c>
      <c r="K716" s="1" t="str">
        <f>TRIM(Cleaned_CRM_Data!H716)</f>
        <v>Rejected</v>
      </c>
      <c r="L716" t="str">
        <f>IFERROR(VLOOKUP(K716, Status_Mapping!A:B, 2,), "Not Found")</f>
        <v>Rejected</v>
      </c>
      <c r="N716" s="29" t="str">
        <f>IF(M716="","",M716-B716)</f>
        <v/>
      </c>
      <c r="O716" s="1" t="str">
        <f t="shared" si="62"/>
        <v>Growth</v>
      </c>
      <c r="P716" t="str">
        <f>TEXT(B716, "mmmm")</f>
        <v>September</v>
      </c>
      <c r="Q716" t="str">
        <f t="shared" si="63"/>
        <v>Q3</v>
      </c>
      <c r="R716" t="str">
        <f>IFERROR(VLOOKUP(TRIM(CLEAN(G716)),Sheet14!$A$2:$B$19,2,FALSE),"Not Mapped")</f>
        <v>West</v>
      </c>
    </row>
    <row r="717" spans="1:18">
      <c r="A717" t="str">
        <f t="shared" si="61"/>
        <v>EOS0716</v>
      </c>
      <c r="B717" s="35">
        <v>45908</v>
      </c>
      <c r="C717" s="1" t="s">
        <v>267</v>
      </c>
      <c r="D717" s="1" t="str">
        <f t="shared" si="60"/>
        <v>FB</v>
      </c>
      <c r="E717" s="1" t="s">
        <v>1236</v>
      </c>
      <c r="F717" s="1" t="s">
        <v>860</v>
      </c>
      <c r="G717" s="1" t="s">
        <v>223</v>
      </c>
      <c r="H717" s="1" t="s">
        <v>149</v>
      </c>
      <c r="I717" s="1">
        <v>130000</v>
      </c>
      <c r="J717" s="45">
        <v>107715</v>
      </c>
      <c r="K717" s="1" t="str">
        <f>TRIM(Cleaned_CRM_Data!H717)</f>
        <v>Rejected</v>
      </c>
      <c r="L717" t="str">
        <f>IFERROR(VLOOKUP(K717, Status_Mapping!A:B, 2,), "Not Found")</f>
        <v>Rejected</v>
      </c>
      <c r="N717" s="29" t="str">
        <f>IF(M717="","",M717-B717)</f>
        <v/>
      </c>
      <c r="O717" s="1" t="str">
        <f t="shared" si="62"/>
        <v>Starter</v>
      </c>
      <c r="P717" t="str">
        <f>TEXT(B717, "mmmm")</f>
        <v>September</v>
      </c>
      <c r="Q717" t="str">
        <f t="shared" si="63"/>
        <v>Q3</v>
      </c>
      <c r="R717" t="str">
        <f>IFERROR(VLOOKUP(TRIM(CLEAN(G717)),Sheet14!$A$2:$B$19,2,FALSE),"Not Mapped")</f>
        <v>West</v>
      </c>
    </row>
    <row r="718" spans="1:18">
      <c r="A718" t="str">
        <f t="shared" si="61"/>
        <v>EOS0717</v>
      </c>
      <c r="B718" s="35">
        <v>45908</v>
      </c>
      <c r="C718" s="1" t="s">
        <v>267</v>
      </c>
      <c r="D718" s="1" t="str">
        <f t="shared" si="60"/>
        <v>FB</v>
      </c>
      <c r="E718" s="1" t="s">
        <v>586</v>
      </c>
      <c r="F718" s="1" t="s">
        <v>860</v>
      </c>
      <c r="G718" s="1" t="s">
        <v>223</v>
      </c>
      <c r="H718" s="1" t="s">
        <v>149</v>
      </c>
      <c r="I718" s="1">
        <v>308000</v>
      </c>
      <c r="J718" s="45">
        <v>107716</v>
      </c>
      <c r="K718" s="1" t="str">
        <f>TRIM(Cleaned_CRM_Data!H718)</f>
        <v>Rejected</v>
      </c>
      <c r="L718" t="str">
        <f>IFERROR(VLOOKUP(K718, Status_Mapping!A:B, 2,), "Not Found")</f>
        <v>Rejected</v>
      </c>
      <c r="N718" s="29" t="str">
        <f>IF(M718="","",M718-B718)</f>
        <v/>
      </c>
      <c r="O718" s="1" t="str">
        <f t="shared" si="62"/>
        <v>Premium</v>
      </c>
      <c r="P718" t="str">
        <f>TEXT(B718, "mmmm")</f>
        <v>September</v>
      </c>
      <c r="Q718" t="str">
        <f t="shared" si="63"/>
        <v>Q3</v>
      </c>
      <c r="R718" t="str">
        <f>IFERROR(VLOOKUP(TRIM(CLEAN(G718)),Sheet14!$A$2:$B$19,2,FALSE),"Not Mapped")</f>
        <v>West</v>
      </c>
    </row>
    <row r="719" spans="1:18">
      <c r="A719" t="str">
        <f t="shared" si="61"/>
        <v>EOS0718</v>
      </c>
      <c r="B719" s="35">
        <v>45908</v>
      </c>
      <c r="C719" s="1" t="s">
        <v>267</v>
      </c>
      <c r="D719" s="1" t="str">
        <f t="shared" si="60"/>
        <v>FB</v>
      </c>
      <c r="E719" s="1" t="s">
        <v>1237</v>
      </c>
      <c r="F719" s="1"/>
      <c r="G719" s="1" t="s">
        <v>223</v>
      </c>
      <c r="H719" s="1" t="s">
        <v>149</v>
      </c>
      <c r="I719" s="1">
        <v>130000</v>
      </c>
      <c r="J719" s="45">
        <v>107717</v>
      </c>
      <c r="K719" s="1" t="str">
        <f>TRIM(Cleaned_CRM_Data!H719)</f>
        <v>Rejected</v>
      </c>
      <c r="L719" t="str">
        <f>IFERROR(VLOOKUP(K719, Status_Mapping!A:B, 2,), "Not Found")</f>
        <v>Rejected</v>
      </c>
      <c r="N719" s="29" t="str">
        <f>IF(M719="","",M719-B719)</f>
        <v/>
      </c>
      <c r="O719" s="1" t="str">
        <f t="shared" si="62"/>
        <v>Starter</v>
      </c>
      <c r="P719" t="str">
        <f>TEXT(B719, "mmmm")</f>
        <v>September</v>
      </c>
      <c r="Q719" t="str">
        <f t="shared" si="63"/>
        <v>Q3</v>
      </c>
      <c r="R719" t="str">
        <f>IFERROR(VLOOKUP(TRIM(CLEAN(G719)),Sheet14!$A$2:$B$19,2,FALSE),"Not Mapped")</f>
        <v>West</v>
      </c>
    </row>
    <row r="720" spans="1:18">
      <c r="A720" t="str">
        <f t="shared" si="61"/>
        <v>EOS0719</v>
      </c>
      <c r="B720" s="35">
        <v>45908</v>
      </c>
      <c r="C720" s="1" t="s">
        <v>911</v>
      </c>
      <c r="D720" s="1"/>
      <c r="E720" s="1" t="s">
        <v>1238</v>
      </c>
      <c r="F720" s="1"/>
      <c r="G720" s="1" t="s">
        <v>231</v>
      </c>
      <c r="H720" s="1" t="s">
        <v>149</v>
      </c>
      <c r="I720" s="1">
        <v>108000</v>
      </c>
      <c r="J720" s="45">
        <v>107718</v>
      </c>
      <c r="K720" s="1" t="str">
        <f>TRIM(Cleaned_CRM_Data!H720)</f>
        <v>Rejected</v>
      </c>
      <c r="L720" t="str">
        <f>IFERROR(VLOOKUP(K720, Status_Mapping!A:B, 2,), "Not Found")</f>
        <v>Rejected</v>
      </c>
      <c r="N720" s="29" t="str">
        <f>IF(M720="","",M720-B720)</f>
        <v/>
      </c>
      <c r="O720" s="1" t="str">
        <f t="shared" si="62"/>
        <v>Starter</v>
      </c>
      <c r="P720" t="str">
        <f>TEXT(B720, "mmmm")</f>
        <v>September</v>
      </c>
      <c r="Q720" t="str">
        <f t="shared" si="63"/>
        <v>Q3</v>
      </c>
      <c r="R720" t="str">
        <f>IFERROR(VLOOKUP(TRIM(CLEAN(G720)),Sheet14!$A$2:$B$19,2,FALSE),"Not Mapped")</f>
        <v>East</v>
      </c>
    </row>
    <row r="721" spans="1:18">
      <c r="A721" t="str">
        <f t="shared" si="61"/>
        <v>EOS0720</v>
      </c>
      <c r="B721" s="35">
        <v>45908</v>
      </c>
      <c r="C721" s="1" t="s">
        <v>911</v>
      </c>
      <c r="D721" s="1"/>
      <c r="E721" s="1" t="s">
        <v>1239</v>
      </c>
      <c r="F721" s="1"/>
      <c r="G721" s="1" t="s">
        <v>228</v>
      </c>
      <c r="H721" s="1" t="s">
        <v>149</v>
      </c>
      <c r="I721" s="1">
        <v>108000</v>
      </c>
      <c r="J721" s="45">
        <v>107719</v>
      </c>
      <c r="K721" s="1" t="str">
        <f>TRIM(Cleaned_CRM_Data!H721)</f>
        <v>Rejected</v>
      </c>
      <c r="L721" t="str">
        <f>IFERROR(VLOOKUP(K721, Status_Mapping!A:B, 2,), "Not Found")</f>
        <v>Rejected</v>
      </c>
      <c r="N721" s="29" t="str">
        <f>IF(M721="","",M721-B721)</f>
        <v/>
      </c>
      <c r="O721" s="1" t="str">
        <f t="shared" si="62"/>
        <v>Starter</v>
      </c>
      <c r="P721" t="str">
        <f>TEXT(B721, "mmmm")</f>
        <v>September</v>
      </c>
      <c r="Q721" t="str">
        <f t="shared" si="63"/>
        <v>Q3</v>
      </c>
      <c r="R721" t="str">
        <f>IFERROR(VLOOKUP(TRIM(CLEAN(G721)),Sheet14!$A$2:$B$19,2,FALSE),"Not Mapped")</f>
        <v>Central</v>
      </c>
    </row>
    <row r="722" spans="1:18">
      <c r="A722" t="str">
        <f t="shared" si="61"/>
        <v>EOS0721</v>
      </c>
      <c r="B722" s="35">
        <v>45908</v>
      </c>
      <c r="C722" s="1" t="s">
        <v>911</v>
      </c>
      <c r="D722" s="1"/>
      <c r="E722" s="1" t="s">
        <v>1240</v>
      </c>
      <c r="F722" s="1" t="s">
        <v>1241</v>
      </c>
      <c r="G722" s="1" t="s">
        <v>223</v>
      </c>
      <c r="H722" s="1" t="s">
        <v>149</v>
      </c>
      <c r="I722" s="1">
        <v>130000</v>
      </c>
      <c r="J722" s="45">
        <v>107720</v>
      </c>
      <c r="K722" s="1" t="str">
        <f>TRIM(Cleaned_CRM_Data!H722)</f>
        <v>Rejected</v>
      </c>
      <c r="L722" t="str">
        <f>IFERROR(VLOOKUP(K722, Status_Mapping!A:B, 2,), "Not Found")</f>
        <v>Rejected</v>
      </c>
      <c r="N722" s="29" t="str">
        <f>IF(M722="","",M722-B722)</f>
        <v/>
      </c>
      <c r="O722" s="1" t="str">
        <f t="shared" si="62"/>
        <v>Starter</v>
      </c>
      <c r="P722" t="str">
        <f>TEXT(B722, "mmmm")</f>
        <v>September</v>
      </c>
      <c r="Q722" t="str">
        <f t="shared" si="63"/>
        <v>Q3</v>
      </c>
      <c r="R722" t="str">
        <f>IFERROR(VLOOKUP(TRIM(CLEAN(G722)),Sheet14!$A$2:$B$19,2,FALSE),"Not Mapped")</f>
        <v>West</v>
      </c>
    </row>
    <row r="723" spans="1:18">
      <c r="A723" t="str">
        <f t="shared" si="61"/>
        <v>EOS0722</v>
      </c>
      <c r="B723" s="35">
        <v>45909</v>
      </c>
      <c r="C723" s="1" t="s">
        <v>267</v>
      </c>
      <c r="D723" s="1" t="str">
        <f t="shared" ref="D723:D726" si="64">TRIM(CLEAN(SUBSTITUTE(C723,CHAR(160),"")))</f>
        <v>FB</v>
      </c>
      <c r="E723" s="1" t="s">
        <v>1242</v>
      </c>
      <c r="F723" s="1" t="s">
        <v>1243</v>
      </c>
      <c r="G723" s="1" t="s">
        <v>223</v>
      </c>
      <c r="H723" s="1" t="s">
        <v>149</v>
      </c>
      <c r="I723" s="1">
        <v>308000</v>
      </c>
      <c r="J723" s="45">
        <v>107721</v>
      </c>
      <c r="K723" s="1" t="str">
        <f>TRIM(Cleaned_CRM_Data!H723)</f>
        <v>Rejected</v>
      </c>
      <c r="L723" t="str">
        <f>IFERROR(VLOOKUP(K723, Status_Mapping!A:B, 2,), "Not Found")</f>
        <v>Rejected</v>
      </c>
      <c r="N723" s="29" t="str">
        <f>IF(M723="","",M723-B723)</f>
        <v/>
      </c>
      <c r="O723" s="1" t="str">
        <f t="shared" si="62"/>
        <v>Premium</v>
      </c>
      <c r="P723" t="str">
        <f>TEXT(B723, "mmmm")</f>
        <v>September</v>
      </c>
      <c r="Q723" t="str">
        <f t="shared" si="63"/>
        <v>Q3</v>
      </c>
      <c r="R723" t="str">
        <f>IFERROR(VLOOKUP(TRIM(CLEAN(G723)),Sheet14!$A$2:$B$19,2,FALSE),"Not Mapped")</f>
        <v>West</v>
      </c>
    </row>
    <row r="724" spans="1:18">
      <c r="A724" t="str">
        <f t="shared" si="61"/>
        <v>EOS0723</v>
      </c>
      <c r="B724" s="35">
        <v>45909</v>
      </c>
      <c r="C724" s="1" t="s">
        <v>267</v>
      </c>
      <c r="D724" s="1" t="str">
        <f t="shared" si="64"/>
        <v>FB</v>
      </c>
      <c r="E724" s="1" t="s">
        <v>1244</v>
      </c>
      <c r="F724" s="1"/>
      <c r="G724" s="1" t="s">
        <v>223</v>
      </c>
      <c r="H724" s="1" t="s">
        <v>149</v>
      </c>
      <c r="I724" s="1">
        <v>130000</v>
      </c>
      <c r="J724" s="45">
        <v>107722</v>
      </c>
      <c r="K724" s="1" t="str">
        <f>TRIM(Cleaned_CRM_Data!H724)</f>
        <v>Rejected</v>
      </c>
      <c r="L724" t="str">
        <f>IFERROR(VLOOKUP(K724, Status_Mapping!A:B, 2,), "Not Found")</f>
        <v>Rejected</v>
      </c>
      <c r="N724" s="29" t="str">
        <f>IF(M724="","",M724-B724)</f>
        <v/>
      </c>
      <c r="O724" s="1" t="str">
        <f t="shared" si="62"/>
        <v>Starter</v>
      </c>
      <c r="P724" t="str">
        <f>TEXT(B724, "mmmm")</f>
        <v>September</v>
      </c>
      <c r="Q724" t="str">
        <f t="shared" si="63"/>
        <v>Q3</v>
      </c>
      <c r="R724" t="str">
        <f>IFERROR(VLOOKUP(TRIM(CLEAN(G724)),Sheet14!$A$2:$B$19,2,FALSE),"Not Mapped")</f>
        <v>West</v>
      </c>
    </row>
    <row r="725" spans="1:18">
      <c r="A725" t="str">
        <f t="shared" si="61"/>
        <v>EOS0724</v>
      </c>
      <c r="B725" s="35">
        <v>45909</v>
      </c>
      <c r="C725" s="1" t="s">
        <v>267</v>
      </c>
      <c r="D725" s="1" t="str">
        <f t="shared" si="64"/>
        <v>FB</v>
      </c>
      <c r="E725" s="1" t="s">
        <v>1245</v>
      </c>
      <c r="F725" s="1" t="s">
        <v>300</v>
      </c>
      <c r="G725" s="1" t="s">
        <v>223</v>
      </c>
      <c r="H725" s="1" t="s">
        <v>149</v>
      </c>
      <c r="I725" s="1">
        <v>130000</v>
      </c>
      <c r="J725" s="45">
        <v>107723</v>
      </c>
      <c r="K725" s="1" t="str">
        <f>TRIM(Cleaned_CRM_Data!H725)</f>
        <v>Rejected</v>
      </c>
      <c r="L725" t="str">
        <f>IFERROR(VLOOKUP(K725, Status_Mapping!A:B, 2,), "Not Found")</f>
        <v>Rejected</v>
      </c>
      <c r="N725" s="29" t="str">
        <f>IF(M725="","",M725-B725)</f>
        <v/>
      </c>
      <c r="O725" s="1" t="str">
        <f t="shared" si="62"/>
        <v>Starter</v>
      </c>
      <c r="P725" t="str">
        <f>TEXT(B725, "mmmm")</f>
        <v>September</v>
      </c>
      <c r="Q725" t="str">
        <f t="shared" si="63"/>
        <v>Q3</v>
      </c>
      <c r="R725" t="str">
        <f>IFERROR(VLOOKUP(TRIM(CLEAN(G725)),Sheet14!$A$2:$B$19,2,FALSE),"Not Mapped")</f>
        <v>West</v>
      </c>
    </row>
    <row r="726" spans="1:18">
      <c r="A726" t="str">
        <f t="shared" si="61"/>
        <v>EOS0725</v>
      </c>
      <c r="B726" s="35">
        <v>45909</v>
      </c>
      <c r="C726" s="1" t="s">
        <v>267</v>
      </c>
      <c r="D726" s="1" t="str">
        <f t="shared" si="64"/>
        <v>FB</v>
      </c>
      <c r="E726" s="1" t="s">
        <v>1246</v>
      </c>
      <c r="F726" s="1" t="s">
        <v>296</v>
      </c>
      <c r="G726" s="1" t="s">
        <v>223</v>
      </c>
      <c r="H726" s="1" t="s">
        <v>149</v>
      </c>
      <c r="I726" s="1">
        <v>108000</v>
      </c>
      <c r="J726" s="45">
        <v>107724</v>
      </c>
      <c r="K726" s="1" t="str">
        <f>TRIM(Cleaned_CRM_Data!H726)</f>
        <v>Rejected</v>
      </c>
      <c r="L726" t="str">
        <f>IFERROR(VLOOKUP(K726, Status_Mapping!A:B, 2,), "Not Found")</f>
        <v>Rejected</v>
      </c>
      <c r="N726" s="29" t="str">
        <f>IF(M726="","",M726-B726)</f>
        <v/>
      </c>
      <c r="O726" s="1" t="str">
        <f t="shared" si="62"/>
        <v>Starter</v>
      </c>
      <c r="P726" t="str">
        <f>TEXT(B726, "mmmm")</f>
        <v>September</v>
      </c>
      <c r="Q726" t="str">
        <f t="shared" si="63"/>
        <v>Q3</v>
      </c>
      <c r="R726" t="str">
        <f>IFERROR(VLOOKUP(TRIM(CLEAN(G726)),Sheet14!$A$2:$B$19,2,FALSE),"Not Mapped")</f>
        <v>West</v>
      </c>
    </row>
    <row r="727" spans="1:18">
      <c r="A727" t="str">
        <f t="shared" si="61"/>
        <v>EOS0726</v>
      </c>
      <c r="B727" s="35">
        <v>45909</v>
      </c>
      <c r="C727" s="1" t="s">
        <v>911</v>
      </c>
      <c r="D727" s="1"/>
      <c r="E727" s="1" t="s">
        <v>1247</v>
      </c>
      <c r="F727" s="1"/>
      <c r="G727" s="1"/>
      <c r="H727" s="1" t="s">
        <v>149</v>
      </c>
      <c r="I727" s="1">
        <v>130000</v>
      </c>
      <c r="J727" s="45">
        <v>107725</v>
      </c>
      <c r="K727" s="1" t="str">
        <f>TRIM(Cleaned_CRM_Data!H727)</f>
        <v>Rejected</v>
      </c>
      <c r="L727" t="str">
        <f>IFERROR(VLOOKUP(K727, Status_Mapping!A:B, 2,), "Not Found")</f>
        <v>Rejected</v>
      </c>
      <c r="N727" s="29" t="str">
        <f>IF(M727="","",M727-B727)</f>
        <v/>
      </c>
      <c r="O727" s="1" t="str">
        <f t="shared" si="62"/>
        <v>Starter</v>
      </c>
      <c r="P727" t="str">
        <f>TEXT(B727, "mmmm")</f>
        <v>September</v>
      </c>
      <c r="Q727" t="str">
        <f t="shared" si="63"/>
        <v>Q3</v>
      </c>
      <c r="R727" t="str">
        <f>IFERROR(VLOOKUP(TRIM(CLEAN(G727)),Sheet14!$A$2:$B$19,2,FALSE),"Not Mapped")</f>
        <v>Not Mapped</v>
      </c>
    </row>
    <row r="728" spans="1:18">
      <c r="A728" t="str">
        <f t="shared" si="61"/>
        <v>EOS0727</v>
      </c>
      <c r="B728" s="35">
        <v>45909</v>
      </c>
      <c r="C728" s="1" t="s">
        <v>911</v>
      </c>
      <c r="D728" s="1"/>
      <c r="E728" s="1" t="s">
        <v>1248</v>
      </c>
      <c r="F728" s="1" t="s">
        <v>296</v>
      </c>
      <c r="G728" s="1" t="s">
        <v>224</v>
      </c>
      <c r="H728" s="1" t="s">
        <v>149</v>
      </c>
      <c r="I728" s="1">
        <v>177000</v>
      </c>
      <c r="J728" s="45">
        <v>107726</v>
      </c>
      <c r="K728" s="1" t="str">
        <f>TRIM(Cleaned_CRM_Data!H728)</f>
        <v>Rejected</v>
      </c>
      <c r="L728" t="str">
        <f>IFERROR(VLOOKUP(K728, Status_Mapping!A:B, 2,), "Not Found")</f>
        <v>Rejected</v>
      </c>
      <c r="N728" s="29" t="str">
        <f>IF(M728="","",M728-B728)</f>
        <v/>
      </c>
      <c r="O728" s="1" t="str">
        <f t="shared" si="62"/>
        <v>Growth</v>
      </c>
      <c r="P728" t="str">
        <f>TEXT(B728, "mmmm")</f>
        <v>September</v>
      </c>
      <c r="Q728" t="str">
        <f t="shared" si="63"/>
        <v>Q3</v>
      </c>
      <c r="R728" t="str">
        <f>IFERROR(VLOOKUP(TRIM(CLEAN(G728)),Sheet14!$A$2:$B$19,2,FALSE),"Not Mapped")</f>
        <v>West</v>
      </c>
    </row>
    <row r="729" spans="1:18">
      <c r="A729" t="str">
        <f t="shared" si="61"/>
        <v>EOS0728</v>
      </c>
      <c r="B729" s="35">
        <v>45909</v>
      </c>
      <c r="C729" s="1" t="s">
        <v>911</v>
      </c>
      <c r="D729" s="1"/>
      <c r="E729" s="1" t="s">
        <v>1249</v>
      </c>
      <c r="F729" s="1" t="s">
        <v>300</v>
      </c>
      <c r="G729" s="1" t="s">
        <v>224</v>
      </c>
      <c r="H729" s="1" t="s">
        <v>149</v>
      </c>
      <c r="I729" s="1">
        <v>130000</v>
      </c>
      <c r="J729" s="45">
        <v>107727</v>
      </c>
      <c r="K729" s="1" t="str">
        <f>TRIM(Cleaned_CRM_Data!H729)</f>
        <v>Rejected</v>
      </c>
      <c r="L729" t="str">
        <f>IFERROR(VLOOKUP(K729, Status_Mapping!A:B, 2,), "Not Found")</f>
        <v>Rejected</v>
      </c>
      <c r="N729" s="29" t="str">
        <f>IF(M729="","",M729-B729)</f>
        <v/>
      </c>
      <c r="O729" s="1" t="str">
        <f t="shared" si="62"/>
        <v>Starter</v>
      </c>
      <c r="P729" t="str">
        <f>TEXT(B729, "mmmm")</f>
        <v>September</v>
      </c>
      <c r="Q729" t="str">
        <f t="shared" si="63"/>
        <v>Q3</v>
      </c>
      <c r="R729" t="str">
        <f>IFERROR(VLOOKUP(TRIM(CLEAN(G729)),Sheet14!$A$2:$B$19,2,FALSE),"Not Mapped")</f>
        <v>West</v>
      </c>
    </row>
    <row r="730" spans="1:18">
      <c r="A730" t="str">
        <f t="shared" si="61"/>
        <v>EOS0729</v>
      </c>
      <c r="B730" s="35">
        <v>45909</v>
      </c>
      <c r="C730" s="1" t="s">
        <v>911</v>
      </c>
      <c r="D730" s="1"/>
      <c r="E730" s="1" t="s">
        <v>1250</v>
      </c>
      <c r="F730" s="1" t="s">
        <v>296</v>
      </c>
      <c r="G730" s="1" t="s">
        <v>224</v>
      </c>
      <c r="H730" s="1" t="s">
        <v>149</v>
      </c>
      <c r="I730" s="1">
        <v>108000</v>
      </c>
      <c r="J730" s="45">
        <v>107728</v>
      </c>
      <c r="K730" s="1" t="str">
        <f>TRIM(Cleaned_CRM_Data!H730)</f>
        <v>Rejected</v>
      </c>
      <c r="L730" t="str">
        <f>IFERROR(VLOOKUP(K730, Status_Mapping!A:B, 2,), "Not Found")</f>
        <v>Rejected</v>
      </c>
      <c r="N730" s="29" t="str">
        <f>IF(M730="","",M730-B730)</f>
        <v/>
      </c>
      <c r="O730" s="1" t="str">
        <f t="shared" si="62"/>
        <v>Starter</v>
      </c>
      <c r="P730" t="str">
        <f>TEXT(B730, "mmmm")</f>
        <v>September</v>
      </c>
      <c r="Q730" t="str">
        <f t="shared" si="63"/>
        <v>Q3</v>
      </c>
      <c r="R730" t="str">
        <f>IFERROR(VLOOKUP(TRIM(CLEAN(G730)),Sheet14!$A$2:$B$19,2,FALSE),"Not Mapped")</f>
        <v>West</v>
      </c>
    </row>
    <row r="731" spans="1:18">
      <c r="A731" t="str">
        <f t="shared" si="61"/>
        <v>EOS0730</v>
      </c>
      <c r="B731" s="35">
        <v>45910</v>
      </c>
      <c r="C731" s="1" t="s">
        <v>267</v>
      </c>
      <c r="D731" s="1" t="str">
        <f t="shared" ref="D731:D736" si="65">TRIM(CLEAN(SUBSTITUTE(C731,CHAR(160),"")))</f>
        <v>FB</v>
      </c>
      <c r="E731" s="1" t="s">
        <v>1251</v>
      </c>
      <c r="F731" s="1" t="s">
        <v>324</v>
      </c>
      <c r="G731" s="1" t="s">
        <v>224</v>
      </c>
      <c r="H731" s="1" t="s">
        <v>149</v>
      </c>
      <c r="I731" s="1">
        <v>130000</v>
      </c>
      <c r="J731" s="45">
        <v>107729</v>
      </c>
      <c r="K731" s="1" t="str">
        <f>TRIM(Cleaned_CRM_Data!H731)</f>
        <v>Rejected</v>
      </c>
      <c r="L731" t="str">
        <f>IFERROR(VLOOKUP(K731, Status_Mapping!A:B, 2,), "Not Found")</f>
        <v>Rejected</v>
      </c>
      <c r="N731" s="29" t="str">
        <f>IF(M731="","",M731-B731)</f>
        <v/>
      </c>
      <c r="O731" s="1" t="str">
        <f t="shared" si="62"/>
        <v>Starter</v>
      </c>
      <c r="P731" t="str">
        <f>TEXT(B731, "mmmm")</f>
        <v>September</v>
      </c>
      <c r="Q731" t="str">
        <f t="shared" si="63"/>
        <v>Q3</v>
      </c>
      <c r="R731" t="str">
        <f>IFERROR(VLOOKUP(TRIM(CLEAN(G731)),Sheet14!$A$2:$B$19,2,FALSE),"Not Mapped")</f>
        <v>West</v>
      </c>
    </row>
    <row r="732" spans="1:18">
      <c r="A732" t="str">
        <f t="shared" si="61"/>
        <v>EOS0731</v>
      </c>
      <c r="B732" s="35">
        <v>45910</v>
      </c>
      <c r="C732" s="1" t="s">
        <v>267</v>
      </c>
      <c r="D732" s="1" t="str">
        <f t="shared" si="65"/>
        <v>FB</v>
      </c>
      <c r="E732" s="1" t="s">
        <v>1252</v>
      </c>
      <c r="F732" s="1" t="s">
        <v>510</v>
      </c>
      <c r="G732" s="1" t="s">
        <v>224</v>
      </c>
      <c r="H732" s="1" t="s">
        <v>149</v>
      </c>
      <c r="I732" s="1">
        <v>108000</v>
      </c>
      <c r="J732" s="45">
        <v>107730</v>
      </c>
      <c r="K732" s="1" t="str">
        <f>TRIM(Cleaned_CRM_Data!H732)</f>
        <v>Rejected</v>
      </c>
      <c r="L732" t="str">
        <f>IFERROR(VLOOKUP(K732, Status_Mapping!A:B, 2,), "Not Found")</f>
        <v>Rejected</v>
      </c>
      <c r="N732" s="29" t="str">
        <f>IF(M732="","",M732-B732)</f>
        <v/>
      </c>
      <c r="O732" s="1" t="str">
        <f t="shared" si="62"/>
        <v>Starter</v>
      </c>
      <c r="P732" t="str">
        <f>TEXT(B732, "mmmm")</f>
        <v>September</v>
      </c>
      <c r="Q732" t="str">
        <f t="shared" si="63"/>
        <v>Q3</v>
      </c>
      <c r="R732" t="str">
        <f>IFERROR(VLOOKUP(TRIM(CLEAN(G732)),Sheet14!$A$2:$B$19,2,FALSE),"Not Mapped")</f>
        <v>West</v>
      </c>
    </row>
    <row r="733" spans="1:18">
      <c r="A733" t="str">
        <f t="shared" si="61"/>
        <v>EOS0732</v>
      </c>
      <c r="B733" s="35">
        <v>45910</v>
      </c>
      <c r="C733" s="1" t="s">
        <v>267</v>
      </c>
      <c r="D733" s="1" t="str">
        <f t="shared" si="65"/>
        <v>FB</v>
      </c>
      <c r="E733" s="1" t="s">
        <v>1253</v>
      </c>
      <c r="F733" s="1" t="s">
        <v>324</v>
      </c>
      <c r="G733" s="1" t="s">
        <v>224</v>
      </c>
      <c r="H733" s="1" t="s">
        <v>149</v>
      </c>
      <c r="I733" s="1">
        <v>177000</v>
      </c>
      <c r="J733" s="45">
        <v>107731</v>
      </c>
      <c r="K733" s="1" t="str">
        <f>TRIM(Cleaned_CRM_Data!H733)</f>
        <v>Rejected</v>
      </c>
      <c r="L733" t="str">
        <f>IFERROR(VLOOKUP(K733, Status_Mapping!A:B, 2,), "Not Found")</f>
        <v>Rejected</v>
      </c>
      <c r="N733" s="29" t="str">
        <f>IF(M733="","",M733-B733)</f>
        <v/>
      </c>
      <c r="O733" s="1" t="str">
        <f t="shared" si="62"/>
        <v>Growth</v>
      </c>
      <c r="P733" t="str">
        <f>TEXT(B733, "mmmm")</f>
        <v>September</v>
      </c>
      <c r="Q733" t="str">
        <f t="shared" si="63"/>
        <v>Q3</v>
      </c>
      <c r="R733" t="str">
        <f>IFERROR(VLOOKUP(TRIM(CLEAN(G733)),Sheet14!$A$2:$B$19,2,FALSE),"Not Mapped")</f>
        <v>West</v>
      </c>
    </row>
    <row r="734" spans="1:18">
      <c r="A734" t="str">
        <f t="shared" si="61"/>
        <v>EOS0733</v>
      </c>
      <c r="B734" s="35">
        <v>45910</v>
      </c>
      <c r="C734" s="1" t="s">
        <v>267</v>
      </c>
      <c r="D734" s="1" t="str">
        <f t="shared" si="65"/>
        <v>FB</v>
      </c>
      <c r="E734" s="1" t="s">
        <v>1254</v>
      </c>
      <c r="F734" s="1" t="s">
        <v>412</v>
      </c>
      <c r="G734" s="1" t="s">
        <v>224</v>
      </c>
      <c r="H734" s="1" t="s">
        <v>149</v>
      </c>
      <c r="I734" s="1">
        <v>108000</v>
      </c>
      <c r="J734" s="45">
        <v>107732</v>
      </c>
      <c r="K734" s="1" t="str">
        <f>TRIM(Cleaned_CRM_Data!H734)</f>
        <v>Rejected</v>
      </c>
      <c r="L734" t="str">
        <f>IFERROR(VLOOKUP(K734, Status_Mapping!A:B, 2,), "Not Found")</f>
        <v>Rejected</v>
      </c>
      <c r="N734" s="29" t="str">
        <f>IF(M734="","",M734-B734)</f>
        <v/>
      </c>
      <c r="O734" s="1" t="str">
        <f t="shared" si="62"/>
        <v>Starter</v>
      </c>
      <c r="P734" t="str">
        <f>TEXT(B734, "mmmm")</f>
        <v>September</v>
      </c>
      <c r="Q734" t="str">
        <f t="shared" si="63"/>
        <v>Q3</v>
      </c>
      <c r="R734" t="str">
        <f>IFERROR(VLOOKUP(TRIM(CLEAN(G734)),Sheet14!$A$2:$B$19,2,FALSE),"Not Mapped")</f>
        <v>West</v>
      </c>
    </row>
    <row r="735" spans="1:18">
      <c r="A735" t="str">
        <f t="shared" si="61"/>
        <v>EOS0734</v>
      </c>
      <c r="B735" s="35">
        <v>45910</v>
      </c>
      <c r="C735" s="1" t="s">
        <v>267</v>
      </c>
      <c r="D735" s="1" t="str">
        <f t="shared" si="65"/>
        <v>FB</v>
      </c>
      <c r="E735" s="1" t="s">
        <v>1255</v>
      </c>
      <c r="F735" s="1" t="s">
        <v>275</v>
      </c>
      <c r="G735" s="1" t="s">
        <v>224</v>
      </c>
      <c r="H735" s="1" t="s">
        <v>149</v>
      </c>
      <c r="I735" s="1">
        <v>108000</v>
      </c>
      <c r="J735" s="45">
        <v>107733</v>
      </c>
      <c r="K735" s="1" t="str">
        <f>TRIM(Cleaned_CRM_Data!H735)</f>
        <v>Rejected</v>
      </c>
      <c r="L735" t="str">
        <f>IFERROR(VLOOKUP(K735, Status_Mapping!A:B, 2,), "Not Found")</f>
        <v>Rejected</v>
      </c>
      <c r="N735" s="29" t="str">
        <f>IF(M735="","",M735-B735)</f>
        <v/>
      </c>
      <c r="O735" s="1" t="str">
        <f t="shared" si="62"/>
        <v>Starter</v>
      </c>
      <c r="P735" t="str">
        <f>TEXT(B735, "mmmm")</f>
        <v>September</v>
      </c>
      <c r="Q735" t="str">
        <f t="shared" si="63"/>
        <v>Q3</v>
      </c>
      <c r="R735" t="str">
        <f>IFERROR(VLOOKUP(TRIM(CLEAN(G735)),Sheet14!$A$2:$B$19,2,FALSE),"Not Mapped")</f>
        <v>West</v>
      </c>
    </row>
    <row r="736" spans="1:18">
      <c r="A736" t="str">
        <f t="shared" si="61"/>
        <v>EOS0735</v>
      </c>
      <c r="B736" s="35">
        <v>45910</v>
      </c>
      <c r="C736" s="1" t="s">
        <v>267</v>
      </c>
      <c r="D736" s="1" t="str">
        <f t="shared" si="65"/>
        <v>FB</v>
      </c>
      <c r="E736" s="1" t="s">
        <v>1256</v>
      </c>
      <c r="F736" s="1" t="s">
        <v>1257</v>
      </c>
      <c r="G736" s="1" t="s">
        <v>224</v>
      </c>
      <c r="H736" s="1" t="s">
        <v>149</v>
      </c>
      <c r="I736" s="1">
        <v>130000</v>
      </c>
      <c r="J736" s="45">
        <v>107734</v>
      </c>
      <c r="K736" s="1" t="str">
        <f>TRIM(Cleaned_CRM_Data!H736)</f>
        <v>Rejected</v>
      </c>
      <c r="L736" t="str">
        <f>IFERROR(VLOOKUP(K736, Status_Mapping!A:B, 2,), "Not Found")</f>
        <v>Rejected</v>
      </c>
      <c r="N736" s="29" t="str">
        <f>IF(M736="","",M736-B736)</f>
        <v/>
      </c>
      <c r="O736" s="1" t="str">
        <f t="shared" si="62"/>
        <v>Starter</v>
      </c>
      <c r="P736" t="str">
        <f>TEXT(B736, "mmmm")</f>
        <v>September</v>
      </c>
      <c r="Q736" t="str">
        <f t="shared" si="63"/>
        <v>Q3</v>
      </c>
      <c r="R736" t="str">
        <f>IFERROR(VLOOKUP(TRIM(CLEAN(G736)),Sheet14!$A$2:$B$19,2,FALSE),"Not Mapped")</f>
        <v>West</v>
      </c>
    </row>
    <row r="737" spans="1:18">
      <c r="A737" t="str">
        <f t="shared" si="61"/>
        <v>EOS0736</v>
      </c>
      <c r="B737" s="35">
        <v>45910</v>
      </c>
      <c r="C737" s="1" t="s">
        <v>911</v>
      </c>
      <c r="D737" s="1"/>
      <c r="E737" s="1" t="s">
        <v>1258</v>
      </c>
      <c r="F737" s="1" t="s">
        <v>412</v>
      </c>
      <c r="G737" s="1" t="s">
        <v>224</v>
      </c>
      <c r="H737" s="1" t="s">
        <v>212</v>
      </c>
      <c r="I737" s="1">
        <v>130000</v>
      </c>
      <c r="J737" s="45">
        <v>107735</v>
      </c>
      <c r="K737" s="1" t="str">
        <f>TRIM(Cleaned_CRM_Data!H737)</f>
        <v>Deal</v>
      </c>
      <c r="L737" t="str">
        <f>IFERROR(VLOOKUP(K737, Status_Mapping!A:B, 2,), "Not Found")</f>
        <v>Converted</v>
      </c>
      <c r="M737" s="32">
        <v>45918</v>
      </c>
      <c r="N737" s="29">
        <f>IF(M737="","",M737-B737)</f>
        <v>8</v>
      </c>
      <c r="O737" s="1" t="str">
        <f t="shared" si="62"/>
        <v>Starter</v>
      </c>
      <c r="P737" t="str">
        <f>TEXT(B737, "mmmm")</f>
        <v>September</v>
      </c>
      <c r="Q737" t="str">
        <f t="shared" si="63"/>
        <v>Q3</v>
      </c>
      <c r="R737" t="str">
        <f>IFERROR(VLOOKUP(TRIM(CLEAN(G737)),Sheet14!$A$2:$B$19,2,FALSE),"Not Mapped")</f>
        <v>West</v>
      </c>
    </row>
    <row r="738" spans="1:18">
      <c r="A738" t="str">
        <f t="shared" si="61"/>
        <v>EOS0737</v>
      </c>
      <c r="B738" s="35">
        <v>45910</v>
      </c>
      <c r="C738" s="1" t="s">
        <v>911</v>
      </c>
      <c r="D738" s="1"/>
      <c r="E738" s="1" t="s">
        <v>1259</v>
      </c>
      <c r="F738" s="1" t="s">
        <v>412</v>
      </c>
      <c r="G738" s="1" t="s">
        <v>224</v>
      </c>
      <c r="H738" s="1" t="s">
        <v>149</v>
      </c>
      <c r="I738" s="1">
        <v>108000</v>
      </c>
      <c r="J738" s="45">
        <v>107736</v>
      </c>
      <c r="K738" s="1" t="str">
        <f>TRIM(Cleaned_CRM_Data!H738)</f>
        <v>Rejected</v>
      </c>
      <c r="L738" t="str">
        <f>IFERROR(VLOOKUP(K738, Status_Mapping!A:B, 2,), "Not Found")</f>
        <v>Rejected</v>
      </c>
      <c r="N738" s="29" t="str">
        <f>IF(M738="","",M738-B738)</f>
        <v/>
      </c>
      <c r="O738" s="1" t="str">
        <f t="shared" si="62"/>
        <v>Starter</v>
      </c>
      <c r="P738" t="str">
        <f>TEXT(B738, "mmmm")</f>
        <v>September</v>
      </c>
      <c r="Q738" t="str">
        <f t="shared" si="63"/>
        <v>Q3</v>
      </c>
      <c r="R738" t="str">
        <f>IFERROR(VLOOKUP(TRIM(CLEAN(G738)),Sheet14!$A$2:$B$19,2,FALSE),"Not Mapped")</f>
        <v>West</v>
      </c>
    </row>
    <row r="739" spans="1:18">
      <c r="A739" t="str">
        <f t="shared" si="61"/>
        <v>EOS0738</v>
      </c>
      <c r="B739" s="35">
        <v>45911</v>
      </c>
      <c r="C739" s="1" t="s">
        <v>267</v>
      </c>
      <c r="D739" s="1" t="str">
        <f t="shared" ref="D739:D744" si="66">TRIM(CLEAN(SUBSTITUTE(C739,CHAR(160),"")))</f>
        <v>FB</v>
      </c>
      <c r="E739" s="1" t="s">
        <v>1260</v>
      </c>
      <c r="F739" s="1"/>
      <c r="G739" s="1" t="s">
        <v>224</v>
      </c>
      <c r="H739" s="1" t="s">
        <v>149</v>
      </c>
      <c r="I739" s="1">
        <v>130000</v>
      </c>
      <c r="J739" s="45">
        <v>107737</v>
      </c>
      <c r="K739" s="1" t="str">
        <f>TRIM(Cleaned_CRM_Data!H739)</f>
        <v>Rejected</v>
      </c>
      <c r="L739" t="str">
        <f>IFERROR(VLOOKUP(K739, Status_Mapping!A:B, 2,), "Not Found")</f>
        <v>Rejected</v>
      </c>
      <c r="N739" s="29" t="str">
        <f>IF(M739="","",M739-B739)</f>
        <v/>
      </c>
      <c r="O739" s="1" t="str">
        <f t="shared" si="62"/>
        <v>Starter</v>
      </c>
      <c r="P739" t="str">
        <f>TEXT(B739, "mmmm")</f>
        <v>September</v>
      </c>
      <c r="Q739" t="str">
        <f t="shared" si="63"/>
        <v>Q3</v>
      </c>
      <c r="R739" t="str">
        <f>IFERROR(VLOOKUP(TRIM(CLEAN(G739)),Sheet14!$A$2:$B$19,2,FALSE),"Not Mapped")</f>
        <v>West</v>
      </c>
    </row>
    <row r="740" spans="1:18">
      <c r="A740" t="str">
        <f t="shared" si="61"/>
        <v>EOS0739</v>
      </c>
      <c r="B740" s="35">
        <v>45911</v>
      </c>
      <c r="C740" s="1" t="s">
        <v>267</v>
      </c>
      <c r="D740" s="1" t="str">
        <f t="shared" si="66"/>
        <v>FB</v>
      </c>
      <c r="E740" s="1" t="s">
        <v>1261</v>
      </c>
      <c r="F740" s="1" t="s">
        <v>1262</v>
      </c>
      <c r="G740" s="1" t="s">
        <v>224</v>
      </c>
      <c r="H740" s="1" t="s">
        <v>149</v>
      </c>
      <c r="I740" s="1">
        <v>130000</v>
      </c>
      <c r="J740" s="45">
        <v>107738</v>
      </c>
      <c r="K740" s="1" t="str">
        <f>TRIM(Cleaned_CRM_Data!H740)</f>
        <v>Rejected</v>
      </c>
      <c r="L740" t="str">
        <f>IFERROR(VLOOKUP(K740, Status_Mapping!A:B, 2,), "Not Found")</f>
        <v>Rejected</v>
      </c>
      <c r="N740" s="29" t="str">
        <f>IF(M740="","",M740-B740)</f>
        <v/>
      </c>
      <c r="O740" s="1" t="str">
        <f t="shared" si="62"/>
        <v>Starter</v>
      </c>
      <c r="P740" t="str">
        <f>TEXT(B740, "mmmm")</f>
        <v>September</v>
      </c>
      <c r="Q740" t="str">
        <f t="shared" si="63"/>
        <v>Q3</v>
      </c>
      <c r="R740" t="str">
        <f>IFERROR(VLOOKUP(TRIM(CLEAN(G740)),Sheet14!$A$2:$B$19,2,FALSE),"Not Mapped")</f>
        <v>West</v>
      </c>
    </row>
    <row r="741" spans="1:18">
      <c r="A741" t="str">
        <f t="shared" si="61"/>
        <v>EOS0740</v>
      </c>
      <c r="B741" s="35">
        <v>45911</v>
      </c>
      <c r="C741" s="1" t="s">
        <v>267</v>
      </c>
      <c r="D741" s="1" t="str">
        <f t="shared" si="66"/>
        <v>FB</v>
      </c>
      <c r="E741" s="1" t="s">
        <v>1263</v>
      </c>
      <c r="F741" s="1" t="s">
        <v>275</v>
      </c>
      <c r="G741" s="1" t="s">
        <v>224</v>
      </c>
      <c r="H741" s="1" t="s">
        <v>149</v>
      </c>
      <c r="I741" s="1">
        <v>108000</v>
      </c>
      <c r="J741" s="45">
        <v>107739</v>
      </c>
      <c r="K741" s="1" t="str">
        <f>TRIM(Cleaned_CRM_Data!H741)</f>
        <v>Rejected</v>
      </c>
      <c r="L741" t="str">
        <f>IFERROR(VLOOKUP(K741, Status_Mapping!A:B, 2,), "Not Found")</f>
        <v>Rejected</v>
      </c>
      <c r="N741" s="29" t="str">
        <f>IF(M741="","",M741-B741)</f>
        <v/>
      </c>
      <c r="O741" s="1" t="str">
        <f t="shared" si="62"/>
        <v>Starter</v>
      </c>
      <c r="P741" t="str">
        <f>TEXT(B741, "mmmm")</f>
        <v>September</v>
      </c>
      <c r="Q741" t="str">
        <f t="shared" si="63"/>
        <v>Q3</v>
      </c>
      <c r="R741" t="str">
        <f>IFERROR(VLOOKUP(TRIM(CLEAN(G741)),Sheet14!$A$2:$B$19,2,FALSE),"Not Mapped")</f>
        <v>West</v>
      </c>
    </row>
    <row r="742" spans="1:18">
      <c r="A742" t="str">
        <f t="shared" si="61"/>
        <v>EOS0741</v>
      </c>
      <c r="B742" s="35">
        <v>45911</v>
      </c>
      <c r="C742" s="1" t="s">
        <v>267</v>
      </c>
      <c r="D742" s="1" t="str">
        <f t="shared" si="66"/>
        <v>FB</v>
      </c>
      <c r="E742" s="1" t="s">
        <v>337</v>
      </c>
      <c r="F742" s="1" t="s">
        <v>893</v>
      </c>
      <c r="G742" s="1" t="s">
        <v>224</v>
      </c>
      <c r="H742" s="1" t="s">
        <v>149</v>
      </c>
      <c r="I742" s="1">
        <v>130000</v>
      </c>
      <c r="J742" s="45">
        <v>107740</v>
      </c>
      <c r="K742" s="1" t="str">
        <f>TRIM(Cleaned_CRM_Data!H742)</f>
        <v>Rejected</v>
      </c>
      <c r="L742" t="str">
        <f>IFERROR(VLOOKUP(K742, Status_Mapping!A:B, 2,), "Not Found")</f>
        <v>Rejected</v>
      </c>
      <c r="N742" s="29" t="str">
        <f>IF(M742="","",M742-B742)</f>
        <v/>
      </c>
      <c r="O742" s="1" t="str">
        <f t="shared" si="62"/>
        <v>Starter</v>
      </c>
      <c r="P742" t="str">
        <f>TEXT(B742, "mmmm")</f>
        <v>September</v>
      </c>
      <c r="Q742" t="str">
        <f t="shared" si="63"/>
        <v>Q3</v>
      </c>
      <c r="R742" t="str">
        <f>IFERROR(VLOOKUP(TRIM(CLEAN(G742)),Sheet14!$A$2:$B$19,2,FALSE),"Not Mapped")</f>
        <v>West</v>
      </c>
    </row>
    <row r="743" spans="1:18">
      <c r="A743" t="str">
        <f t="shared" si="61"/>
        <v>EOS0742</v>
      </c>
      <c r="B743" s="35">
        <v>45911</v>
      </c>
      <c r="C743" s="1" t="s">
        <v>267</v>
      </c>
      <c r="D743" s="1" t="str">
        <f t="shared" si="66"/>
        <v>FB</v>
      </c>
      <c r="E743" s="1" t="s">
        <v>1264</v>
      </c>
      <c r="F743" s="1"/>
      <c r="G743" s="1" t="s">
        <v>224</v>
      </c>
      <c r="H743" s="1" t="s">
        <v>149</v>
      </c>
      <c r="I743" s="1">
        <v>177000</v>
      </c>
      <c r="J743" s="45">
        <v>107741</v>
      </c>
      <c r="K743" s="1" t="str">
        <f>TRIM(Cleaned_CRM_Data!H743)</f>
        <v>Rejected</v>
      </c>
      <c r="L743" t="str">
        <f>IFERROR(VLOOKUP(K743, Status_Mapping!A:B, 2,), "Not Found")</f>
        <v>Rejected</v>
      </c>
      <c r="N743" s="29" t="str">
        <f>IF(M743="","",M743-B743)</f>
        <v/>
      </c>
      <c r="O743" s="1" t="str">
        <f t="shared" si="62"/>
        <v>Growth</v>
      </c>
      <c r="P743" t="str">
        <f>TEXT(B743, "mmmm")</f>
        <v>September</v>
      </c>
      <c r="Q743" t="str">
        <f t="shared" si="63"/>
        <v>Q3</v>
      </c>
      <c r="R743" t="str">
        <f>IFERROR(VLOOKUP(TRIM(CLEAN(G743)),Sheet14!$A$2:$B$19,2,FALSE),"Not Mapped")</f>
        <v>West</v>
      </c>
    </row>
    <row r="744" spans="1:18">
      <c r="A744" t="str">
        <f t="shared" si="61"/>
        <v>EOS0743</v>
      </c>
      <c r="B744" s="35">
        <v>45911</v>
      </c>
      <c r="C744" s="1" t="s">
        <v>267</v>
      </c>
      <c r="D744" s="1" t="str">
        <f t="shared" si="66"/>
        <v>FB</v>
      </c>
      <c r="E744" s="1" t="s">
        <v>1265</v>
      </c>
      <c r="F744" s="1"/>
      <c r="G744" s="1" t="s">
        <v>224</v>
      </c>
      <c r="H744" s="1" t="s">
        <v>149</v>
      </c>
      <c r="I744" s="1">
        <v>177000</v>
      </c>
      <c r="J744" s="45">
        <v>107742</v>
      </c>
      <c r="K744" s="1" t="str">
        <f>TRIM(Cleaned_CRM_Data!H744)</f>
        <v>Rejected</v>
      </c>
      <c r="L744" t="str">
        <f>IFERROR(VLOOKUP(K744, Status_Mapping!A:B, 2,), "Not Found")</f>
        <v>Rejected</v>
      </c>
      <c r="N744" s="29" t="str">
        <f>IF(M744="","",M744-B744)</f>
        <v/>
      </c>
      <c r="O744" s="1" t="str">
        <f t="shared" si="62"/>
        <v>Growth</v>
      </c>
      <c r="P744" t="str">
        <f>TEXT(B744, "mmmm")</f>
        <v>September</v>
      </c>
      <c r="Q744" t="str">
        <f t="shared" si="63"/>
        <v>Q3</v>
      </c>
      <c r="R744" t="str">
        <f>IFERROR(VLOOKUP(TRIM(CLEAN(G744)),Sheet14!$A$2:$B$19,2,FALSE),"Not Mapped")</f>
        <v>West</v>
      </c>
    </row>
    <row r="745" spans="1:18">
      <c r="A745" t="str">
        <f t="shared" si="61"/>
        <v>EOS0744</v>
      </c>
      <c r="B745" s="35">
        <v>45911</v>
      </c>
      <c r="C745" s="1" t="s">
        <v>911</v>
      </c>
      <c r="D745" s="1"/>
      <c r="E745" s="1" t="s">
        <v>1266</v>
      </c>
      <c r="F745" s="1" t="s">
        <v>1267</v>
      </c>
      <c r="G745" s="1" t="s">
        <v>223</v>
      </c>
      <c r="H745" s="1" t="s">
        <v>149</v>
      </c>
      <c r="I745" s="1">
        <v>177000</v>
      </c>
      <c r="J745" s="45">
        <v>107743</v>
      </c>
      <c r="K745" s="1" t="str">
        <f>TRIM(Cleaned_CRM_Data!H745)</f>
        <v>Rejected</v>
      </c>
      <c r="L745" t="str">
        <f>IFERROR(VLOOKUP(K745, Status_Mapping!A:B, 2,), "Not Found")</f>
        <v>Rejected</v>
      </c>
      <c r="N745" s="29" t="str">
        <f>IF(M745="","",M745-B745)</f>
        <v/>
      </c>
      <c r="O745" s="1" t="str">
        <f t="shared" si="62"/>
        <v>Growth</v>
      </c>
      <c r="P745" t="str">
        <f>TEXT(B745, "mmmm")</f>
        <v>September</v>
      </c>
      <c r="Q745" t="str">
        <f t="shared" si="63"/>
        <v>Q3</v>
      </c>
      <c r="R745" t="str">
        <f>IFERROR(VLOOKUP(TRIM(CLEAN(G745)),Sheet14!$A$2:$B$19,2,FALSE),"Not Mapped")</f>
        <v>West</v>
      </c>
    </row>
    <row r="746" spans="1:18">
      <c r="A746" t="str">
        <f t="shared" si="61"/>
        <v>EOS0745</v>
      </c>
      <c r="B746" s="35">
        <v>45912</v>
      </c>
      <c r="C746" s="1" t="s">
        <v>267</v>
      </c>
      <c r="D746" s="1" t="str">
        <f>TRIM(CLEAN(SUBSTITUTE(C746,CHAR(160),"")))</f>
        <v>FB</v>
      </c>
      <c r="E746" s="1" t="s">
        <v>1268</v>
      </c>
      <c r="F746" s="1" t="s">
        <v>643</v>
      </c>
      <c r="G746" s="1" t="s">
        <v>224</v>
      </c>
      <c r="H746" s="1" t="s">
        <v>149</v>
      </c>
      <c r="I746" s="1">
        <v>108000</v>
      </c>
      <c r="J746" s="45">
        <v>107744</v>
      </c>
      <c r="K746" s="1" t="str">
        <f>TRIM(Cleaned_CRM_Data!H746)</f>
        <v>Rejected</v>
      </c>
      <c r="L746" t="str">
        <f>IFERROR(VLOOKUP(K746, Status_Mapping!A:B, 2,), "Not Found")</f>
        <v>Rejected</v>
      </c>
      <c r="N746" s="29" t="str">
        <f>IF(M746="","",M746-B746)</f>
        <v/>
      </c>
      <c r="O746" s="1" t="str">
        <f t="shared" si="62"/>
        <v>Starter</v>
      </c>
      <c r="P746" t="str">
        <f>TEXT(B746, "mmmm")</f>
        <v>September</v>
      </c>
      <c r="Q746" t="str">
        <f t="shared" si="63"/>
        <v>Q3</v>
      </c>
      <c r="R746" t="str">
        <f>IFERROR(VLOOKUP(TRIM(CLEAN(G746)),Sheet14!$A$2:$B$19,2,FALSE),"Not Mapped")</f>
        <v>West</v>
      </c>
    </row>
    <row r="747" spans="1:18">
      <c r="A747" t="str">
        <f t="shared" si="61"/>
        <v>EOS0746</v>
      </c>
      <c r="B747" s="35">
        <v>45912</v>
      </c>
      <c r="C747" s="1" t="s">
        <v>911</v>
      </c>
      <c r="D747" s="1"/>
      <c r="E747" s="1" t="s">
        <v>1269</v>
      </c>
      <c r="F747" s="1"/>
      <c r="G747" s="1" t="s">
        <v>239</v>
      </c>
      <c r="H747" s="1" t="s">
        <v>149</v>
      </c>
      <c r="I747" s="1">
        <v>130000</v>
      </c>
      <c r="J747" s="45">
        <v>107745</v>
      </c>
      <c r="K747" s="1" t="str">
        <f>TRIM(Cleaned_CRM_Data!H747)</f>
        <v>Rejected</v>
      </c>
      <c r="L747" t="str">
        <f>IFERROR(VLOOKUP(K747, Status_Mapping!A:B, 2,), "Not Found")</f>
        <v>Rejected</v>
      </c>
      <c r="N747" s="29" t="str">
        <f>IF(M747="","",M747-B747)</f>
        <v/>
      </c>
      <c r="O747" s="1" t="str">
        <f t="shared" si="62"/>
        <v>Starter</v>
      </c>
      <c r="P747" t="str">
        <f>TEXT(B747, "mmmm")</f>
        <v>September</v>
      </c>
      <c r="Q747" t="str">
        <f t="shared" si="63"/>
        <v>Q3</v>
      </c>
      <c r="R747" t="str">
        <f>IFERROR(VLOOKUP(TRIM(CLEAN(G747)),Sheet14!$A$2:$B$19,2,FALSE),"Not Mapped")</f>
        <v>East</v>
      </c>
    </row>
    <row r="748" spans="1:18">
      <c r="A748" t="str">
        <f t="shared" si="61"/>
        <v>EOS0747</v>
      </c>
      <c r="B748" s="35">
        <v>45912</v>
      </c>
      <c r="C748" s="1" t="s">
        <v>267</v>
      </c>
      <c r="D748" s="1" t="str">
        <f t="shared" ref="D748:D753" si="67">TRIM(CLEAN(SUBSTITUTE(C748,CHAR(160),"")))</f>
        <v>FB</v>
      </c>
      <c r="E748" s="1" t="s">
        <v>1270</v>
      </c>
      <c r="F748" s="1" t="s">
        <v>275</v>
      </c>
      <c r="G748" s="1" t="s">
        <v>224</v>
      </c>
      <c r="H748" s="1" t="s">
        <v>149</v>
      </c>
      <c r="I748" s="1">
        <v>130000</v>
      </c>
      <c r="J748" s="45">
        <v>107746</v>
      </c>
      <c r="K748" s="1" t="str">
        <f>TRIM(Cleaned_CRM_Data!H748)</f>
        <v>Rejected</v>
      </c>
      <c r="L748" t="str">
        <f>IFERROR(VLOOKUP(K748, Status_Mapping!A:B, 2,), "Not Found")</f>
        <v>Rejected</v>
      </c>
      <c r="N748" s="29" t="str">
        <f>IF(M748="","",M748-B748)</f>
        <v/>
      </c>
      <c r="O748" s="1" t="str">
        <f t="shared" si="62"/>
        <v>Starter</v>
      </c>
      <c r="P748" t="str">
        <f>TEXT(B748, "mmmm")</f>
        <v>September</v>
      </c>
      <c r="Q748" t="str">
        <f t="shared" si="63"/>
        <v>Q3</v>
      </c>
      <c r="R748" t="str">
        <f>IFERROR(VLOOKUP(TRIM(CLEAN(G748)),Sheet14!$A$2:$B$19,2,FALSE),"Not Mapped")</f>
        <v>West</v>
      </c>
    </row>
    <row r="749" spans="1:18">
      <c r="A749" t="str">
        <f t="shared" si="61"/>
        <v>EOS0748</v>
      </c>
      <c r="B749" s="35">
        <v>45912</v>
      </c>
      <c r="C749" s="1" t="s">
        <v>267</v>
      </c>
      <c r="D749" s="1" t="str">
        <f t="shared" si="67"/>
        <v>FB</v>
      </c>
      <c r="E749" s="1" t="s">
        <v>1271</v>
      </c>
      <c r="F749" s="1" t="s">
        <v>324</v>
      </c>
      <c r="G749" s="1" t="s">
        <v>224</v>
      </c>
      <c r="H749" s="1" t="s">
        <v>149</v>
      </c>
      <c r="I749" s="1">
        <v>108000</v>
      </c>
      <c r="J749" s="45">
        <v>107747</v>
      </c>
      <c r="K749" s="1" t="str">
        <f>TRIM(Cleaned_CRM_Data!H749)</f>
        <v>Rejected</v>
      </c>
      <c r="L749" t="str">
        <f>IFERROR(VLOOKUP(K749, Status_Mapping!A:B, 2,), "Not Found")</f>
        <v>Rejected</v>
      </c>
      <c r="N749" s="29" t="str">
        <f>IF(M749="","",M749-B749)</f>
        <v/>
      </c>
      <c r="O749" s="1" t="str">
        <f t="shared" si="62"/>
        <v>Starter</v>
      </c>
      <c r="P749" t="str">
        <f>TEXT(B749, "mmmm")</f>
        <v>September</v>
      </c>
      <c r="Q749" t="str">
        <f t="shared" si="63"/>
        <v>Q3</v>
      </c>
      <c r="R749" t="str">
        <f>IFERROR(VLOOKUP(TRIM(CLEAN(G749)),Sheet14!$A$2:$B$19,2,FALSE),"Not Mapped")</f>
        <v>West</v>
      </c>
    </row>
    <row r="750" spans="1:18">
      <c r="A750" t="str">
        <f t="shared" si="61"/>
        <v>EOS0749</v>
      </c>
      <c r="B750" s="35">
        <v>45912</v>
      </c>
      <c r="C750" s="1" t="s">
        <v>267</v>
      </c>
      <c r="D750" s="1" t="str">
        <f t="shared" si="67"/>
        <v>FB</v>
      </c>
      <c r="E750" s="1" t="s">
        <v>1272</v>
      </c>
      <c r="F750" s="1" t="s">
        <v>1273</v>
      </c>
      <c r="G750" s="1" t="s">
        <v>224</v>
      </c>
      <c r="H750" s="1" t="s">
        <v>149</v>
      </c>
      <c r="I750" s="1">
        <v>108000</v>
      </c>
      <c r="J750" s="45">
        <v>107748</v>
      </c>
      <c r="K750" s="1" t="str">
        <f>TRIM(Cleaned_CRM_Data!H750)</f>
        <v>Rejected</v>
      </c>
      <c r="L750" t="str">
        <f>IFERROR(VLOOKUP(K750, Status_Mapping!A:B, 2,), "Not Found")</f>
        <v>Rejected</v>
      </c>
      <c r="N750" s="29" t="str">
        <f>IF(M750="","",M750-B750)</f>
        <v/>
      </c>
      <c r="O750" s="1" t="str">
        <f t="shared" si="62"/>
        <v>Starter</v>
      </c>
      <c r="P750" t="str">
        <f>TEXT(B750, "mmmm")</f>
        <v>September</v>
      </c>
      <c r="Q750" t="str">
        <f t="shared" si="63"/>
        <v>Q3</v>
      </c>
      <c r="R750" t="str">
        <f>IFERROR(VLOOKUP(TRIM(CLEAN(G750)),Sheet14!$A$2:$B$19,2,FALSE),"Not Mapped")</f>
        <v>West</v>
      </c>
    </row>
    <row r="751" spans="1:18">
      <c r="A751" t="str">
        <f t="shared" si="61"/>
        <v>EOS0750</v>
      </c>
      <c r="B751" s="35">
        <v>45912</v>
      </c>
      <c r="C751" s="1" t="s">
        <v>267</v>
      </c>
      <c r="D751" s="1" t="str">
        <f t="shared" si="67"/>
        <v>FB</v>
      </c>
      <c r="E751" s="1" t="s">
        <v>1274</v>
      </c>
      <c r="F751" s="1"/>
      <c r="G751" s="1" t="s">
        <v>224</v>
      </c>
      <c r="H751" s="1" t="s">
        <v>149</v>
      </c>
      <c r="I751" s="1">
        <v>108000</v>
      </c>
      <c r="J751" s="45">
        <v>107749</v>
      </c>
      <c r="K751" s="1" t="str">
        <f>TRIM(Cleaned_CRM_Data!H751)</f>
        <v>Rejected</v>
      </c>
      <c r="L751" t="str">
        <f>IFERROR(VLOOKUP(K751, Status_Mapping!A:B, 2,), "Not Found")</f>
        <v>Rejected</v>
      </c>
      <c r="N751" s="29" t="str">
        <f>IF(M751="","",M751-B751)</f>
        <v/>
      </c>
      <c r="O751" s="1" t="str">
        <f t="shared" si="62"/>
        <v>Starter</v>
      </c>
      <c r="P751" t="str">
        <f>TEXT(B751, "mmmm")</f>
        <v>September</v>
      </c>
      <c r="Q751" t="str">
        <f t="shared" si="63"/>
        <v>Q3</v>
      </c>
      <c r="R751" t="str">
        <f>IFERROR(VLOOKUP(TRIM(CLEAN(G751)),Sheet14!$A$2:$B$19,2,FALSE),"Not Mapped")</f>
        <v>West</v>
      </c>
    </row>
    <row r="752" spans="1:18">
      <c r="A752" t="str">
        <f t="shared" si="61"/>
        <v>EOS0751</v>
      </c>
      <c r="B752" s="35">
        <v>45912</v>
      </c>
      <c r="C752" s="1" t="s">
        <v>267</v>
      </c>
      <c r="D752" s="1" t="str">
        <f t="shared" si="67"/>
        <v>FB</v>
      </c>
      <c r="E752" s="1" t="s">
        <v>1275</v>
      </c>
      <c r="F752" s="1" t="s">
        <v>607</v>
      </c>
      <c r="G752" s="1" t="s">
        <v>235</v>
      </c>
      <c r="H752" s="1" t="s">
        <v>149</v>
      </c>
      <c r="I752" s="1">
        <v>130000</v>
      </c>
      <c r="J752" s="45">
        <v>107750</v>
      </c>
      <c r="K752" s="1" t="str">
        <f>TRIM(Cleaned_CRM_Data!H752)</f>
        <v>Rejected</v>
      </c>
      <c r="L752" t="str">
        <f>IFERROR(VLOOKUP(K752, Status_Mapping!A:B, 2,), "Not Found")</f>
        <v>Rejected</v>
      </c>
      <c r="N752" s="29" t="str">
        <f>IF(M752="","",M752-B752)</f>
        <v/>
      </c>
      <c r="O752" s="1" t="str">
        <f t="shared" si="62"/>
        <v>Starter</v>
      </c>
      <c r="P752" t="str">
        <f>TEXT(B752, "mmmm")</f>
        <v>September</v>
      </c>
      <c r="Q752" t="str">
        <f t="shared" si="63"/>
        <v>Q3</v>
      </c>
      <c r="R752" t="str">
        <f>IFERROR(VLOOKUP(TRIM(CLEAN(G752)),Sheet14!$A$2:$B$19,2,FALSE),"Not Mapped")</f>
        <v>West</v>
      </c>
    </row>
    <row r="753" spans="1:18">
      <c r="A753" t="str">
        <f t="shared" si="61"/>
        <v>EOS0752</v>
      </c>
      <c r="B753" s="35">
        <v>45912</v>
      </c>
      <c r="C753" s="1" t="s">
        <v>267</v>
      </c>
      <c r="D753" s="1" t="str">
        <f t="shared" si="67"/>
        <v>FB</v>
      </c>
      <c r="E753" s="1" t="s">
        <v>1276</v>
      </c>
      <c r="F753" s="1"/>
      <c r="G753" s="1"/>
      <c r="H753" s="1" t="s">
        <v>149</v>
      </c>
      <c r="I753" s="1">
        <v>108000</v>
      </c>
      <c r="J753" s="45">
        <v>107751</v>
      </c>
      <c r="K753" s="1" t="str">
        <f>TRIM(Cleaned_CRM_Data!H753)</f>
        <v>Rejected</v>
      </c>
      <c r="L753" t="str">
        <f>IFERROR(VLOOKUP(K753, Status_Mapping!A:B, 2,), "Not Found")</f>
        <v>Rejected</v>
      </c>
      <c r="N753" s="29" t="str">
        <f>IF(M753="","",M753-B753)</f>
        <v/>
      </c>
      <c r="O753" s="1" t="str">
        <f t="shared" si="62"/>
        <v>Starter</v>
      </c>
      <c r="P753" t="str">
        <f>TEXT(B753, "mmmm")</f>
        <v>September</v>
      </c>
      <c r="Q753" t="str">
        <f t="shared" si="63"/>
        <v>Q3</v>
      </c>
      <c r="R753" t="str">
        <f>IFERROR(VLOOKUP(TRIM(CLEAN(G753)),Sheet14!$A$2:$B$19,2,FALSE),"Not Mapped")</f>
        <v>Not Mapped</v>
      </c>
    </row>
    <row r="754" spans="1:18">
      <c r="A754" t="str">
        <f t="shared" si="61"/>
        <v>EOS0753</v>
      </c>
      <c r="B754" s="35">
        <v>45912</v>
      </c>
      <c r="C754" s="1" t="s">
        <v>911</v>
      </c>
      <c r="D754" s="1"/>
      <c r="E754" s="1" t="s">
        <v>1277</v>
      </c>
      <c r="F754" s="1" t="s">
        <v>240</v>
      </c>
      <c r="G754" s="1" t="s">
        <v>240</v>
      </c>
      <c r="H754" s="1" t="s">
        <v>149</v>
      </c>
      <c r="I754" s="1">
        <v>108000</v>
      </c>
      <c r="J754" s="45">
        <v>107752</v>
      </c>
      <c r="K754" s="1" t="str">
        <f>TRIM(Cleaned_CRM_Data!H754)</f>
        <v>Rejected</v>
      </c>
      <c r="L754" t="str">
        <f>IFERROR(VLOOKUP(K754, Status_Mapping!A:B, 2,), "Not Found")</f>
        <v>Rejected</v>
      </c>
      <c r="N754" s="29" t="str">
        <f>IF(M754="","",M754-B754)</f>
        <v/>
      </c>
      <c r="O754" s="1" t="str">
        <f t="shared" si="62"/>
        <v>Starter</v>
      </c>
      <c r="P754" t="str">
        <f>TEXT(B754, "mmmm")</f>
        <v>September</v>
      </c>
      <c r="Q754" t="str">
        <f t="shared" si="63"/>
        <v>Q3</v>
      </c>
      <c r="R754" t="str">
        <f>IFERROR(VLOOKUP(TRIM(CLEAN(G754)),Sheet14!$A$2:$B$19,2,FALSE),"Not Mapped")</f>
        <v>North</v>
      </c>
    </row>
    <row r="755" spans="1:18">
      <c r="A755" t="str">
        <f t="shared" si="61"/>
        <v>EOS0754</v>
      </c>
      <c r="B755" s="35">
        <v>45912</v>
      </c>
      <c r="C755" s="1" t="s">
        <v>911</v>
      </c>
      <c r="D755" s="1"/>
      <c r="E755" s="1" t="s">
        <v>1278</v>
      </c>
      <c r="F755" s="1" t="s">
        <v>1279</v>
      </c>
      <c r="G755" s="1" t="s">
        <v>235</v>
      </c>
      <c r="H755" s="1" t="s">
        <v>149</v>
      </c>
      <c r="I755" s="1">
        <v>130000</v>
      </c>
      <c r="J755" s="45">
        <v>107753</v>
      </c>
      <c r="K755" s="1" t="str">
        <f>TRIM(Cleaned_CRM_Data!H755)</f>
        <v>Rejected</v>
      </c>
      <c r="L755" t="str">
        <f>IFERROR(VLOOKUP(K755, Status_Mapping!A:B, 2,), "Not Found")</f>
        <v>Rejected</v>
      </c>
      <c r="N755" s="29" t="str">
        <f>IF(M755="","",M755-B755)</f>
        <v/>
      </c>
      <c r="O755" s="1" t="str">
        <f t="shared" si="62"/>
        <v>Starter</v>
      </c>
      <c r="P755" t="str">
        <f>TEXT(B755, "mmmm")</f>
        <v>September</v>
      </c>
      <c r="Q755" t="str">
        <f t="shared" si="63"/>
        <v>Q3</v>
      </c>
      <c r="R755" t="str">
        <f>IFERROR(VLOOKUP(TRIM(CLEAN(G755)),Sheet14!$A$2:$B$19,2,FALSE),"Not Mapped")</f>
        <v>West</v>
      </c>
    </row>
    <row r="756" spans="1:18">
      <c r="A756" t="str">
        <f t="shared" si="61"/>
        <v>EOS0755</v>
      </c>
      <c r="B756" s="35">
        <v>45912</v>
      </c>
      <c r="C756" s="1" t="s">
        <v>267</v>
      </c>
      <c r="D756" s="1" t="str">
        <f t="shared" ref="D756:D817" si="68">TRIM(CLEAN(SUBSTITUTE(C756,CHAR(160),"")))</f>
        <v>FB</v>
      </c>
      <c r="E756" s="1" t="s">
        <v>1280</v>
      </c>
      <c r="F756" s="1" t="s">
        <v>350</v>
      </c>
      <c r="G756" s="1" t="s">
        <v>224</v>
      </c>
      <c r="H756" s="1" t="s">
        <v>149</v>
      </c>
      <c r="I756" s="1">
        <v>130000</v>
      </c>
      <c r="J756" s="45">
        <v>107754</v>
      </c>
      <c r="K756" s="1" t="str">
        <f>TRIM(Cleaned_CRM_Data!H756)</f>
        <v>Rejected</v>
      </c>
      <c r="L756" t="str">
        <f>IFERROR(VLOOKUP(K756, Status_Mapping!A:B, 2,), "Not Found")</f>
        <v>Rejected</v>
      </c>
      <c r="N756" s="29" t="str">
        <f>IF(M756="","",M756-B756)</f>
        <v/>
      </c>
      <c r="O756" s="1" t="str">
        <f t="shared" si="62"/>
        <v>Starter</v>
      </c>
      <c r="P756" t="str">
        <f>TEXT(B756, "mmmm")</f>
        <v>September</v>
      </c>
      <c r="Q756" t="str">
        <f t="shared" si="63"/>
        <v>Q3</v>
      </c>
      <c r="R756" t="str">
        <f>IFERROR(VLOOKUP(TRIM(CLEAN(G756)),Sheet14!$A$2:$B$19,2,FALSE),"Not Mapped")</f>
        <v>West</v>
      </c>
    </row>
    <row r="757" spans="1:18">
      <c r="A757" t="str">
        <f t="shared" si="61"/>
        <v>EOS0756</v>
      </c>
      <c r="B757" s="35">
        <v>45912</v>
      </c>
      <c r="C757" s="1" t="s">
        <v>267</v>
      </c>
      <c r="D757" s="1" t="str">
        <f t="shared" si="68"/>
        <v>FB</v>
      </c>
      <c r="E757" s="1" t="s">
        <v>1281</v>
      </c>
      <c r="F757" s="1" t="s">
        <v>645</v>
      </c>
      <c r="G757" s="1" t="s">
        <v>224</v>
      </c>
      <c r="H757" s="1" t="s">
        <v>149</v>
      </c>
      <c r="I757" s="1">
        <v>130000</v>
      </c>
      <c r="J757" s="45">
        <v>107755</v>
      </c>
      <c r="K757" s="1" t="str">
        <f>TRIM(Cleaned_CRM_Data!H757)</f>
        <v>Rejected</v>
      </c>
      <c r="L757" t="str">
        <f>IFERROR(VLOOKUP(K757, Status_Mapping!A:B, 2,), "Not Found")</f>
        <v>Rejected</v>
      </c>
      <c r="N757" s="29" t="str">
        <f>IF(M757="","",M757-B757)</f>
        <v/>
      </c>
      <c r="O757" s="1" t="str">
        <f t="shared" si="62"/>
        <v>Starter</v>
      </c>
      <c r="P757" t="str">
        <f>TEXT(B757, "mmmm")</f>
        <v>September</v>
      </c>
      <c r="Q757" t="str">
        <f t="shared" si="63"/>
        <v>Q3</v>
      </c>
      <c r="R757" t="str">
        <f>IFERROR(VLOOKUP(TRIM(CLEAN(G757)),Sheet14!$A$2:$B$19,2,FALSE),"Not Mapped")</f>
        <v>West</v>
      </c>
    </row>
    <row r="758" spans="1:18">
      <c r="A758" t="str">
        <f t="shared" si="61"/>
        <v>EOS0757</v>
      </c>
      <c r="B758" s="35">
        <v>45912</v>
      </c>
      <c r="C758" s="1" t="s">
        <v>267</v>
      </c>
      <c r="D758" s="1" t="str">
        <f t="shared" si="68"/>
        <v>FB</v>
      </c>
      <c r="E758" s="1" t="s">
        <v>1282</v>
      </c>
      <c r="F758" s="1" t="s">
        <v>429</v>
      </c>
      <c r="G758" s="1" t="s">
        <v>224</v>
      </c>
      <c r="H758" s="1" t="s">
        <v>149</v>
      </c>
      <c r="I758" s="1">
        <v>108000</v>
      </c>
      <c r="J758" s="45">
        <v>107756</v>
      </c>
      <c r="K758" s="1" t="str">
        <f>TRIM(Cleaned_CRM_Data!H758)</f>
        <v>Rejected</v>
      </c>
      <c r="L758" t="str">
        <f>IFERROR(VLOOKUP(K758, Status_Mapping!A:B, 2,), "Not Found")</f>
        <v>Rejected</v>
      </c>
      <c r="N758" s="29" t="str">
        <f>IF(M758="","",M758-B758)</f>
        <v/>
      </c>
      <c r="O758" s="1" t="str">
        <f t="shared" si="62"/>
        <v>Starter</v>
      </c>
      <c r="P758" t="str">
        <f>TEXT(B758, "mmmm")</f>
        <v>September</v>
      </c>
      <c r="Q758" t="str">
        <f t="shared" si="63"/>
        <v>Q3</v>
      </c>
      <c r="R758" t="str">
        <f>IFERROR(VLOOKUP(TRIM(CLEAN(G758)),Sheet14!$A$2:$B$19,2,FALSE),"Not Mapped")</f>
        <v>West</v>
      </c>
    </row>
    <row r="759" spans="1:18">
      <c r="A759" t="str">
        <f t="shared" si="61"/>
        <v>EOS0758</v>
      </c>
      <c r="B759" s="35">
        <v>45912</v>
      </c>
      <c r="C759" s="1" t="s">
        <v>267</v>
      </c>
      <c r="D759" s="1" t="str">
        <f t="shared" si="68"/>
        <v>FB</v>
      </c>
      <c r="E759" s="1" t="s">
        <v>1283</v>
      </c>
      <c r="F759" s="1" t="s">
        <v>1284</v>
      </c>
      <c r="G759" s="1" t="s">
        <v>224</v>
      </c>
      <c r="H759" s="1" t="s">
        <v>149</v>
      </c>
      <c r="I759" s="1">
        <v>177000</v>
      </c>
      <c r="J759" s="45">
        <v>107757</v>
      </c>
      <c r="K759" s="1" t="str">
        <f>TRIM(Cleaned_CRM_Data!H759)</f>
        <v>Rejected</v>
      </c>
      <c r="L759" t="str">
        <f>IFERROR(VLOOKUP(K759, Status_Mapping!A:B, 2,), "Not Found")</f>
        <v>Rejected</v>
      </c>
      <c r="N759" s="29" t="str">
        <f>IF(M759="","",M759-B759)</f>
        <v/>
      </c>
      <c r="O759" s="1" t="str">
        <f t="shared" si="62"/>
        <v>Growth</v>
      </c>
      <c r="P759" t="str">
        <f>TEXT(B759, "mmmm")</f>
        <v>September</v>
      </c>
      <c r="Q759" t="str">
        <f t="shared" si="63"/>
        <v>Q3</v>
      </c>
      <c r="R759" t="str">
        <f>IFERROR(VLOOKUP(TRIM(CLEAN(G759)),Sheet14!$A$2:$B$19,2,FALSE),"Not Mapped")</f>
        <v>West</v>
      </c>
    </row>
    <row r="760" spans="1:18">
      <c r="A760" t="str">
        <f t="shared" si="61"/>
        <v>EOS0759</v>
      </c>
      <c r="B760" s="35">
        <v>45912</v>
      </c>
      <c r="C760" s="1" t="s">
        <v>267</v>
      </c>
      <c r="D760" s="1" t="str">
        <f t="shared" si="68"/>
        <v>FB</v>
      </c>
      <c r="E760" s="1" t="s">
        <v>1285</v>
      </c>
      <c r="F760" s="1" t="s">
        <v>412</v>
      </c>
      <c r="G760" s="1" t="s">
        <v>224</v>
      </c>
      <c r="H760" s="1" t="s">
        <v>149</v>
      </c>
      <c r="I760" s="1">
        <v>130000</v>
      </c>
      <c r="J760" s="45">
        <v>107758</v>
      </c>
      <c r="K760" s="1" t="str">
        <f>TRIM(Cleaned_CRM_Data!H760)</f>
        <v>Rejected</v>
      </c>
      <c r="L760" t="str">
        <f>IFERROR(VLOOKUP(K760, Status_Mapping!A:B, 2,), "Not Found")</f>
        <v>Rejected</v>
      </c>
      <c r="N760" s="29" t="str">
        <f>IF(M760="","",M760-B760)</f>
        <v/>
      </c>
      <c r="O760" s="1" t="str">
        <f t="shared" si="62"/>
        <v>Starter</v>
      </c>
      <c r="P760" t="str">
        <f>TEXT(B760, "mmmm")</f>
        <v>September</v>
      </c>
      <c r="Q760" t="str">
        <f t="shared" si="63"/>
        <v>Q3</v>
      </c>
      <c r="R760" t="str">
        <f>IFERROR(VLOOKUP(TRIM(CLEAN(G760)),Sheet14!$A$2:$B$19,2,FALSE),"Not Mapped")</f>
        <v>West</v>
      </c>
    </row>
    <row r="761" spans="1:18">
      <c r="A761" t="str">
        <f t="shared" si="61"/>
        <v>EOS0760</v>
      </c>
      <c r="B761" s="35">
        <v>45912</v>
      </c>
      <c r="C761" s="1" t="s">
        <v>267</v>
      </c>
      <c r="D761" s="1" t="str">
        <f t="shared" si="68"/>
        <v>FB</v>
      </c>
      <c r="E761" s="1" t="s">
        <v>1286</v>
      </c>
      <c r="F761" s="5" t="s">
        <v>1287</v>
      </c>
      <c r="G761" s="1" t="s">
        <v>224</v>
      </c>
      <c r="H761" s="1" t="s">
        <v>149</v>
      </c>
      <c r="I761" s="1">
        <v>108000</v>
      </c>
      <c r="J761" s="45">
        <v>107759</v>
      </c>
      <c r="K761" s="1" t="str">
        <f>TRIM(Cleaned_CRM_Data!H761)</f>
        <v>Rejected</v>
      </c>
      <c r="L761" t="str">
        <f>IFERROR(VLOOKUP(K761, Status_Mapping!A:B, 2,), "Not Found")</f>
        <v>Rejected</v>
      </c>
      <c r="N761" s="29" t="str">
        <f>IF(M761="","",M761-B761)</f>
        <v/>
      </c>
      <c r="O761" s="1" t="str">
        <f t="shared" si="62"/>
        <v>Starter</v>
      </c>
      <c r="P761" t="str">
        <f>TEXT(B761, "mmmm")</f>
        <v>September</v>
      </c>
      <c r="Q761" t="str">
        <f t="shared" si="63"/>
        <v>Q3</v>
      </c>
      <c r="R761" t="str">
        <f>IFERROR(VLOOKUP(TRIM(CLEAN(G761)),Sheet14!$A$2:$B$19,2,FALSE),"Not Mapped")</f>
        <v>West</v>
      </c>
    </row>
    <row r="762" spans="1:18">
      <c r="A762" t="str">
        <f t="shared" si="61"/>
        <v>EOS0761</v>
      </c>
      <c r="B762" s="35">
        <v>45912</v>
      </c>
      <c r="C762" s="1" t="s">
        <v>267</v>
      </c>
      <c r="D762" s="1" t="str">
        <f t="shared" si="68"/>
        <v>FB</v>
      </c>
      <c r="E762" s="1" t="s">
        <v>1288</v>
      </c>
      <c r="F762" s="1" t="s">
        <v>275</v>
      </c>
      <c r="G762" s="1" t="s">
        <v>224</v>
      </c>
      <c r="H762" s="1" t="s">
        <v>149</v>
      </c>
      <c r="I762" s="1">
        <v>130000</v>
      </c>
      <c r="J762" s="45">
        <v>107760</v>
      </c>
      <c r="K762" s="1" t="str">
        <f>TRIM(Cleaned_CRM_Data!H762)</f>
        <v>Rejected</v>
      </c>
      <c r="L762" t="str">
        <f>IFERROR(VLOOKUP(K762, Status_Mapping!A:B, 2,), "Not Found")</f>
        <v>Rejected</v>
      </c>
      <c r="N762" s="29" t="str">
        <f>IF(M762="","",M762-B762)</f>
        <v/>
      </c>
      <c r="O762" s="1" t="str">
        <f t="shared" si="62"/>
        <v>Starter</v>
      </c>
      <c r="P762" t="str">
        <f>TEXT(B762, "mmmm")</f>
        <v>September</v>
      </c>
      <c r="Q762" t="str">
        <f t="shared" si="63"/>
        <v>Q3</v>
      </c>
      <c r="R762" t="str">
        <f>IFERROR(VLOOKUP(TRIM(CLEAN(G762)),Sheet14!$A$2:$B$19,2,FALSE),"Not Mapped")</f>
        <v>West</v>
      </c>
    </row>
    <row r="763" spans="1:18">
      <c r="A763" t="str">
        <f t="shared" si="61"/>
        <v>EOS0762</v>
      </c>
      <c r="B763" s="35">
        <v>45912</v>
      </c>
      <c r="C763" s="1" t="s">
        <v>267</v>
      </c>
      <c r="D763" s="1" t="str">
        <f t="shared" si="68"/>
        <v>FB</v>
      </c>
      <c r="E763" s="1" t="s">
        <v>1289</v>
      </c>
      <c r="F763" s="1" t="s">
        <v>296</v>
      </c>
      <c r="G763" s="1" t="s">
        <v>224</v>
      </c>
      <c r="H763" s="1" t="s">
        <v>149</v>
      </c>
      <c r="I763" s="1">
        <v>130000</v>
      </c>
      <c r="J763" s="45">
        <v>107761</v>
      </c>
      <c r="K763" s="1" t="str">
        <f>TRIM(Cleaned_CRM_Data!H763)</f>
        <v>Rejected</v>
      </c>
      <c r="L763" t="str">
        <f>IFERROR(VLOOKUP(K763, Status_Mapping!A:B, 2,), "Not Found")</f>
        <v>Rejected</v>
      </c>
      <c r="N763" s="29" t="str">
        <f>IF(M763="","",M763-B763)</f>
        <v/>
      </c>
      <c r="O763" s="1" t="str">
        <f t="shared" si="62"/>
        <v>Starter</v>
      </c>
      <c r="P763" t="str">
        <f>TEXT(B763, "mmmm")</f>
        <v>September</v>
      </c>
      <c r="Q763" t="str">
        <f t="shared" si="63"/>
        <v>Q3</v>
      </c>
      <c r="R763" t="str">
        <f>IFERROR(VLOOKUP(TRIM(CLEAN(G763)),Sheet14!$A$2:$B$19,2,FALSE),"Not Mapped")</f>
        <v>West</v>
      </c>
    </row>
    <row r="764" spans="1:18">
      <c r="A764" t="str">
        <f t="shared" si="61"/>
        <v>EOS0763</v>
      </c>
      <c r="B764" s="35">
        <v>45913</v>
      </c>
      <c r="C764" s="1" t="s">
        <v>267</v>
      </c>
      <c r="D764" s="1" t="str">
        <f t="shared" si="68"/>
        <v>FB</v>
      </c>
      <c r="E764" s="1" t="s">
        <v>1290</v>
      </c>
      <c r="F764" s="1" t="s">
        <v>860</v>
      </c>
      <c r="G764" s="1" t="s">
        <v>224</v>
      </c>
      <c r="H764" s="1" t="s">
        <v>149</v>
      </c>
      <c r="I764" s="1">
        <v>130000</v>
      </c>
      <c r="J764" s="45">
        <v>107762</v>
      </c>
      <c r="K764" s="1" t="str">
        <f>TRIM(Cleaned_CRM_Data!H764)</f>
        <v>Rejected</v>
      </c>
      <c r="L764" t="str">
        <f>IFERROR(VLOOKUP(K764, Status_Mapping!A:B, 2,), "Not Found")</f>
        <v>Rejected</v>
      </c>
      <c r="N764" s="29" t="str">
        <f>IF(M764="","",M764-B764)</f>
        <v/>
      </c>
      <c r="O764" s="1" t="str">
        <f t="shared" si="62"/>
        <v>Starter</v>
      </c>
      <c r="P764" t="str">
        <f>TEXT(B764, "mmmm")</f>
        <v>September</v>
      </c>
      <c r="Q764" t="str">
        <f t="shared" si="63"/>
        <v>Q3</v>
      </c>
      <c r="R764" t="str">
        <f>IFERROR(VLOOKUP(TRIM(CLEAN(G764)),Sheet14!$A$2:$B$19,2,FALSE),"Not Mapped")</f>
        <v>West</v>
      </c>
    </row>
    <row r="765" spans="1:18">
      <c r="A765" t="str">
        <f t="shared" si="61"/>
        <v>EOS0764</v>
      </c>
      <c r="B765" s="35">
        <v>45913</v>
      </c>
      <c r="C765" s="1" t="s">
        <v>267</v>
      </c>
      <c r="D765" s="1" t="str">
        <f t="shared" si="68"/>
        <v>FB</v>
      </c>
      <c r="E765" s="1" t="s">
        <v>1291</v>
      </c>
      <c r="F765" s="1" t="s">
        <v>1292</v>
      </c>
      <c r="G765" s="1" t="s">
        <v>224</v>
      </c>
      <c r="H765" s="1" t="s">
        <v>149</v>
      </c>
      <c r="I765" s="1">
        <v>177000</v>
      </c>
      <c r="J765" s="45">
        <v>107763</v>
      </c>
      <c r="K765" s="1" t="str">
        <f>TRIM(Cleaned_CRM_Data!H765)</f>
        <v>Rejected</v>
      </c>
      <c r="L765" t="str">
        <f>IFERROR(VLOOKUP(K765, Status_Mapping!A:B, 2,), "Not Found")</f>
        <v>Rejected</v>
      </c>
      <c r="N765" s="29" t="str">
        <f>IF(M765="","",M765-B765)</f>
        <v/>
      </c>
      <c r="O765" s="1" t="str">
        <f t="shared" si="62"/>
        <v>Growth</v>
      </c>
      <c r="P765" t="str">
        <f>TEXT(B765, "mmmm")</f>
        <v>September</v>
      </c>
      <c r="Q765" t="str">
        <f t="shared" si="63"/>
        <v>Q3</v>
      </c>
      <c r="R765" t="str">
        <f>IFERROR(VLOOKUP(TRIM(CLEAN(G765)),Sheet14!$A$2:$B$19,2,FALSE),"Not Mapped")</f>
        <v>West</v>
      </c>
    </row>
    <row r="766" spans="1:18">
      <c r="A766" t="str">
        <f t="shared" si="61"/>
        <v>EOS0765</v>
      </c>
      <c r="B766" s="35">
        <v>45913</v>
      </c>
      <c r="C766" s="1" t="s">
        <v>267</v>
      </c>
      <c r="D766" s="1" t="str">
        <f t="shared" si="68"/>
        <v>FB</v>
      </c>
      <c r="E766" s="1" t="s">
        <v>1293</v>
      </c>
      <c r="F766" s="1"/>
      <c r="G766" s="1"/>
      <c r="H766" s="1" t="s">
        <v>149</v>
      </c>
      <c r="I766" s="1">
        <v>108000</v>
      </c>
      <c r="J766" s="45">
        <v>107764</v>
      </c>
      <c r="K766" s="1" t="str">
        <f>TRIM(Cleaned_CRM_Data!H766)</f>
        <v>Rejected</v>
      </c>
      <c r="L766" t="str">
        <f>IFERROR(VLOOKUP(K766, Status_Mapping!A:B, 2,), "Not Found")</f>
        <v>Rejected</v>
      </c>
      <c r="N766" s="29" t="str">
        <f>IF(M766="","",M766-B766)</f>
        <v/>
      </c>
      <c r="O766" s="1" t="str">
        <f t="shared" si="62"/>
        <v>Starter</v>
      </c>
      <c r="P766" t="str">
        <f>TEXT(B766, "mmmm")</f>
        <v>September</v>
      </c>
      <c r="Q766" t="str">
        <f t="shared" si="63"/>
        <v>Q3</v>
      </c>
      <c r="R766" t="str">
        <f>IFERROR(VLOOKUP(TRIM(CLEAN(G766)),Sheet14!$A$2:$B$19,2,FALSE),"Not Mapped")</f>
        <v>Not Mapped</v>
      </c>
    </row>
    <row r="767" spans="1:18">
      <c r="A767" t="str">
        <f t="shared" si="61"/>
        <v>EOS0766</v>
      </c>
      <c r="B767" s="35">
        <v>45913</v>
      </c>
      <c r="C767" s="4" t="s">
        <v>267</v>
      </c>
      <c r="D767" s="1" t="str">
        <f t="shared" si="68"/>
        <v>FB</v>
      </c>
      <c r="E767" s="1" t="s">
        <v>1294</v>
      </c>
      <c r="F767" s="1" t="s">
        <v>860</v>
      </c>
      <c r="G767" s="1" t="s">
        <v>223</v>
      </c>
      <c r="H767" s="1" t="s">
        <v>212</v>
      </c>
      <c r="I767" s="1">
        <v>130000</v>
      </c>
      <c r="J767" s="45">
        <v>107765</v>
      </c>
      <c r="K767" s="1" t="str">
        <f>TRIM(Cleaned_CRM_Data!H767)</f>
        <v>Deal</v>
      </c>
      <c r="L767" t="str">
        <f>IFERROR(VLOOKUP(K767, Status_Mapping!A:B, 2,), "Not Found")</f>
        <v>Converted</v>
      </c>
      <c r="M767" s="32">
        <v>45928</v>
      </c>
      <c r="N767" s="29">
        <f>IF(M767="","",M767-B767)</f>
        <v>15</v>
      </c>
      <c r="O767" s="1" t="str">
        <f t="shared" si="62"/>
        <v>Starter</v>
      </c>
      <c r="P767" t="str">
        <f>TEXT(B767, "mmmm")</f>
        <v>September</v>
      </c>
      <c r="Q767" t="str">
        <f t="shared" si="63"/>
        <v>Q3</v>
      </c>
      <c r="R767" t="str">
        <f>IFERROR(VLOOKUP(TRIM(CLEAN(G767)),Sheet14!$A$2:$B$19,2,FALSE),"Not Mapped")</f>
        <v>West</v>
      </c>
    </row>
    <row r="768" spans="1:18">
      <c r="A768" t="str">
        <f t="shared" si="61"/>
        <v>EOS0767</v>
      </c>
      <c r="B768" s="35">
        <v>45913</v>
      </c>
      <c r="C768" s="1" t="s">
        <v>267</v>
      </c>
      <c r="D768" s="1" t="str">
        <f t="shared" si="68"/>
        <v>FB</v>
      </c>
      <c r="E768" s="1" t="s">
        <v>1295</v>
      </c>
      <c r="F768" s="1" t="s">
        <v>283</v>
      </c>
      <c r="G768" s="1" t="s">
        <v>224</v>
      </c>
      <c r="H768" s="1" t="s">
        <v>149</v>
      </c>
      <c r="I768" s="1">
        <v>130000</v>
      </c>
      <c r="J768" s="45">
        <v>107766</v>
      </c>
      <c r="K768" s="1" t="str">
        <f>TRIM(Cleaned_CRM_Data!H768)</f>
        <v>Rejected</v>
      </c>
      <c r="L768" t="str">
        <f>IFERROR(VLOOKUP(K768, Status_Mapping!A:B, 2,), "Not Found")</f>
        <v>Rejected</v>
      </c>
      <c r="N768" s="29" t="str">
        <f>IF(M768="","",M768-B768)</f>
        <v/>
      </c>
      <c r="O768" s="1" t="str">
        <f t="shared" si="62"/>
        <v>Starter</v>
      </c>
      <c r="P768" t="str">
        <f>TEXT(B768, "mmmm")</f>
        <v>September</v>
      </c>
      <c r="Q768" t="str">
        <f t="shared" si="63"/>
        <v>Q3</v>
      </c>
      <c r="R768" t="str">
        <f>IFERROR(VLOOKUP(TRIM(CLEAN(G768)),Sheet14!$A$2:$B$19,2,FALSE),"Not Mapped")</f>
        <v>West</v>
      </c>
    </row>
    <row r="769" spans="1:18">
      <c r="A769" t="str">
        <f t="shared" si="61"/>
        <v>EOS0768</v>
      </c>
      <c r="B769" s="35">
        <v>45913</v>
      </c>
      <c r="C769" s="1" t="s">
        <v>267</v>
      </c>
      <c r="D769" s="1" t="str">
        <f t="shared" si="68"/>
        <v>FB</v>
      </c>
      <c r="E769" s="1" t="s">
        <v>1296</v>
      </c>
      <c r="F769" s="1" t="s">
        <v>601</v>
      </c>
      <c r="G769" s="1" t="s">
        <v>224</v>
      </c>
      <c r="H769" s="1" t="s">
        <v>149</v>
      </c>
      <c r="I769" s="1">
        <v>108000</v>
      </c>
      <c r="J769" s="45">
        <v>107767</v>
      </c>
      <c r="K769" s="1" t="str">
        <f>TRIM(Cleaned_CRM_Data!H769)</f>
        <v>Rejected</v>
      </c>
      <c r="L769" t="str">
        <f>IFERROR(VLOOKUP(K769, Status_Mapping!A:B, 2,), "Not Found")</f>
        <v>Rejected</v>
      </c>
      <c r="N769" s="29" t="str">
        <f>IF(M769="","",M769-B769)</f>
        <v/>
      </c>
      <c r="O769" s="1" t="str">
        <f t="shared" si="62"/>
        <v>Starter</v>
      </c>
      <c r="P769" t="str">
        <f>TEXT(B769, "mmmm")</f>
        <v>September</v>
      </c>
      <c r="Q769" t="str">
        <f t="shared" si="63"/>
        <v>Q3</v>
      </c>
      <c r="R769" t="str">
        <f>IFERROR(VLOOKUP(TRIM(CLEAN(G769)),Sheet14!$A$2:$B$19,2,FALSE),"Not Mapped")</f>
        <v>West</v>
      </c>
    </row>
    <row r="770" spans="1:18">
      <c r="A770" t="str">
        <f t="shared" si="61"/>
        <v>EOS0769</v>
      </c>
      <c r="B770" s="35">
        <v>45915</v>
      </c>
      <c r="C770" s="1" t="s">
        <v>267</v>
      </c>
      <c r="D770" s="1" t="str">
        <f t="shared" si="68"/>
        <v>FB</v>
      </c>
      <c r="E770" s="1" t="s">
        <v>1297</v>
      </c>
      <c r="F770" s="1" t="s">
        <v>412</v>
      </c>
      <c r="G770" s="1" t="s">
        <v>224</v>
      </c>
      <c r="H770" s="1" t="s">
        <v>149</v>
      </c>
      <c r="I770" s="1">
        <v>130000</v>
      </c>
      <c r="J770" s="45">
        <v>107768</v>
      </c>
      <c r="K770" s="1" t="str">
        <f>TRIM(Cleaned_CRM_Data!H770)</f>
        <v>Rejected</v>
      </c>
      <c r="L770" t="str">
        <f>IFERROR(VLOOKUP(K770, Status_Mapping!A:B, 2,), "Not Found")</f>
        <v>Rejected</v>
      </c>
      <c r="N770" s="29" t="str">
        <f>IF(M770="","",M770-B770)</f>
        <v/>
      </c>
      <c r="O770" s="1" t="str">
        <f t="shared" si="62"/>
        <v>Starter</v>
      </c>
      <c r="P770" t="str">
        <f>TEXT(B770, "mmmm")</f>
        <v>September</v>
      </c>
      <c r="Q770" t="str">
        <f t="shared" si="63"/>
        <v>Q3</v>
      </c>
      <c r="R770" t="str">
        <f>IFERROR(VLOOKUP(TRIM(CLEAN(G770)),Sheet14!$A$2:$B$19,2,FALSE),"Not Mapped")</f>
        <v>West</v>
      </c>
    </row>
    <row r="771" spans="1:18">
      <c r="A771" t="str">
        <f t="shared" ref="A771:A834" si="69">"EOS"&amp;TEXT(ROW()-1,"0000")</f>
        <v>EOS0770</v>
      </c>
      <c r="B771" s="35">
        <v>45915</v>
      </c>
      <c r="C771" s="1" t="s">
        <v>267</v>
      </c>
      <c r="D771" s="1" t="str">
        <f t="shared" si="68"/>
        <v>FB</v>
      </c>
      <c r="E771" s="1" t="s">
        <v>1298</v>
      </c>
      <c r="F771" s="1" t="s">
        <v>412</v>
      </c>
      <c r="G771" s="1" t="s">
        <v>224</v>
      </c>
      <c r="H771" s="1" t="s">
        <v>149</v>
      </c>
      <c r="I771" s="1">
        <v>130000</v>
      </c>
      <c r="J771" s="45">
        <v>107769</v>
      </c>
      <c r="K771" s="1" t="str">
        <f>TRIM(Cleaned_CRM_Data!H771)</f>
        <v>Rejected</v>
      </c>
      <c r="L771" t="str">
        <f>IFERROR(VLOOKUP(K771, Status_Mapping!A:B, 2,), "Not Found")</f>
        <v>Rejected</v>
      </c>
      <c r="N771" s="29" t="str">
        <f>IF(M771="","",M771-B771)</f>
        <v/>
      </c>
      <c r="O771" s="1" t="str">
        <f t="shared" ref="O771:O834" si="70">IF(OR(I771=108000,I771=130000),"Starter",IF(I771=177000,"Growth","Premium"))</f>
        <v>Starter</v>
      </c>
      <c r="P771" t="str">
        <f>TEXT(B771, "mmmm")</f>
        <v>September</v>
      </c>
      <c r="Q771" t="str">
        <f t="shared" ref="Q771:Q834" si="71">"Q"&amp;ROUNDUP(MONTH(B771)/3,0)</f>
        <v>Q3</v>
      </c>
      <c r="R771" t="str">
        <f>IFERROR(VLOOKUP(TRIM(CLEAN(G771)),Sheet14!$A$2:$B$19,2,FALSE),"Not Mapped")</f>
        <v>West</v>
      </c>
    </row>
    <row r="772" spans="1:18">
      <c r="A772" t="str">
        <f t="shared" si="69"/>
        <v>EOS0771</v>
      </c>
      <c r="B772" s="35">
        <v>45915</v>
      </c>
      <c r="C772" s="1" t="s">
        <v>267</v>
      </c>
      <c r="D772" s="1" t="str">
        <f t="shared" si="68"/>
        <v>FB</v>
      </c>
      <c r="E772" s="1" t="s">
        <v>1299</v>
      </c>
      <c r="F772" s="1" t="s">
        <v>778</v>
      </c>
      <c r="G772" s="1" t="s">
        <v>224</v>
      </c>
      <c r="H772" s="1" t="s">
        <v>149</v>
      </c>
      <c r="I772" s="1">
        <v>108000</v>
      </c>
      <c r="J772" s="45">
        <v>107770</v>
      </c>
      <c r="K772" s="1" t="str">
        <f>TRIM(Cleaned_CRM_Data!H772)</f>
        <v>Rejected</v>
      </c>
      <c r="L772" t="str">
        <f>IFERROR(VLOOKUP(K772, Status_Mapping!A:B, 2,), "Not Found")</f>
        <v>Rejected</v>
      </c>
      <c r="N772" s="29" t="str">
        <f>IF(M772="","",M772-B772)</f>
        <v/>
      </c>
      <c r="O772" s="1" t="str">
        <f t="shared" si="70"/>
        <v>Starter</v>
      </c>
      <c r="P772" t="str">
        <f>TEXT(B772, "mmmm")</f>
        <v>September</v>
      </c>
      <c r="Q772" t="str">
        <f t="shared" si="71"/>
        <v>Q3</v>
      </c>
      <c r="R772" t="str">
        <f>IFERROR(VLOOKUP(TRIM(CLEAN(G772)),Sheet14!$A$2:$B$19,2,FALSE),"Not Mapped")</f>
        <v>West</v>
      </c>
    </row>
    <row r="773" spans="1:18">
      <c r="A773" t="str">
        <f t="shared" si="69"/>
        <v>EOS0772</v>
      </c>
      <c r="B773" s="35">
        <v>45915</v>
      </c>
      <c r="C773" s="1" t="s">
        <v>267</v>
      </c>
      <c r="D773" s="1" t="str">
        <f t="shared" si="68"/>
        <v>FB</v>
      </c>
      <c r="E773" s="1" t="s">
        <v>1020</v>
      </c>
      <c r="F773" s="1"/>
      <c r="G773" s="1" t="s">
        <v>224</v>
      </c>
      <c r="H773" s="1" t="s">
        <v>149</v>
      </c>
      <c r="I773" s="1">
        <v>108000</v>
      </c>
      <c r="J773" s="45">
        <v>107771</v>
      </c>
      <c r="K773" s="1" t="str">
        <f>TRIM(Cleaned_CRM_Data!H773)</f>
        <v>Rejected</v>
      </c>
      <c r="L773" t="str">
        <f>IFERROR(VLOOKUP(K773, Status_Mapping!A:B, 2,), "Not Found")</f>
        <v>Rejected</v>
      </c>
      <c r="N773" s="29" t="str">
        <f>IF(M773="","",M773-B773)</f>
        <v/>
      </c>
      <c r="O773" s="1" t="str">
        <f t="shared" si="70"/>
        <v>Starter</v>
      </c>
      <c r="P773" t="str">
        <f>TEXT(B773, "mmmm")</f>
        <v>September</v>
      </c>
      <c r="Q773" t="str">
        <f t="shared" si="71"/>
        <v>Q3</v>
      </c>
      <c r="R773" t="str">
        <f>IFERROR(VLOOKUP(TRIM(CLEAN(G773)),Sheet14!$A$2:$B$19,2,FALSE),"Not Mapped")</f>
        <v>West</v>
      </c>
    </row>
    <row r="774" spans="1:18">
      <c r="A774" t="str">
        <f t="shared" si="69"/>
        <v>EOS0773</v>
      </c>
      <c r="B774" s="35">
        <v>45915</v>
      </c>
      <c r="C774" s="1" t="s">
        <v>267</v>
      </c>
      <c r="D774" s="1" t="str">
        <f t="shared" si="68"/>
        <v>FB</v>
      </c>
      <c r="E774" s="1" t="s">
        <v>1300</v>
      </c>
      <c r="F774" s="1"/>
      <c r="G774" s="1" t="s">
        <v>224</v>
      </c>
      <c r="H774" s="1" t="s">
        <v>149</v>
      </c>
      <c r="I774" s="1">
        <v>108000</v>
      </c>
      <c r="J774" s="45">
        <v>107772</v>
      </c>
      <c r="K774" s="1" t="str">
        <f>TRIM(Cleaned_CRM_Data!H774)</f>
        <v>Rejected</v>
      </c>
      <c r="L774" t="str">
        <f>IFERROR(VLOOKUP(K774, Status_Mapping!A:B, 2,), "Not Found")</f>
        <v>Rejected</v>
      </c>
      <c r="N774" s="29" t="str">
        <f>IF(M774="","",M774-B774)</f>
        <v/>
      </c>
      <c r="O774" s="1" t="str">
        <f t="shared" si="70"/>
        <v>Starter</v>
      </c>
      <c r="P774" t="str">
        <f>TEXT(B774, "mmmm")</f>
        <v>September</v>
      </c>
      <c r="Q774" t="str">
        <f t="shared" si="71"/>
        <v>Q3</v>
      </c>
      <c r="R774" t="str">
        <f>IFERROR(VLOOKUP(TRIM(CLEAN(G774)),Sheet14!$A$2:$B$19,2,FALSE),"Not Mapped")</f>
        <v>West</v>
      </c>
    </row>
    <row r="775" spans="1:18">
      <c r="A775" t="str">
        <f t="shared" si="69"/>
        <v>EOS0774</v>
      </c>
      <c r="B775" s="35">
        <v>45915</v>
      </c>
      <c r="C775" s="1" t="s">
        <v>267</v>
      </c>
      <c r="D775" s="1" t="str">
        <f t="shared" si="68"/>
        <v>FB</v>
      </c>
      <c r="E775" s="1" t="s">
        <v>1301</v>
      </c>
      <c r="F775" s="1"/>
      <c r="G775" s="1" t="s">
        <v>224</v>
      </c>
      <c r="H775" s="1" t="s">
        <v>149</v>
      </c>
      <c r="I775" s="1">
        <v>108000</v>
      </c>
      <c r="J775" s="45">
        <v>107773</v>
      </c>
      <c r="K775" s="1" t="str">
        <f>TRIM(Cleaned_CRM_Data!H775)</f>
        <v>Rejected</v>
      </c>
      <c r="L775" t="str">
        <f>IFERROR(VLOOKUP(K775, Status_Mapping!A:B, 2,), "Not Found")</f>
        <v>Rejected</v>
      </c>
      <c r="N775" s="29" t="str">
        <f>IF(M775="","",M775-B775)</f>
        <v/>
      </c>
      <c r="O775" s="1" t="str">
        <f t="shared" si="70"/>
        <v>Starter</v>
      </c>
      <c r="P775" t="str">
        <f>TEXT(B775, "mmmm")</f>
        <v>September</v>
      </c>
      <c r="Q775" t="str">
        <f t="shared" si="71"/>
        <v>Q3</v>
      </c>
      <c r="R775" t="str">
        <f>IFERROR(VLOOKUP(TRIM(CLEAN(G775)),Sheet14!$A$2:$B$19,2,FALSE),"Not Mapped")</f>
        <v>West</v>
      </c>
    </row>
    <row r="776" spans="1:18">
      <c r="A776" t="str">
        <f t="shared" si="69"/>
        <v>EOS0775</v>
      </c>
      <c r="B776" s="35">
        <v>45915</v>
      </c>
      <c r="C776" s="1" t="s">
        <v>267</v>
      </c>
      <c r="D776" s="1" t="str">
        <f t="shared" si="68"/>
        <v>FB</v>
      </c>
      <c r="E776" s="1" t="s">
        <v>1302</v>
      </c>
      <c r="F776" s="1" t="s">
        <v>1303</v>
      </c>
      <c r="G776" s="1" t="s">
        <v>224</v>
      </c>
      <c r="H776" s="1" t="s">
        <v>149</v>
      </c>
      <c r="I776" s="1">
        <v>130000</v>
      </c>
      <c r="J776" s="45">
        <v>107774</v>
      </c>
      <c r="K776" s="1" t="str">
        <f>TRIM(Cleaned_CRM_Data!H776)</f>
        <v>Rejected</v>
      </c>
      <c r="L776" t="str">
        <f>IFERROR(VLOOKUP(K776, Status_Mapping!A:B, 2,), "Not Found")</f>
        <v>Rejected</v>
      </c>
      <c r="N776" s="29" t="str">
        <f>IF(M776="","",M776-B776)</f>
        <v/>
      </c>
      <c r="O776" s="1" t="str">
        <f t="shared" si="70"/>
        <v>Starter</v>
      </c>
      <c r="P776" t="str">
        <f>TEXT(B776, "mmmm")</f>
        <v>September</v>
      </c>
      <c r="Q776" t="str">
        <f t="shared" si="71"/>
        <v>Q3</v>
      </c>
      <c r="R776" t="str">
        <f>IFERROR(VLOOKUP(TRIM(CLEAN(G776)),Sheet14!$A$2:$B$19,2,FALSE),"Not Mapped")</f>
        <v>West</v>
      </c>
    </row>
    <row r="777" spans="1:18">
      <c r="A777" t="str">
        <f t="shared" si="69"/>
        <v>EOS0776</v>
      </c>
      <c r="B777" s="35">
        <v>45915</v>
      </c>
      <c r="C777" s="1" t="s">
        <v>267</v>
      </c>
      <c r="D777" s="1" t="str">
        <f t="shared" si="68"/>
        <v>FB</v>
      </c>
      <c r="E777" s="1" t="s">
        <v>1304</v>
      </c>
      <c r="F777" s="1"/>
      <c r="G777" s="1" t="s">
        <v>224</v>
      </c>
      <c r="H777" s="1" t="s">
        <v>149</v>
      </c>
      <c r="I777" s="1">
        <v>177000</v>
      </c>
      <c r="J777" s="45">
        <v>107775</v>
      </c>
      <c r="K777" s="1" t="str">
        <f>TRIM(Cleaned_CRM_Data!H777)</f>
        <v>Rejected</v>
      </c>
      <c r="L777" t="str">
        <f>IFERROR(VLOOKUP(K777, Status_Mapping!A:B, 2,), "Not Found")</f>
        <v>Rejected</v>
      </c>
      <c r="N777" s="29" t="str">
        <f>IF(M777="","",M777-B777)</f>
        <v/>
      </c>
      <c r="O777" s="1" t="str">
        <f t="shared" si="70"/>
        <v>Growth</v>
      </c>
      <c r="P777" t="str">
        <f>TEXT(B777, "mmmm")</f>
        <v>September</v>
      </c>
      <c r="Q777" t="str">
        <f t="shared" si="71"/>
        <v>Q3</v>
      </c>
      <c r="R777" t="str">
        <f>IFERROR(VLOOKUP(TRIM(CLEAN(G777)),Sheet14!$A$2:$B$19,2,FALSE),"Not Mapped")</f>
        <v>West</v>
      </c>
    </row>
    <row r="778" spans="1:18">
      <c r="A778" t="str">
        <f t="shared" si="69"/>
        <v>EOS0777</v>
      </c>
      <c r="B778" s="35">
        <v>45916</v>
      </c>
      <c r="C778" s="1" t="s">
        <v>267</v>
      </c>
      <c r="D778" s="1" t="str">
        <f t="shared" si="68"/>
        <v>FB</v>
      </c>
      <c r="E778" s="1" t="s">
        <v>1305</v>
      </c>
      <c r="F778" s="1" t="s">
        <v>275</v>
      </c>
      <c r="G778" s="1" t="s">
        <v>224</v>
      </c>
      <c r="H778" s="1" t="s">
        <v>149</v>
      </c>
      <c r="I778" s="1">
        <v>108000</v>
      </c>
      <c r="J778" s="45">
        <v>107776</v>
      </c>
      <c r="K778" s="1" t="str">
        <f>TRIM(Cleaned_CRM_Data!H778)</f>
        <v>Rejected</v>
      </c>
      <c r="L778" t="str">
        <f>IFERROR(VLOOKUP(K778, Status_Mapping!A:B, 2,), "Not Found")</f>
        <v>Rejected</v>
      </c>
      <c r="N778" s="29" t="str">
        <f>IF(M778="","",M778-B778)</f>
        <v/>
      </c>
      <c r="O778" s="1" t="str">
        <f t="shared" si="70"/>
        <v>Starter</v>
      </c>
      <c r="P778" t="str">
        <f>TEXT(B778, "mmmm")</f>
        <v>September</v>
      </c>
      <c r="Q778" t="str">
        <f t="shared" si="71"/>
        <v>Q3</v>
      </c>
      <c r="R778" t="str">
        <f>IFERROR(VLOOKUP(TRIM(CLEAN(G778)),Sheet14!$A$2:$B$19,2,FALSE),"Not Mapped")</f>
        <v>West</v>
      </c>
    </row>
    <row r="779" spans="1:18">
      <c r="A779" t="str">
        <f t="shared" si="69"/>
        <v>EOS0778</v>
      </c>
      <c r="B779" s="35">
        <v>45916</v>
      </c>
      <c r="C779" s="1" t="s">
        <v>267</v>
      </c>
      <c r="D779" s="1" t="str">
        <f t="shared" si="68"/>
        <v>FB</v>
      </c>
      <c r="E779" s="1" t="s">
        <v>1219</v>
      </c>
      <c r="F779" s="1"/>
      <c r="G779" s="1" t="s">
        <v>224</v>
      </c>
      <c r="H779" s="1" t="s">
        <v>149</v>
      </c>
      <c r="I779" s="1">
        <v>130000</v>
      </c>
      <c r="J779" s="45">
        <v>107777</v>
      </c>
      <c r="K779" s="1" t="str">
        <f>TRIM(Cleaned_CRM_Data!H779)</f>
        <v>Rejected</v>
      </c>
      <c r="L779" t="str">
        <f>IFERROR(VLOOKUP(K779, Status_Mapping!A:B, 2,), "Not Found")</f>
        <v>Rejected</v>
      </c>
      <c r="N779" s="29" t="str">
        <f>IF(M779="","",M779-B779)</f>
        <v/>
      </c>
      <c r="O779" s="1" t="str">
        <f t="shared" si="70"/>
        <v>Starter</v>
      </c>
      <c r="P779" t="str">
        <f>TEXT(B779, "mmmm")</f>
        <v>September</v>
      </c>
      <c r="Q779" t="str">
        <f t="shared" si="71"/>
        <v>Q3</v>
      </c>
      <c r="R779" t="str">
        <f>IFERROR(VLOOKUP(TRIM(CLEAN(G779)),Sheet14!$A$2:$B$19,2,FALSE),"Not Mapped")</f>
        <v>West</v>
      </c>
    </row>
    <row r="780" spans="1:18">
      <c r="A780" t="str">
        <f t="shared" si="69"/>
        <v>EOS0779</v>
      </c>
      <c r="B780" s="35">
        <v>45916</v>
      </c>
      <c r="C780" s="1" t="s">
        <v>267</v>
      </c>
      <c r="D780" s="1" t="str">
        <f t="shared" si="68"/>
        <v>FB</v>
      </c>
      <c r="E780" s="1" t="s">
        <v>1095</v>
      </c>
      <c r="F780" s="1"/>
      <c r="G780" s="1" t="s">
        <v>224</v>
      </c>
      <c r="H780" s="1" t="s">
        <v>149</v>
      </c>
      <c r="I780" s="1">
        <v>130000</v>
      </c>
      <c r="J780" s="45">
        <v>107778</v>
      </c>
      <c r="K780" s="1" t="str">
        <f>TRIM(Cleaned_CRM_Data!H780)</f>
        <v>Rejected</v>
      </c>
      <c r="L780" t="str">
        <f>IFERROR(VLOOKUP(K780, Status_Mapping!A:B, 2,), "Not Found")</f>
        <v>Rejected</v>
      </c>
      <c r="N780" s="29" t="str">
        <f>IF(M780="","",M780-B780)</f>
        <v/>
      </c>
      <c r="O780" s="1" t="str">
        <f t="shared" si="70"/>
        <v>Starter</v>
      </c>
      <c r="P780" t="str">
        <f>TEXT(B780, "mmmm")</f>
        <v>September</v>
      </c>
      <c r="Q780" t="str">
        <f t="shared" si="71"/>
        <v>Q3</v>
      </c>
      <c r="R780" t="str">
        <f>IFERROR(VLOOKUP(TRIM(CLEAN(G780)),Sheet14!$A$2:$B$19,2,FALSE),"Not Mapped")</f>
        <v>West</v>
      </c>
    </row>
    <row r="781" spans="1:18">
      <c r="A781" t="str">
        <f t="shared" si="69"/>
        <v>EOS0780</v>
      </c>
      <c r="B781" s="35">
        <v>45918</v>
      </c>
      <c r="C781" s="1" t="s">
        <v>267</v>
      </c>
      <c r="D781" s="1" t="str">
        <f t="shared" si="68"/>
        <v>FB</v>
      </c>
      <c r="E781" s="1" t="s">
        <v>1306</v>
      </c>
      <c r="F781" s="1" t="s">
        <v>412</v>
      </c>
      <c r="G781" s="1" t="s">
        <v>224</v>
      </c>
      <c r="H781" s="1" t="s">
        <v>149</v>
      </c>
      <c r="I781" s="1">
        <v>130000</v>
      </c>
      <c r="J781" s="45">
        <v>107779</v>
      </c>
      <c r="K781" s="1" t="str">
        <f>TRIM(Cleaned_CRM_Data!H781)</f>
        <v>Rejected</v>
      </c>
      <c r="L781" t="str">
        <f>IFERROR(VLOOKUP(K781, Status_Mapping!A:B, 2,), "Not Found")</f>
        <v>Rejected</v>
      </c>
      <c r="N781" s="29" t="str">
        <f>IF(M781="","",M781-B781)</f>
        <v/>
      </c>
      <c r="O781" s="1" t="str">
        <f t="shared" si="70"/>
        <v>Starter</v>
      </c>
      <c r="P781" t="str">
        <f>TEXT(B781, "mmmm")</f>
        <v>September</v>
      </c>
      <c r="Q781" t="str">
        <f t="shared" si="71"/>
        <v>Q3</v>
      </c>
      <c r="R781" t="str">
        <f>IFERROR(VLOOKUP(TRIM(CLEAN(G781)),Sheet14!$A$2:$B$19,2,FALSE),"Not Mapped")</f>
        <v>West</v>
      </c>
    </row>
    <row r="782" spans="1:18">
      <c r="A782" t="str">
        <f t="shared" si="69"/>
        <v>EOS0781</v>
      </c>
      <c r="B782" s="35">
        <v>45918</v>
      </c>
      <c r="C782" s="1" t="s">
        <v>267</v>
      </c>
      <c r="D782" s="1" t="str">
        <f t="shared" si="68"/>
        <v>FB</v>
      </c>
      <c r="E782" s="1" t="s">
        <v>1307</v>
      </c>
      <c r="F782" s="1"/>
      <c r="G782" s="1" t="s">
        <v>224</v>
      </c>
      <c r="H782" s="1" t="s">
        <v>149</v>
      </c>
      <c r="I782" s="1">
        <v>130000</v>
      </c>
      <c r="J782" s="45">
        <v>107780</v>
      </c>
      <c r="K782" s="1" t="str">
        <f>TRIM(Cleaned_CRM_Data!H782)</f>
        <v>Rejected</v>
      </c>
      <c r="L782" t="str">
        <f>IFERROR(VLOOKUP(K782, Status_Mapping!A:B, 2,), "Not Found")</f>
        <v>Rejected</v>
      </c>
      <c r="N782" s="29" t="str">
        <f>IF(M782="","",M782-B782)</f>
        <v/>
      </c>
      <c r="O782" s="1" t="str">
        <f t="shared" si="70"/>
        <v>Starter</v>
      </c>
      <c r="P782" t="str">
        <f>TEXT(B782, "mmmm")</f>
        <v>September</v>
      </c>
      <c r="Q782" t="str">
        <f t="shared" si="71"/>
        <v>Q3</v>
      </c>
      <c r="R782" t="str">
        <f>IFERROR(VLOOKUP(TRIM(CLEAN(G782)),Sheet14!$A$2:$B$19,2,FALSE),"Not Mapped")</f>
        <v>West</v>
      </c>
    </row>
    <row r="783" spans="1:18">
      <c r="A783" t="str">
        <f t="shared" si="69"/>
        <v>EOS0782</v>
      </c>
      <c r="B783" s="35">
        <v>45918</v>
      </c>
      <c r="C783" s="1" t="s">
        <v>267</v>
      </c>
      <c r="D783" s="1" t="str">
        <f t="shared" si="68"/>
        <v>FB</v>
      </c>
      <c r="E783" s="1" t="s">
        <v>1308</v>
      </c>
      <c r="F783" s="1"/>
      <c r="G783" s="1" t="s">
        <v>224</v>
      </c>
      <c r="H783" s="1" t="s">
        <v>149</v>
      </c>
      <c r="I783" s="1">
        <v>130000</v>
      </c>
      <c r="J783" s="45">
        <v>107781</v>
      </c>
      <c r="K783" s="1" t="str">
        <f>TRIM(Cleaned_CRM_Data!H783)</f>
        <v>Rejected</v>
      </c>
      <c r="L783" t="str">
        <f>IFERROR(VLOOKUP(K783, Status_Mapping!A:B, 2,), "Not Found")</f>
        <v>Rejected</v>
      </c>
      <c r="N783" s="29" t="str">
        <f>IF(M783="","",M783-B783)</f>
        <v/>
      </c>
      <c r="O783" s="1" t="str">
        <f t="shared" si="70"/>
        <v>Starter</v>
      </c>
      <c r="P783" t="str">
        <f>TEXT(B783, "mmmm")</f>
        <v>September</v>
      </c>
      <c r="Q783" t="str">
        <f t="shared" si="71"/>
        <v>Q3</v>
      </c>
      <c r="R783" t="str">
        <f>IFERROR(VLOOKUP(TRIM(CLEAN(G783)),Sheet14!$A$2:$B$19,2,FALSE),"Not Mapped")</f>
        <v>West</v>
      </c>
    </row>
    <row r="784" spans="1:18">
      <c r="A784" t="str">
        <f t="shared" si="69"/>
        <v>EOS0783</v>
      </c>
      <c r="B784" s="35">
        <v>45919</v>
      </c>
      <c r="C784" s="1" t="s">
        <v>267</v>
      </c>
      <c r="D784" s="1" t="str">
        <f t="shared" si="68"/>
        <v>FB</v>
      </c>
      <c r="E784" s="1" t="s">
        <v>1309</v>
      </c>
      <c r="F784" s="1" t="s">
        <v>860</v>
      </c>
      <c r="G784" s="1" t="s">
        <v>224</v>
      </c>
      <c r="H784" s="1" t="s">
        <v>149</v>
      </c>
      <c r="I784" s="1">
        <v>177000</v>
      </c>
      <c r="J784" s="45">
        <v>107782</v>
      </c>
      <c r="K784" s="1" t="str">
        <f>TRIM(Cleaned_CRM_Data!H784)</f>
        <v>Rejected</v>
      </c>
      <c r="L784" t="str">
        <f>IFERROR(VLOOKUP(K784, Status_Mapping!A:B, 2,), "Not Found")</f>
        <v>Rejected</v>
      </c>
      <c r="N784" s="29" t="str">
        <f>IF(M784="","",M784-B784)</f>
        <v/>
      </c>
      <c r="O784" s="1" t="str">
        <f t="shared" si="70"/>
        <v>Growth</v>
      </c>
      <c r="P784" t="str">
        <f>TEXT(B784, "mmmm")</f>
        <v>September</v>
      </c>
      <c r="Q784" t="str">
        <f t="shared" si="71"/>
        <v>Q3</v>
      </c>
      <c r="R784" t="str">
        <f>IFERROR(VLOOKUP(TRIM(CLEAN(G784)),Sheet14!$A$2:$B$19,2,FALSE),"Not Mapped")</f>
        <v>West</v>
      </c>
    </row>
    <row r="785" spans="1:18">
      <c r="A785" t="str">
        <f t="shared" si="69"/>
        <v>EOS0784</v>
      </c>
      <c r="B785" s="35">
        <v>45919</v>
      </c>
      <c r="C785" s="1" t="s">
        <v>267</v>
      </c>
      <c r="D785" s="1" t="str">
        <f t="shared" si="68"/>
        <v>FB</v>
      </c>
      <c r="E785" s="1" t="s">
        <v>1310</v>
      </c>
      <c r="F785" s="1" t="s">
        <v>271</v>
      </c>
      <c r="G785" s="1" t="s">
        <v>224</v>
      </c>
      <c r="H785" s="1" t="s">
        <v>149</v>
      </c>
      <c r="I785" s="1">
        <v>130000</v>
      </c>
      <c r="J785" s="45">
        <v>107783</v>
      </c>
      <c r="K785" s="1" t="str">
        <f>TRIM(Cleaned_CRM_Data!H785)</f>
        <v>Rejected</v>
      </c>
      <c r="L785" t="str">
        <f>IFERROR(VLOOKUP(K785, Status_Mapping!A:B, 2,), "Not Found")</f>
        <v>Rejected</v>
      </c>
      <c r="N785" s="29" t="str">
        <f>IF(M785="","",M785-B785)</f>
        <v/>
      </c>
      <c r="O785" s="1" t="str">
        <f t="shared" si="70"/>
        <v>Starter</v>
      </c>
      <c r="P785" t="str">
        <f>TEXT(B785, "mmmm")</f>
        <v>September</v>
      </c>
      <c r="Q785" t="str">
        <f t="shared" si="71"/>
        <v>Q3</v>
      </c>
      <c r="R785" t="str">
        <f>IFERROR(VLOOKUP(TRIM(CLEAN(G785)),Sheet14!$A$2:$B$19,2,FALSE),"Not Mapped")</f>
        <v>West</v>
      </c>
    </row>
    <row r="786" spans="1:18">
      <c r="A786" t="str">
        <f t="shared" si="69"/>
        <v>EOS0785</v>
      </c>
      <c r="B786" s="35">
        <v>45919</v>
      </c>
      <c r="C786" s="1" t="s">
        <v>267</v>
      </c>
      <c r="D786" s="1" t="str">
        <f t="shared" si="68"/>
        <v>FB</v>
      </c>
      <c r="E786" s="1" t="s">
        <v>1311</v>
      </c>
      <c r="F786" s="1"/>
      <c r="G786" s="1" t="s">
        <v>224</v>
      </c>
      <c r="H786" s="1" t="s">
        <v>149</v>
      </c>
      <c r="I786" s="1">
        <v>130000</v>
      </c>
      <c r="J786" s="45">
        <v>107784</v>
      </c>
      <c r="K786" s="1" t="str">
        <f>TRIM(Cleaned_CRM_Data!H786)</f>
        <v>Rejected</v>
      </c>
      <c r="L786" t="str">
        <f>IFERROR(VLOOKUP(K786, Status_Mapping!A:B, 2,), "Not Found")</f>
        <v>Rejected</v>
      </c>
      <c r="N786" s="29" t="str">
        <f>IF(M786="","",M786-B786)</f>
        <v/>
      </c>
      <c r="O786" s="1" t="str">
        <f t="shared" si="70"/>
        <v>Starter</v>
      </c>
      <c r="P786" t="str">
        <f>TEXT(B786, "mmmm")</f>
        <v>September</v>
      </c>
      <c r="Q786" t="str">
        <f t="shared" si="71"/>
        <v>Q3</v>
      </c>
      <c r="R786" t="str">
        <f>IFERROR(VLOOKUP(TRIM(CLEAN(G786)),Sheet14!$A$2:$B$19,2,FALSE),"Not Mapped")</f>
        <v>West</v>
      </c>
    </row>
    <row r="787" spans="1:18">
      <c r="A787" t="str">
        <f t="shared" si="69"/>
        <v>EOS0786</v>
      </c>
      <c r="B787" s="35">
        <v>45919</v>
      </c>
      <c r="C787" s="1" t="s">
        <v>267</v>
      </c>
      <c r="D787" s="1" t="str">
        <f t="shared" si="68"/>
        <v>FB</v>
      </c>
      <c r="E787" s="1" t="s">
        <v>1312</v>
      </c>
      <c r="F787" s="1"/>
      <c r="G787" s="1" t="s">
        <v>224</v>
      </c>
      <c r="H787" s="1" t="s">
        <v>149</v>
      </c>
      <c r="I787" s="1">
        <v>108000</v>
      </c>
      <c r="J787" s="45">
        <v>107785</v>
      </c>
      <c r="K787" s="1" t="str">
        <f>TRIM(Cleaned_CRM_Data!H787)</f>
        <v>Rejected</v>
      </c>
      <c r="L787" t="str">
        <f>IFERROR(VLOOKUP(K787, Status_Mapping!A:B, 2,), "Not Found")</f>
        <v>Rejected</v>
      </c>
      <c r="N787" s="29" t="str">
        <f>IF(M787="","",M787-B787)</f>
        <v/>
      </c>
      <c r="O787" s="1" t="str">
        <f t="shared" si="70"/>
        <v>Starter</v>
      </c>
      <c r="P787" t="str">
        <f>TEXT(B787, "mmmm")</f>
        <v>September</v>
      </c>
      <c r="Q787" t="str">
        <f t="shared" si="71"/>
        <v>Q3</v>
      </c>
      <c r="R787" t="str">
        <f>IFERROR(VLOOKUP(TRIM(CLEAN(G787)),Sheet14!$A$2:$B$19,2,FALSE),"Not Mapped")</f>
        <v>West</v>
      </c>
    </row>
    <row r="788" spans="1:18">
      <c r="A788" t="str">
        <f t="shared" si="69"/>
        <v>EOS0787</v>
      </c>
      <c r="B788" s="35">
        <v>45919</v>
      </c>
      <c r="C788" s="1" t="s">
        <v>267</v>
      </c>
      <c r="D788" s="1" t="str">
        <f t="shared" si="68"/>
        <v>FB</v>
      </c>
      <c r="E788" s="1" t="s">
        <v>1313</v>
      </c>
      <c r="F788" s="2" t="s">
        <v>350</v>
      </c>
      <c r="G788" s="1" t="s">
        <v>224</v>
      </c>
      <c r="H788" s="1" t="s">
        <v>149</v>
      </c>
      <c r="I788" s="1">
        <v>108000</v>
      </c>
      <c r="J788" s="45">
        <v>107786</v>
      </c>
      <c r="K788" s="1" t="str">
        <f>TRIM(Cleaned_CRM_Data!H788)</f>
        <v>Rejected</v>
      </c>
      <c r="L788" t="str">
        <f>IFERROR(VLOOKUP(K788, Status_Mapping!A:B, 2,), "Not Found")</f>
        <v>Rejected</v>
      </c>
      <c r="N788" s="29" t="str">
        <f>IF(M788="","",M788-B788)</f>
        <v/>
      </c>
      <c r="O788" s="1" t="str">
        <f t="shared" si="70"/>
        <v>Starter</v>
      </c>
      <c r="P788" t="str">
        <f>TEXT(B788, "mmmm")</f>
        <v>September</v>
      </c>
      <c r="Q788" t="str">
        <f t="shared" si="71"/>
        <v>Q3</v>
      </c>
      <c r="R788" t="str">
        <f>IFERROR(VLOOKUP(TRIM(CLEAN(G788)),Sheet14!$A$2:$B$19,2,FALSE),"Not Mapped")</f>
        <v>West</v>
      </c>
    </row>
    <row r="789" spans="1:18">
      <c r="A789" t="str">
        <f t="shared" si="69"/>
        <v>EOS0788</v>
      </c>
      <c r="B789" s="35">
        <v>45920</v>
      </c>
      <c r="C789" s="1" t="s">
        <v>1314</v>
      </c>
      <c r="D789" s="1" t="str">
        <f t="shared" si="68"/>
        <v>Fb</v>
      </c>
      <c r="E789" s="1" t="s">
        <v>1315</v>
      </c>
      <c r="F789" s="1" t="s">
        <v>304</v>
      </c>
      <c r="G789" s="1" t="s">
        <v>224</v>
      </c>
      <c r="H789" s="1" t="s">
        <v>149</v>
      </c>
      <c r="I789" s="1">
        <v>108000</v>
      </c>
      <c r="J789" s="45">
        <v>107787</v>
      </c>
      <c r="K789" s="1" t="str">
        <f>TRIM(Cleaned_CRM_Data!H789)</f>
        <v>Rejected</v>
      </c>
      <c r="L789" t="str">
        <f>IFERROR(VLOOKUP(K789, Status_Mapping!A:B, 2,), "Not Found")</f>
        <v>Rejected</v>
      </c>
      <c r="N789" s="29" t="str">
        <f>IF(M789="","",M789-B789)</f>
        <v/>
      </c>
      <c r="O789" s="1" t="str">
        <f t="shared" si="70"/>
        <v>Starter</v>
      </c>
      <c r="P789" t="str">
        <f>TEXT(B789, "mmmm")</f>
        <v>September</v>
      </c>
      <c r="Q789" t="str">
        <f t="shared" si="71"/>
        <v>Q3</v>
      </c>
      <c r="R789" t="str">
        <f>IFERROR(VLOOKUP(TRIM(CLEAN(G789)),Sheet14!$A$2:$B$19,2,FALSE),"Not Mapped")</f>
        <v>West</v>
      </c>
    </row>
    <row r="790" spans="1:18">
      <c r="A790" t="str">
        <f t="shared" si="69"/>
        <v>EOS0789</v>
      </c>
      <c r="B790" s="35">
        <v>45920</v>
      </c>
      <c r="C790" s="1" t="s">
        <v>1314</v>
      </c>
      <c r="D790" s="1" t="str">
        <f t="shared" si="68"/>
        <v>Fb</v>
      </c>
      <c r="E790" s="1" t="s">
        <v>1316</v>
      </c>
      <c r="F790" s="1" t="s">
        <v>860</v>
      </c>
      <c r="G790" s="1" t="s">
        <v>224</v>
      </c>
      <c r="H790" s="1" t="s">
        <v>149</v>
      </c>
      <c r="I790" s="1">
        <v>130000</v>
      </c>
      <c r="J790" s="45">
        <v>107788</v>
      </c>
      <c r="K790" s="1" t="str">
        <f>TRIM(Cleaned_CRM_Data!H790)</f>
        <v>Rejected</v>
      </c>
      <c r="L790" t="str">
        <f>IFERROR(VLOOKUP(K790, Status_Mapping!A:B, 2,), "Not Found")</f>
        <v>Rejected</v>
      </c>
      <c r="N790" s="29" t="str">
        <f>IF(M790="","",M790-B790)</f>
        <v/>
      </c>
      <c r="O790" s="1" t="str">
        <f t="shared" si="70"/>
        <v>Starter</v>
      </c>
      <c r="P790" t="str">
        <f>TEXT(B790, "mmmm")</f>
        <v>September</v>
      </c>
      <c r="Q790" t="str">
        <f t="shared" si="71"/>
        <v>Q3</v>
      </c>
      <c r="R790" t="str">
        <f>IFERROR(VLOOKUP(TRIM(CLEAN(G790)),Sheet14!$A$2:$B$19,2,FALSE),"Not Mapped")</f>
        <v>West</v>
      </c>
    </row>
    <row r="791" spans="1:18">
      <c r="A791" t="str">
        <f t="shared" si="69"/>
        <v>EOS0790</v>
      </c>
      <c r="B791" s="35">
        <v>45920</v>
      </c>
      <c r="C791" s="1" t="s">
        <v>1314</v>
      </c>
      <c r="D791" s="1" t="str">
        <f t="shared" si="68"/>
        <v>Fb</v>
      </c>
      <c r="E791" s="1" t="s">
        <v>1317</v>
      </c>
      <c r="F791" s="1" t="s">
        <v>860</v>
      </c>
      <c r="G791" s="1" t="s">
        <v>224</v>
      </c>
      <c r="H791" s="1" t="s">
        <v>149</v>
      </c>
      <c r="I791" s="1">
        <v>108000</v>
      </c>
      <c r="J791" s="45">
        <v>107789</v>
      </c>
      <c r="K791" s="1" t="str">
        <f>TRIM(Cleaned_CRM_Data!H791)</f>
        <v>Rejected</v>
      </c>
      <c r="L791" t="str">
        <f>IFERROR(VLOOKUP(K791, Status_Mapping!A:B, 2,), "Not Found")</f>
        <v>Rejected</v>
      </c>
      <c r="N791" s="29" t="str">
        <f>IF(M791="","",M791-B791)</f>
        <v/>
      </c>
      <c r="O791" s="1" t="str">
        <f t="shared" si="70"/>
        <v>Starter</v>
      </c>
      <c r="P791" t="str">
        <f>TEXT(B791, "mmmm")</f>
        <v>September</v>
      </c>
      <c r="Q791" t="str">
        <f t="shared" si="71"/>
        <v>Q3</v>
      </c>
      <c r="R791" t="str">
        <f>IFERROR(VLOOKUP(TRIM(CLEAN(G791)),Sheet14!$A$2:$B$19,2,FALSE),"Not Mapped")</f>
        <v>West</v>
      </c>
    </row>
    <row r="792" spans="1:18">
      <c r="A792" t="str">
        <f t="shared" si="69"/>
        <v>EOS0791</v>
      </c>
      <c r="B792" s="35">
        <v>45920</v>
      </c>
      <c r="C792" s="1" t="s">
        <v>1314</v>
      </c>
      <c r="D792" s="1" t="str">
        <f t="shared" si="68"/>
        <v>Fb</v>
      </c>
      <c r="E792" s="1" t="s">
        <v>1318</v>
      </c>
      <c r="F792" s="1" t="s">
        <v>860</v>
      </c>
      <c r="G792" s="1" t="s">
        <v>224</v>
      </c>
      <c r="H792" s="1" t="s">
        <v>149</v>
      </c>
      <c r="I792" s="1">
        <v>108000</v>
      </c>
      <c r="J792" s="45">
        <v>107790</v>
      </c>
      <c r="K792" s="1" t="str">
        <f>TRIM(Cleaned_CRM_Data!H792)</f>
        <v>Rejected</v>
      </c>
      <c r="L792" t="str">
        <f>IFERROR(VLOOKUP(K792, Status_Mapping!A:B, 2,), "Not Found")</f>
        <v>Rejected</v>
      </c>
      <c r="N792" s="29" t="str">
        <f>IF(M792="","",M792-B792)</f>
        <v/>
      </c>
      <c r="O792" s="1" t="str">
        <f t="shared" si="70"/>
        <v>Starter</v>
      </c>
      <c r="P792" t="str">
        <f>TEXT(B792, "mmmm")</f>
        <v>September</v>
      </c>
      <c r="Q792" t="str">
        <f t="shared" si="71"/>
        <v>Q3</v>
      </c>
      <c r="R792" t="str">
        <f>IFERROR(VLOOKUP(TRIM(CLEAN(G792)),Sheet14!$A$2:$B$19,2,FALSE),"Not Mapped")</f>
        <v>West</v>
      </c>
    </row>
    <row r="793" spans="1:18">
      <c r="A793" t="str">
        <f t="shared" si="69"/>
        <v>EOS0792</v>
      </c>
      <c r="B793" s="35">
        <v>45920</v>
      </c>
      <c r="C793" s="1" t="s">
        <v>1314</v>
      </c>
      <c r="D793" s="1" t="str">
        <f t="shared" si="68"/>
        <v>Fb</v>
      </c>
      <c r="E793" s="1" t="s">
        <v>1319</v>
      </c>
      <c r="F793" s="1" t="s">
        <v>275</v>
      </c>
      <c r="G793" s="1" t="s">
        <v>224</v>
      </c>
      <c r="H793" s="1" t="s">
        <v>149</v>
      </c>
      <c r="I793" s="1">
        <v>177000</v>
      </c>
      <c r="J793" s="45">
        <v>107791</v>
      </c>
      <c r="K793" s="1" t="str">
        <f>TRIM(Cleaned_CRM_Data!H793)</f>
        <v>Rejected</v>
      </c>
      <c r="L793" t="str">
        <f>IFERROR(VLOOKUP(K793, Status_Mapping!A:B, 2,), "Not Found")</f>
        <v>Rejected</v>
      </c>
      <c r="N793" s="29" t="str">
        <f>IF(M793="","",M793-B793)</f>
        <v/>
      </c>
      <c r="O793" s="1" t="str">
        <f t="shared" si="70"/>
        <v>Growth</v>
      </c>
      <c r="P793" t="str">
        <f>TEXT(B793, "mmmm")</f>
        <v>September</v>
      </c>
      <c r="Q793" t="str">
        <f t="shared" si="71"/>
        <v>Q3</v>
      </c>
      <c r="R793" t="str">
        <f>IFERROR(VLOOKUP(TRIM(CLEAN(G793)),Sheet14!$A$2:$B$19,2,FALSE),"Not Mapped")</f>
        <v>West</v>
      </c>
    </row>
    <row r="794" spans="1:18">
      <c r="A794" t="str">
        <f t="shared" si="69"/>
        <v>EOS0793</v>
      </c>
      <c r="B794" s="35">
        <v>45920</v>
      </c>
      <c r="C794" s="1" t="s">
        <v>1314</v>
      </c>
      <c r="D794" s="1" t="str">
        <f t="shared" si="68"/>
        <v>Fb</v>
      </c>
      <c r="E794" s="1" t="s">
        <v>1320</v>
      </c>
      <c r="F794" s="1" t="s">
        <v>645</v>
      </c>
      <c r="G794" s="1" t="s">
        <v>224</v>
      </c>
      <c r="H794" s="1" t="s">
        <v>149</v>
      </c>
      <c r="I794" s="1">
        <v>108000</v>
      </c>
      <c r="J794" s="45">
        <v>107792</v>
      </c>
      <c r="K794" s="1" t="str">
        <f>TRIM(Cleaned_CRM_Data!H794)</f>
        <v>Rejected</v>
      </c>
      <c r="L794" t="str">
        <f>IFERROR(VLOOKUP(K794, Status_Mapping!A:B, 2,), "Not Found")</f>
        <v>Rejected</v>
      </c>
      <c r="N794" s="29" t="str">
        <f>IF(M794="","",M794-B794)</f>
        <v/>
      </c>
      <c r="O794" s="1" t="str">
        <f t="shared" si="70"/>
        <v>Starter</v>
      </c>
      <c r="P794" t="str">
        <f>TEXT(B794, "mmmm")</f>
        <v>September</v>
      </c>
      <c r="Q794" t="str">
        <f t="shared" si="71"/>
        <v>Q3</v>
      </c>
      <c r="R794" t="str">
        <f>IFERROR(VLOOKUP(TRIM(CLEAN(G794)),Sheet14!$A$2:$B$19,2,FALSE),"Not Mapped")</f>
        <v>West</v>
      </c>
    </row>
    <row r="795" spans="1:18">
      <c r="A795" t="str">
        <f t="shared" si="69"/>
        <v>EOS0794</v>
      </c>
      <c r="B795" s="35">
        <v>45920</v>
      </c>
      <c r="C795" s="1" t="s">
        <v>1314</v>
      </c>
      <c r="D795" s="1" t="str">
        <f t="shared" si="68"/>
        <v>Fb</v>
      </c>
      <c r="E795" s="1" t="s">
        <v>1321</v>
      </c>
      <c r="F795" s="1" t="s">
        <v>333</v>
      </c>
      <c r="G795" s="1" t="s">
        <v>224</v>
      </c>
      <c r="H795" s="1" t="s">
        <v>149</v>
      </c>
      <c r="I795" s="1">
        <v>108000</v>
      </c>
      <c r="J795" s="45">
        <v>107793</v>
      </c>
      <c r="K795" s="1" t="str">
        <f>TRIM(Cleaned_CRM_Data!H795)</f>
        <v>Rejected</v>
      </c>
      <c r="L795" t="str">
        <f>IFERROR(VLOOKUP(K795, Status_Mapping!A:B, 2,), "Not Found")</f>
        <v>Rejected</v>
      </c>
      <c r="N795" s="29" t="str">
        <f>IF(M795="","",M795-B795)</f>
        <v/>
      </c>
      <c r="O795" s="1" t="str">
        <f t="shared" si="70"/>
        <v>Starter</v>
      </c>
      <c r="P795" t="str">
        <f>TEXT(B795, "mmmm")</f>
        <v>September</v>
      </c>
      <c r="Q795" t="str">
        <f t="shared" si="71"/>
        <v>Q3</v>
      </c>
      <c r="R795" t="str">
        <f>IFERROR(VLOOKUP(TRIM(CLEAN(G795)),Sheet14!$A$2:$B$19,2,FALSE),"Not Mapped")</f>
        <v>West</v>
      </c>
    </row>
    <row r="796" spans="1:18">
      <c r="A796" t="str">
        <f t="shared" si="69"/>
        <v>EOS0795</v>
      </c>
      <c r="B796" s="35">
        <v>45920</v>
      </c>
      <c r="C796" s="1" t="s">
        <v>1314</v>
      </c>
      <c r="D796" s="1" t="str">
        <f t="shared" si="68"/>
        <v>Fb</v>
      </c>
      <c r="E796" s="1" t="s">
        <v>1322</v>
      </c>
      <c r="F796" s="1" t="s">
        <v>350</v>
      </c>
      <c r="G796" s="1" t="s">
        <v>224</v>
      </c>
      <c r="H796" s="1" t="s">
        <v>149</v>
      </c>
      <c r="I796" s="1">
        <v>130000</v>
      </c>
      <c r="J796" s="45">
        <v>107794</v>
      </c>
      <c r="K796" s="1" t="str">
        <f>TRIM(Cleaned_CRM_Data!H796)</f>
        <v>Rejected</v>
      </c>
      <c r="L796" t="str">
        <f>IFERROR(VLOOKUP(K796, Status_Mapping!A:B, 2,), "Not Found")</f>
        <v>Rejected</v>
      </c>
      <c r="N796" s="29" t="str">
        <f>IF(M796="","",M796-B796)</f>
        <v/>
      </c>
      <c r="O796" s="1" t="str">
        <f t="shared" si="70"/>
        <v>Starter</v>
      </c>
      <c r="P796" t="str">
        <f>TEXT(B796, "mmmm")</f>
        <v>September</v>
      </c>
      <c r="Q796" t="str">
        <f t="shared" si="71"/>
        <v>Q3</v>
      </c>
      <c r="R796" t="str">
        <f>IFERROR(VLOOKUP(TRIM(CLEAN(G796)),Sheet14!$A$2:$B$19,2,FALSE),"Not Mapped")</f>
        <v>West</v>
      </c>
    </row>
    <row r="797" spans="1:18">
      <c r="A797" t="str">
        <f t="shared" si="69"/>
        <v>EOS0796</v>
      </c>
      <c r="B797" s="35">
        <v>45920</v>
      </c>
      <c r="C797" s="1" t="s">
        <v>1314</v>
      </c>
      <c r="D797" s="1" t="str">
        <f t="shared" si="68"/>
        <v>Fb</v>
      </c>
      <c r="E797" s="1" t="s">
        <v>1323</v>
      </c>
      <c r="F797" s="1" t="s">
        <v>300</v>
      </c>
      <c r="G797" s="1" t="s">
        <v>224</v>
      </c>
      <c r="H797" s="1" t="s">
        <v>149</v>
      </c>
      <c r="I797" s="1">
        <v>177000</v>
      </c>
      <c r="J797" s="45">
        <v>107795</v>
      </c>
      <c r="K797" s="1" t="str">
        <f>TRIM(Cleaned_CRM_Data!H797)</f>
        <v>Rejected</v>
      </c>
      <c r="L797" t="str">
        <f>IFERROR(VLOOKUP(K797, Status_Mapping!A:B, 2,), "Not Found")</f>
        <v>Rejected</v>
      </c>
      <c r="N797" s="29" t="str">
        <f>IF(M797="","",M797-B797)</f>
        <v/>
      </c>
      <c r="O797" s="1" t="str">
        <f t="shared" si="70"/>
        <v>Growth</v>
      </c>
      <c r="P797" t="str">
        <f>TEXT(B797, "mmmm")</f>
        <v>September</v>
      </c>
      <c r="Q797" t="str">
        <f t="shared" si="71"/>
        <v>Q3</v>
      </c>
      <c r="R797" t="str">
        <f>IFERROR(VLOOKUP(TRIM(CLEAN(G797)),Sheet14!$A$2:$B$19,2,FALSE),"Not Mapped")</f>
        <v>West</v>
      </c>
    </row>
    <row r="798" spans="1:18">
      <c r="A798" t="str">
        <f t="shared" si="69"/>
        <v>EOS0797</v>
      </c>
      <c r="B798" s="35">
        <v>45920</v>
      </c>
      <c r="C798" s="1" t="s">
        <v>1314</v>
      </c>
      <c r="D798" s="1" t="str">
        <f t="shared" si="68"/>
        <v>Fb</v>
      </c>
      <c r="E798" s="1" t="s">
        <v>1324</v>
      </c>
      <c r="F798" s="1"/>
      <c r="G798" s="1" t="s">
        <v>224</v>
      </c>
      <c r="H798" s="1" t="s">
        <v>149</v>
      </c>
      <c r="I798" s="1">
        <v>108000</v>
      </c>
      <c r="J798" s="45">
        <v>107796</v>
      </c>
      <c r="K798" s="1" t="str">
        <f>TRIM(Cleaned_CRM_Data!H798)</f>
        <v>Rejected</v>
      </c>
      <c r="L798" t="str">
        <f>IFERROR(VLOOKUP(K798, Status_Mapping!A:B, 2,), "Not Found")</f>
        <v>Rejected</v>
      </c>
      <c r="N798" s="29" t="str">
        <f>IF(M798="","",M798-B798)</f>
        <v/>
      </c>
      <c r="O798" s="1" t="str">
        <f t="shared" si="70"/>
        <v>Starter</v>
      </c>
      <c r="P798" t="str">
        <f>TEXT(B798, "mmmm")</f>
        <v>September</v>
      </c>
      <c r="Q798" t="str">
        <f t="shared" si="71"/>
        <v>Q3</v>
      </c>
      <c r="R798" t="str">
        <f>IFERROR(VLOOKUP(TRIM(CLEAN(G798)),Sheet14!$A$2:$B$19,2,FALSE),"Not Mapped")</f>
        <v>West</v>
      </c>
    </row>
    <row r="799" spans="1:18">
      <c r="A799" t="str">
        <f t="shared" si="69"/>
        <v>EOS0798</v>
      </c>
      <c r="B799" s="35">
        <v>45920</v>
      </c>
      <c r="C799" s="1" t="s">
        <v>1314</v>
      </c>
      <c r="D799" s="1" t="str">
        <f t="shared" si="68"/>
        <v>Fb</v>
      </c>
      <c r="E799" s="1" t="s">
        <v>1325</v>
      </c>
      <c r="F799" s="1" t="s">
        <v>304</v>
      </c>
      <c r="G799" s="1" t="s">
        <v>224</v>
      </c>
      <c r="H799" s="1" t="s">
        <v>149</v>
      </c>
      <c r="I799" s="1">
        <v>130000</v>
      </c>
      <c r="J799" s="45">
        <v>107797</v>
      </c>
      <c r="K799" s="1" t="str">
        <f>TRIM(Cleaned_CRM_Data!H799)</f>
        <v>Rejected</v>
      </c>
      <c r="L799" t="str">
        <f>IFERROR(VLOOKUP(K799, Status_Mapping!A:B, 2,), "Not Found")</f>
        <v>Rejected</v>
      </c>
      <c r="N799" s="29" t="str">
        <f>IF(M799="","",M799-B799)</f>
        <v/>
      </c>
      <c r="O799" s="1" t="str">
        <f t="shared" si="70"/>
        <v>Starter</v>
      </c>
      <c r="P799" t="str">
        <f>TEXT(B799, "mmmm")</f>
        <v>September</v>
      </c>
      <c r="Q799" t="str">
        <f t="shared" si="71"/>
        <v>Q3</v>
      </c>
      <c r="R799" t="str">
        <f>IFERROR(VLOOKUP(TRIM(CLEAN(G799)),Sheet14!$A$2:$B$19,2,FALSE),"Not Mapped")</f>
        <v>West</v>
      </c>
    </row>
    <row r="800" spans="1:18">
      <c r="A800" t="str">
        <f t="shared" si="69"/>
        <v>EOS0799</v>
      </c>
      <c r="B800" s="35">
        <v>45922</v>
      </c>
      <c r="C800" s="1" t="s">
        <v>1314</v>
      </c>
      <c r="D800" s="1" t="str">
        <f t="shared" si="68"/>
        <v>Fb</v>
      </c>
      <c r="E800" s="1" t="s">
        <v>1326</v>
      </c>
      <c r="F800" s="1" t="s">
        <v>1327</v>
      </c>
      <c r="G800" s="1" t="s">
        <v>224</v>
      </c>
      <c r="H800" s="1" t="s">
        <v>149</v>
      </c>
      <c r="I800" s="1">
        <v>130000</v>
      </c>
      <c r="J800" s="45">
        <v>107798</v>
      </c>
      <c r="K800" s="1" t="str">
        <f>TRIM(Cleaned_CRM_Data!H800)</f>
        <v>Rejected</v>
      </c>
      <c r="L800" t="str">
        <f>IFERROR(VLOOKUP(K800, Status_Mapping!A:B, 2,), "Not Found")</f>
        <v>Rejected</v>
      </c>
      <c r="N800" s="29" t="str">
        <f>IF(M800="","",M800-B800)</f>
        <v/>
      </c>
      <c r="O800" s="1" t="str">
        <f t="shared" si="70"/>
        <v>Starter</v>
      </c>
      <c r="P800" t="str">
        <f>TEXT(B800, "mmmm")</f>
        <v>September</v>
      </c>
      <c r="Q800" t="str">
        <f t="shared" si="71"/>
        <v>Q3</v>
      </c>
      <c r="R800" t="str">
        <f>IFERROR(VLOOKUP(TRIM(CLEAN(G800)),Sheet14!$A$2:$B$19,2,FALSE),"Not Mapped")</f>
        <v>West</v>
      </c>
    </row>
    <row r="801" spans="1:18">
      <c r="A801" t="str">
        <f t="shared" si="69"/>
        <v>EOS0800</v>
      </c>
      <c r="B801" s="35">
        <v>45922</v>
      </c>
      <c r="C801" s="1" t="s">
        <v>1314</v>
      </c>
      <c r="D801" s="1" t="str">
        <f t="shared" si="68"/>
        <v>Fb</v>
      </c>
      <c r="E801" s="1" t="s">
        <v>1328</v>
      </c>
      <c r="F801" s="1" t="s">
        <v>292</v>
      </c>
      <c r="G801" s="1" t="s">
        <v>224</v>
      </c>
      <c r="H801" s="1" t="s">
        <v>149</v>
      </c>
      <c r="I801" s="1">
        <v>108000</v>
      </c>
      <c r="J801" s="45">
        <v>107799</v>
      </c>
      <c r="K801" s="1" t="str">
        <f>TRIM(Cleaned_CRM_Data!H801)</f>
        <v>Rejected</v>
      </c>
      <c r="L801" t="str">
        <f>IFERROR(VLOOKUP(K801, Status_Mapping!A:B, 2,), "Not Found")</f>
        <v>Rejected</v>
      </c>
      <c r="N801" s="29" t="str">
        <f>IF(M801="","",M801-B801)</f>
        <v/>
      </c>
      <c r="O801" s="1" t="str">
        <f t="shared" si="70"/>
        <v>Starter</v>
      </c>
      <c r="P801" t="str">
        <f>TEXT(B801, "mmmm")</f>
        <v>September</v>
      </c>
      <c r="Q801" t="str">
        <f t="shared" si="71"/>
        <v>Q3</v>
      </c>
      <c r="R801" t="str">
        <f>IFERROR(VLOOKUP(TRIM(CLEAN(G801)),Sheet14!$A$2:$B$19,2,FALSE),"Not Mapped")</f>
        <v>West</v>
      </c>
    </row>
    <row r="802" spans="1:18">
      <c r="A802" t="str">
        <f t="shared" si="69"/>
        <v>EOS0801</v>
      </c>
      <c r="B802" s="35">
        <v>45922</v>
      </c>
      <c r="C802" s="1" t="s">
        <v>1314</v>
      </c>
      <c r="D802" s="1" t="str">
        <f t="shared" si="68"/>
        <v>Fb</v>
      </c>
      <c r="E802" s="1" t="s">
        <v>1329</v>
      </c>
      <c r="F802" s="1"/>
      <c r="G802" s="1" t="s">
        <v>224</v>
      </c>
      <c r="H802" s="1" t="s">
        <v>149</v>
      </c>
      <c r="I802" s="1">
        <v>130000</v>
      </c>
      <c r="J802" s="45">
        <v>107800</v>
      </c>
      <c r="K802" s="1" t="str">
        <f>TRIM(Cleaned_CRM_Data!H802)</f>
        <v>Rejected</v>
      </c>
      <c r="L802" t="str">
        <f>IFERROR(VLOOKUP(K802, Status_Mapping!A:B, 2,), "Not Found")</f>
        <v>Rejected</v>
      </c>
      <c r="N802" s="29" t="str">
        <f>IF(M802="","",M802-B802)</f>
        <v/>
      </c>
      <c r="O802" s="1" t="str">
        <f t="shared" si="70"/>
        <v>Starter</v>
      </c>
      <c r="P802" t="str">
        <f>TEXT(B802, "mmmm")</f>
        <v>September</v>
      </c>
      <c r="Q802" t="str">
        <f t="shared" si="71"/>
        <v>Q3</v>
      </c>
      <c r="R802" t="str">
        <f>IFERROR(VLOOKUP(TRIM(CLEAN(G802)),Sheet14!$A$2:$B$19,2,FALSE),"Not Mapped")</f>
        <v>West</v>
      </c>
    </row>
    <row r="803" spans="1:18">
      <c r="A803" t="str">
        <f t="shared" si="69"/>
        <v>EOS0802</v>
      </c>
      <c r="B803" s="35">
        <v>45922</v>
      </c>
      <c r="C803" s="1" t="s">
        <v>1314</v>
      </c>
      <c r="D803" s="1" t="str">
        <f t="shared" si="68"/>
        <v>Fb</v>
      </c>
      <c r="E803" s="1" t="s">
        <v>1330</v>
      </c>
      <c r="F803" s="2" t="s">
        <v>1331</v>
      </c>
      <c r="G803" s="1" t="s">
        <v>224</v>
      </c>
      <c r="H803" s="1" t="s">
        <v>149</v>
      </c>
      <c r="I803" s="1">
        <v>308000</v>
      </c>
      <c r="J803" s="45">
        <v>107801</v>
      </c>
      <c r="K803" s="1" t="str">
        <f>TRIM(Cleaned_CRM_Data!H803)</f>
        <v>Rejected</v>
      </c>
      <c r="L803" t="str">
        <f>IFERROR(VLOOKUP(K803, Status_Mapping!A:B, 2,), "Not Found")</f>
        <v>Rejected</v>
      </c>
      <c r="N803" s="29" t="str">
        <f>IF(M803="","",M803-B803)</f>
        <v/>
      </c>
      <c r="O803" s="1" t="str">
        <f t="shared" si="70"/>
        <v>Premium</v>
      </c>
      <c r="P803" t="str">
        <f>TEXT(B803, "mmmm")</f>
        <v>September</v>
      </c>
      <c r="Q803" t="str">
        <f t="shared" si="71"/>
        <v>Q3</v>
      </c>
      <c r="R803" t="str">
        <f>IFERROR(VLOOKUP(TRIM(CLEAN(G803)),Sheet14!$A$2:$B$19,2,FALSE),"Not Mapped")</f>
        <v>West</v>
      </c>
    </row>
    <row r="804" spans="1:18">
      <c r="A804" t="str">
        <f t="shared" si="69"/>
        <v>EOS0803</v>
      </c>
      <c r="B804" s="35">
        <v>45922</v>
      </c>
      <c r="C804" s="1" t="s">
        <v>1314</v>
      </c>
      <c r="D804" s="1" t="str">
        <f t="shared" si="68"/>
        <v>Fb</v>
      </c>
      <c r="E804" s="1" t="s">
        <v>1332</v>
      </c>
      <c r="F804" s="1" t="s">
        <v>903</v>
      </c>
      <c r="G804" s="1" t="s">
        <v>224</v>
      </c>
      <c r="H804" s="1" t="s">
        <v>149</v>
      </c>
      <c r="I804" s="1">
        <v>308000</v>
      </c>
      <c r="J804" s="45">
        <v>107802</v>
      </c>
      <c r="K804" s="1" t="str">
        <f>TRIM(Cleaned_CRM_Data!H804)</f>
        <v>Rejected</v>
      </c>
      <c r="L804" t="str">
        <f>IFERROR(VLOOKUP(K804, Status_Mapping!A:B, 2,), "Not Found")</f>
        <v>Rejected</v>
      </c>
      <c r="N804" s="29" t="str">
        <f>IF(M804="","",M804-B804)</f>
        <v/>
      </c>
      <c r="O804" s="1" t="str">
        <f t="shared" si="70"/>
        <v>Premium</v>
      </c>
      <c r="P804" t="str">
        <f>TEXT(B804, "mmmm")</f>
        <v>September</v>
      </c>
      <c r="Q804" t="str">
        <f t="shared" si="71"/>
        <v>Q3</v>
      </c>
      <c r="R804" t="str">
        <f>IFERROR(VLOOKUP(TRIM(CLEAN(G804)),Sheet14!$A$2:$B$19,2,FALSE),"Not Mapped")</f>
        <v>West</v>
      </c>
    </row>
    <row r="805" spans="1:18">
      <c r="A805" t="str">
        <f t="shared" si="69"/>
        <v>EOS0804</v>
      </c>
      <c r="B805" s="35">
        <v>45922</v>
      </c>
      <c r="C805" s="1" t="s">
        <v>1314</v>
      </c>
      <c r="D805" s="1" t="str">
        <f t="shared" si="68"/>
        <v>Fb</v>
      </c>
      <c r="E805" s="1" t="s">
        <v>1333</v>
      </c>
      <c r="F805" s="1" t="s">
        <v>1334</v>
      </c>
      <c r="G805" s="1" t="s">
        <v>224</v>
      </c>
      <c r="H805" s="1" t="s">
        <v>149</v>
      </c>
      <c r="I805" s="1">
        <v>108000</v>
      </c>
      <c r="J805" s="45">
        <v>107803</v>
      </c>
      <c r="K805" s="1" t="str">
        <f>TRIM(Cleaned_CRM_Data!H805)</f>
        <v>Rejected</v>
      </c>
      <c r="L805" t="str">
        <f>IFERROR(VLOOKUP(K805, Status_Mapping!A:B, 2,), "Not Found")</f>
        <v>Rejected</v>
      </c>
      <c r="N805" s="29" t="str">
        <f>IF(M805="","",M805-B805)</f>
        <v/>
      </c>
      <c r="O805" s="1" t="str">
        <f t="shared" si="70"/>
        <v>Starter</v>
      </c>
      <c r="P805" t="str">
        <f>TEXT(B805, "mmmm")</f>
        <v>September</v>
      </c>
      <c r="Q805" t="str">
        <f t="shared" si="71"/>
        <v>Q3</v>
      </c>
      <c r="R805" t="str">
        <f>IFERROR(VLOOKUP(TRIM(CLEAN(G805)),Sheet14!$A$2:$B$19,2,FALSE),"Not Mapped")</f>
        <v>West</v>
      </c>
    </row>
    <row r="806" spans="1:18">
      <c r="A806" t="str">
        <f t="shared" si="69"/>
        <v>EOS0805</v>
      </c>
      <c r="B806" s="35">
        <v>45922</v>
      </c>
      <c r="C806" s="1" t="s">
        <v>1314</v>
      </c>
      <c r="D806" s="1" t="str">
        <f t="shared" si="68"/>
        <v>Fb</v>
      </c>
      <c r="E806" s="1" t="s">
        <v>1335</v>
      </c>
      <c r="F806" s="1" t="s">
        <v>1336</v>
      </c>
      <c r="G806" s="1" t="s">
        <v>224</v>
      </c>
      <c r="H806" s="1" t="s">
        <v>149</v>
      </c>
      <c r="I806" s="1">
        <v>130000</v>
      </c>
      <c r="J806" s="45">
        <v>107804</v>
      </c>
      <c r="K806" s="1" t="str">
        <f>TRIM(Cleaned_CRM_Data!H806)</f>
        <v>Rejected</v>
      </c>
      <c r="L806" t="str">
        <f>IFERROR(VLOOKUP(K806, Status_Mapping!A:B, 2,), "Not Found")</f>
        <v>Rejected</v>
      </c>
      <c r="N806" s="29" t="str">
        <f>IF(M806="","",M806-B806)</f>
        <v/>
      </c>
      <c r="O806" s="1" t="str">
        <f t="shared" si="70"/>
        <v>Starter</v>
      </c>
      <c r="P806" t="str">
        <f>TEXT(B806, "mmmm")</f>
        <v>September</v>
      </c>
      <c r="Q806" t="str">
        <f t="shared" si="71"/>
        <v>Q3</v>
      </c>
      <c r="R806" t="str">
        <f>IFERROR(VLOOKUP(TRIM(CLEAN(G806)),Sheet14!$A$2:$B$19,2,FALSE),"Not Mapped")</f>
        <v>West</v>
      </c>
    </row>
    <row r="807" spans="1:18">
      <c r="A807" t="str">
        <f t="shared" si="69"/>
        <v>EOS0806</v>
      </c>
      <c r="B807" s="35">
        <v>45922</v>
      </c>
      <c r="C807" s="1" t="s">
        <v>1314</v>
      </c>
      <c r="D807" s="1" t="str">
        <f t="shared" si="68"/>
        <v>Fb</v>
      </c>
      <c r="E807" s="1" t="s">
        <v>1337</v>
      </c>
      <c r="F807" s="1" t="s">
        <v>418</v>
      </c>
      <c r="G807" s="1" t="s">
        <v>224</v>
      </c>
      <c r="H807" s="1" t="s">
        <v>149</v>
      </c>
      <c r="I807" s="1">
        <v>108000</v>
      </c>
      <c r="J807" s="45">
        <v>107805</v>
      </c>
      <c r="K807" s="1" t="str">
        <f>TRIM(Cleaned_CRM_Data!H807)</f>
        <v>Rejected</v>
      </c>
      <c r="L807" t="str">
        <f>IFERROR(VLOOKUP(K807, Status_Mapping!A:B, 2,), "Not Found")</f>
        <v>Rejected</v>
      </c>
      <c r="N807" s="29" t="str">
        <f>IF(M807="","",M807-B807)</f>
        <v/>
      </c>
      <c r="O807" s="1" t="str">
        <f t="shared" si="70"/>
        <v>Starter</v>
      </c>
      <c r="P807" t="str">
        <f>TEXT(B807, "mmmm")</f>
        <v>September</v>
      </c>
      <c r="Q807" t="str">
        <f t="shared" si="71"/>
        <v>Q3</v>
      </c>
      <c r="R807" t="str">
        <f>IFERROR(VLOOKUP(TRIM(CLEAN(G807)),Sheet14!$A$2:$B$19,2,FALSE),"Not Mapped")</f>
        <v>West</v>
      </c>
    </row>
    <row r="808" spans="1:18">
      <c r="A808" t="str">
        <f t="shared" si="69"/>
        <v>EOS0807</v>
      </c>
      <c r="B808" s="35">
        <v>45922</v>
      </c>
      <c r="C808" s="1" t="s">
        <v>1314</v>
      </c>
      <c r="D808" s="1" t="str">
        <f t="shared" si="68"/>
        <v>Fb</v>
      </c>
      <c r="E808" s="1" t="s">
        <v>1338</v>
      </c>
      <c r="F808" s="1" t="s">
        <v>418</v>
      </c>
      <c r="G808" s="1" t="s">
        <v>224</v>
      </c>
      <c r="H808" s="1" t="s">
        <v>149</v>
      </c>
      <c r="I808" s="1">
        <v>108000</v>
      </c>
      <c r="J808" s="45">
        <v>107806</v>
      </c>
      <c r="K808" s="1" t="str">
        <f>TRIM(Cleaned_CRM_Data!H808)</f>
        <v>Rejected</v>
      </c>
      <c r="L808" t="str">
        <f>IFERROR(VLOOKUP(K808, Status_Mapping!A:B, 2,), "Not Found")</f>
        <v>Rejected</v>
      </c>
      <c r="N808" s="29" t="str">
        <f>IF(M808="","",M808-B808)</f>
        <v/>
      </c>
      <c r="O808" s="1" t="str">
        <f t="shared" si="70"/>
        <v>Starter</v>
      </c>
      <c r="P808" t="str">
        <f>TEXT(B808, "mmmm")</f>
        <v>September</v>
      </c>
      <c r="Q808" t="str">
        <f t="shared" si="71"/>
        <v>Q3</v>
      </c>
      <c r="R808" t="str">
        <f>IFERROR(VLOOKUP(TRIM(CLEAN(G808)),Sheet14!$A$2:$B$19,2,FALSE),"Not Mapped")</f>
        <v>West</v>
      </c>
    </row>
    <row r="809" spans="1:18">
      <c r="A809" t="str">
        <f t="shared" si="69"/>
        <v>EOS0808</v>
      </c>
      <c r="B809" s="35">
        <v>45922</v>
      </c>
      <c r="C809" s="1" t="s">
        <v>1314</v>
      </c>
      <c r="D809" s="1" t="str">
        <f t="shared" si="68"/>
        <v>Fb</v>
      </c>
      <c r="E809" s="1" t="s">
        <v>1339</v>
      </c>
      <c r="F809" s="1" t="s">
        <v>1340</v>
      </c>
      <c r="G809" s="1" t="s">
        <v>224</v>
      </c>
      <c r="H809" s="1" t="s">
        <v>149</v>
      </c>
      <c r="I809" s="1">
        <v>108000</v>
      </c>
      <c r="J809" s="45">
        <v>107807</v>
      </c>
      <c r="K809" s="1" t="str">
        <f>TRIM(Cleaned_CRM_Data!H809)</f>
        <v>Rejected</v>
      </c>
      <c r="L809" t="str">
        <f>IFERROR(VLOOKUP(K809, Status_Mapping!A:B, 2,), "Not Found")</f>
        <v>Rejected</v>
      </c>
      <c r="N809" s="29" t="str">
        <f>IF(M809="","",M809-B809)</f>
        <v/>
      </c>
      <c r="O809" s="1" t="str">
        <f t="shared" si="70"/>
        <v>Starter</v>
      </c>
      <c r="P809" t="str">
        <f>TEXT(B809, "mmmm")</f>
        <v>September</v>
      </c>
      <c r="Q809" t="str">
        <f t="shared" si="71"/>
        <v>Q3</v>
      </c>
      <c r="R809" t="str">
        <f>IFERROR(VLOOKUP(TRIM(CLEAN(G809)),Sheet14!$A$2:$B$19,2,FALSE),"Not Mapped")</f>
        <v>West</v>
      </c>
    </row>
    <row r="810" spans="1:18">
      <c r="A810" t="str">
        <f t="shared" si="69"/>
        <v>EOS0809</v>
      </c>
      <c r="B810" s="35">
        <v>45922</v>
      </c>
      <c r="C810" s="1" t="s">
        <v>1314</v>
      </c>
      <c r="D810" s="1" t="str">
        <f t="shared" si="68"/>
        <v>Fb</v>
      </c>
      <c r="E810" s="1" t="s">
        <v>1341</v>
      </c>
      <c r="F810" s="1" t="s">
        <v>1003</v>
      </c>
      <c r="G810" s="1" t="s">
        <v>224</v>
      </c>
      <c r="H810" s="1" t="s">
        <v>149</v>
      </c>
      <c r="I810" s="1">
        <v>177000</v>
      </c>
      <c r="J810" s="45">
        <v>107808</v>
      </c>
      <c r="K810" s="1" t="str">
        <f>TRIM(Cleaned_CRM_Data!H810)</f>
        <v>Rejected</v>
      </c>
      <c r="L810" t="str">
        <f>IFERROR(VLOOKUP(K810, Status_Mapping!A:B, 2,), "Not Found")</f>
        <v>Rejected</v>
      </c>
      <c r="N810" s="29" t="str">
        <f>IF(M810="","",M810-B810)</f>
        <v/>
      </c>
      <c r="O810" s="1" t="str">
        <f t="shared" si="70"/>
        <v>Growth</v>
      </c>
      <c r="P810" t="str">
        <f>TEXT(B810, "mmmm")</f>
        <v>September</v>
      </c>
      <c r="Q810" t="str">
        <f t="shared" si="71"/>
        <v>Q3</v>
      </c>
      <c r="R810" t="str">
        <f>IFERROR(VLOOKUP(TRIM(CLEAN(G810)),Sheet14!$A$2:$B$19,2,FALSE),"Not Mapped")</f>
        <v>West</v>
      </c>
    </row>
    <row r="811" spans="1:18">
      <c r="A811" t="str">
        <f t="shared" si="69"/>
        <v>EOS0810</v>
      </c>
      <c r="B811" s="35">
        <v>45922</v>
      </c>
      <c r="C811" s="1" t="s">
        <v>1314</v>
      </c>
      <c r="D811" s="1" t="str">
        <f t="shared" si="68"/>
        <v>Fb</v>
      </c>
      <c r="E811" s="1" t="s">
        <v>1342</v>
      </c>
      <c r="F811" s="1" t="s">
        <v>1343</v>
      </c>
      <c r="G811" s="1" t="s">
        <v>224</v>
      </c>
      <c r="H811" s="1" t="s">
        <v>149</v>
      </c>
      <c r="I811" s="1">
        <v>108000</v>
      </c>
      <c r="J811" s="45">
        <v>107809</v>
      </c>
      <c r="K811" s="1" t="str">
        <f>TRIM(Cleaned_CRM_Data!H811)</f>
        <v>Rejected</v>
      </c>
      <c r="L811" t="str">
        <f>IFERROR(VLOOKUP(K811, Status_Mapping!A:B, 2,), "Not Found")</f>
        <v>Rejected</v>
      </c>
      <c r="N811" s="29" t="str">
        <f>IF(M811="","",M811-B811)</f>
        <v/>
      </c>
      <c r="O811" s="1" t="str">
        <f t="shared" si="70"/>
        <v>Starter</v>
      </c>
      <c r="P811" t="str">
        <f>TEXT(B811, "mmmm")</f>
        <v>September</v>
      </c>
      <c r="Q811" t="str">
        <f t="shared" si="71"/>
        <v>Q3</v>
      </c>
      <c r="R811" t="str">
        <f>IFERROR(VLOOKUP(TRIM(CLEAN(G811)),Sheet14!$A$2:$B$19,2,FALSE),"Not Mapped")</f>
        <v>West</v>
      </c>
    </row>
    <row r="812" spans="1:18">
      <c r="A812" t="str">
        <f t="shared" si="69"/>
        <v>EOS0811</v>
      </c>
      <c r="B812" s="35">
        <v>45923</v>
      </c>
      <c r="C812" s="1" t="s">
        <v>1314</v>
      </c>
      <c r="D812" s="1" t="str">
        <f t="shared" si="68"/>
        <v>Fb</v>
      </c>
      <c r="E812" s="1" t="s">
        <v>1344</v>
      </c>
      <c r="F812" s="1" t="s">
        <v>601</v>
      </c>
      <c r="G812" s="1" t="s">
        <v>224</v>
      </c>
      <c r="H812" s="1" t="s">
        <v>149</v>
      </c>
      <c r="I812" s="1">
        <v>130000</v>
      </c>
      <c r="J812" s="45">
        <v>107810</v>
      </c>
      <c r="K812" s="1" t="str">
        <f>TRIM(Cleaned_CRM_Data!H812)</f>
        <v>Rejected</v>
      </c>
      <c r="L812" t="str">
        <f>IFERROR(VLOOKUP(K812, Status_Mapping!A:B, 2,), "Not Found")</f>
        <v>Rejected</v>
      </c>
      <c r="N812" s="29" t="str">
        <f>IF(M812="","",M812-B812)</f>
        <v/>
      </c>
      <c r="O812" s="1" t="str">
        <f t="shared" si="70"/>
        <v>Starter</v>
      </c>
      <c r="P812" t="str">
        <f>TEXT(B812, "mmmm")</f>
        <v>September</v>
      </c>
      <c r="Q812" t="str">
        <f t="shared" si="71"/>
        <v>Q3</v>
      </c>
      <c r="R812" t="str">
        <f>IFERROR(VLOOKUP(TRIM(CLEAN(G812)),Sheet14!$A$2:$B$19,2,FALSE),"Not Mapped")</f>
        <v>West</v>
      </c>
    </row>
    <row r="813" spans="1:18">
      <c r="A813" t="str">
        <f t="shared" si="69"/>
        <v>EOS0812</v>
      </c>
      <c r="B813" s="35">
        <v>45923</v>
      </c>
      <c r="C813" s="1" t="s">
        <v>1314</v>
      </c>
      <c r="D813" s="1" t="str">
        <f t="shared" si="68"/>
        <v>Fb</v>
      </c>
      <c r="E813" s="1" t="s">
        <v>1345</v>
      </c>
      <c r="F813" s="1" t="s">
        <v>313</v>
      </c>
      <c r="G813" s="1" t="s">
        <v>224</v>
      </c>
      <c r="H813" s="1" t="s">
        <v>149</v>
      </c>
      <c r="I813" s="1">
        <v>108000</v>
      </c>
      <c r="J813" s="45">
        <v>107811</v>
      </c>
      <c r="K813" s="1" t="str">
        <f>TRIM(Cleaned_CRM_Data!H813)</f>
        <v>Rejected</v>
      </c>
      <c r="L813" t="str">
        <f>IFERROR(VLOOKUP(K813, Status_Mapping!A:B, 2,), "Not Found")</f>
        <v>Rejected</v>
      </c>
      <c r="N813" s="29" t="str">
        <f>IF(M813="","",M813-B813)</f>
        <v/>
      </c>
      <c r="O813" s="1" t="str">
        <f t="shared" si="70"/>
        <v>Starter</v>
      </c>
      <c r="P813" t="str">
        <f>TEXT(B813, "mmmm")</f>
        <v>September</v>
      </c>
      <c r="Q813" t="str">
        <f t="shared" si="71"/>
        <v>Q3</v>
      </c>
      <c r="R813" t="str">
        <f>IFERROR(VLOOKUP(TRIM(CLEAN(G813)),Sheet14!$A$2:$B$19,2,FALSE),"Not Mapped")</f>
        <v>West</v>
      </c>
    </row>
    <row r="814" spans="1:18">
      <c r="A814" t="str">
        <f t="shared" si="69"/>
        <v>EOS0813</v>
      </c>
      <c r="B814" s="35">
        <v>45923</v>
      </c>
      <c r="C814" s="1" t="s">
        <v>1314</v>
      </c>
      <c r="D814" s="1" t="str">
        <f t="shared" si="68"/>
        <v>Fb</v>
      </c>
      <c r="E814" s="1" t="s">
        <v>1346</v>
      </c>
      <c r="F814" s="1" t="s">
        <v>1347</v>
      </c>
      <c r="G814" s="1" t="s">
        <v>224</v>
      </c>
      <c r="H814" s="1" t="s">
        <v>149</v>
      </c>
      <c r="I814" s="1">
        <v>130000</v>
      </c>
      <c r="J814" s="45">
        <v>107812</v>
      </c>
      <c r="K814" s="1" t="str">
        <f>TRIM(Cleaned_CRM_Data!H814)</f>
        <v>Rejected</v>
      </c>
      <c r="L814" t="str">
        <f>IFERROR(VLOOKUP(K814, Status_Mapping!A:B, 2,), "Not Found")</f>
        <v>Rejected</v>
      </c>
      <c r="N814" s="29" t="str">
        <f>IF(M814="","",M814-B814)</f>
        <v/>
      </c>
      <c r="O814" s="1" t="str">
        <f t="shared" si="70"/>
        <v>Starter</v>
      </c>
      <c r="P814" t="str">
        <f>TEXT(B814, "mmmm")</f>
        <v>September</v>
      </c>
      <c r="Q814" t="str">
        <f t="shared" si="71"/>
        <v>Q3</v>
      </c>
      <c r="R814" t="str">
        <f>IFERROR(VLOOKUP(TRIM(CLEAN(G814)),Sheet14!$A$2:$B$19,2,FALSE),"Not Mapped")</f>
        <v>West</v>
      </c>
    </row>
    <row r="815" spans="1:18">
      <c r="A815" t="str">
        <f t="shared" si="69"/>
        <v>EOS0814</v>
      </c>
      <c r="B815" s="35">
        <v>45923</v>
      </c>
      <c r="C815" s="1" t="s">
        <v>1314</v>
      </c>
      <c r="D815" s="1" t="str">
        <f t="shared" si="68"/>
        <v>Fb</v>
      </c>
      <c r="E815" s="1" t="s">
        <v>1348</v>
      </c>
      <c r="F815" s="1" t="s">
        <v>645</v>
      </c>
      <c r="G815" s="1" t="s">
        <v>224</v>
      </c>
      <c r="H815" s="1" t="s">
        <v>149</v>
      </c>
      <c r="I815" s="1">
        <v>130000</v>
      </c>
      <c r="J815" s="45">
        <v>107813</v>
      </c>
      <c r="K815" s="1" t="str">
        <f>TRIM(Cleaned_CRM_Data!H815)</f>
        <v>Rejected</v>
      </c>
      <c r="L815" t="str">
        <f>IFERROR(VLOOKUP(K815, Status_Mapping!A:B, 2,), "Not Found")</f>
        <v>Rejected</v>
      </c>
      <c r="N815" s="29" t="str">
        <f>IF(M815="","",M815-B815)</f>
        <v/>
      </c>
      <c r="O815" s="1" t="str">
        <f t="shared" si="70"/>
        <v>Starter</v>
      </c>
      <c r="P815" t="str">
        <f>TEXT(B815, "mmmm")</f>
        <v>September</v>
      </c>
      <c r="Q815" t="str">
        <f t="shared" si="71"/>
        <v>Q3</v>
      </c>
      <c r="R815" t="str">
        <f>IFERROR(VLOOKUP(TRIM(CLEAN(G815)),Sheet14!$A$2:$B$19,2,FALSE),"Not Mapped")</f>
        <v>West</v>
      </c>
    </row>
    <row r="816" spans="1:18">
      <c r="A816" t="str">
        <f t="shared" si="69"/>
        <v>EOS0815</v>
      </c>
      <c r="B816" s="35">
        <v>45923</v>
      </c>
      <c r="C816" s="1" t="s">
        <v>1314</v>
      </c>
      <c r="D816" s="1" t="str">
        <f t="shared" si="68"/>
        <v>Fb</v>
      </c>
      <c r="E816" s="1" t="s">
        <v>1349</v>
      </c>
      <c r="F816" s="1" t="s">
        <v>271</v>
      </c>
      <c r="G816" s="1" t="s">
        <v>224</v>
      </c>
      <c r="H816" s="1" t="s">
        <v>149</v>
      </c>
      <c r="I816" s="1">
        <v>108000</v>
      </c>
      <c r="J816" s="45">
        <v>107814</v>
      </c>
      <c r="K816" s="1" t="str">
        <f>TRIM(Cleaned_CRM_Data!H816)</f>
        <v>Rejected</v>
      </c>
      <c r="L816" t="str">
        <f>IFERROR(VLOOKUP(K816, Status_Mapping!A:B, 2,), "Not Found")</f>
        <v>Rejected</v>
      </c>
      <c r="N816" s="29" t="str">
        <f>IF(M816="","",M816-B816)</f>
        <v/>
      </c>
      <c r="O816" s="1" t="str">
        <f t="shared" si="70"/>
        <v>Starter</v>
      </c>
      <c r="P816" t="str">
        <f>TEXT(B816, "mmmm")</f>
        <v>September</v>
      </c>
      <c r="Q816" t="str">
        <f t="shared" si="71"/>
        <v>Q3</v>
      </c>
      <c r="R816" t="str">
        <f>IFERROR(VLOOKUP(TRIM(CLEAN(G816)),Sheet14!$A$2:$B$19,2,FALSE),"Not Mapped")</f>
        <v>West</v>
      </c>
    </row>
    <row r="817" spans="1:18">
      <c r="A817" t="str">
        <f t="shared" si="69"/>
        <v>EOS0816</v>
      </c>
      <c r="B817" s="35">
        <v>45923</v>
      </c>
      <c r="C817" s="4" t="s">
        <v>267</v>
      </c>
      <c r="D817" s="1" t="str">
        <f t="shared" si="68"/>
        <v>FB</v>
      </c>
      <c r="E817" s="1" t="s">
        <v>1350</v>
      </c>
      <c r="F817" s="1" t="s">
        <v>275</v>
      </c>
      <c r="G817" s="1" t="s">
        <v>224</v>
      </c>
      <c r="H817" s="1" t="s">
        <v>149</v>
      </c>
      <c r="I817" s="1">
        <v>108000</v>
      </c>
      <c r="J817" s="45">
        <v>107815</v>
      </c>
      <c r="K817" s="1" t="str">
        <f>TRIM(Cleaned_CRM_Data!H817)</f>
        <v>Rejected</v>
      </c>
      <c r="L817" t="str">
        <f>IFERROR(VLOOKUP(K817, Status_Mapping!A:B, 2,), "Not Found")</f>
        <v>Rejected</v>
      </c>
      <c r="N817" s="29" t="str">
        <f>IF(M817="","",M817-B817)</f>
        <v/>
      </c>
      <c r="O817" s="1" t="str">
        <f t="shared" si="70"/>
        <v>Starter</v>
      </c>
      <c r="P817" t="str">
        <f>TEXT(B817, "mmmm")</f>
        <v>September</v>
      </c>
      <c r="Q817" t="str">
        <f t="shared" si="71"/>
        <v>Q3</v>
      </c>
      <c r="R817" t="str">
        <f>IFERROR(VLOOKUP(TRIM(CLEAN(G817)),Sheet14!$A$2:$B$19,2,FALSE),"Not Mapped")</f>
        <v>West</v>
      </c>
    </row>
    <row r="818" spans="1:18">
      <c r="A818" t="str">
        <f t="shared" si="69"/>
        <v>EOS0817</v>
      </c>
      <c r="B818" s="35">
        <v>45923</v>
      </c>
      <c r="C818" s="1" t="s">
        <v>911</v>
      </c>
      <c r="D818" s="1"/>
      <c r="E818" s="1" t="s">
        <v>406</v>
      </c>
      <c r="F818" s="1" t="s">
        <v>860</v>
      </c>
      <c r="G818" s="1" t="s">
        <v>224</v>
      </c>
      <c r="H818" s="1" t="s">
        <v>149</v>
      </c>
      <c r="I818" s="1">
        <v>108000</v>
      </c>
      <c r="J818" s="45">
        <v>107816</v>
      </c>
      <c r="K818" s="1" t="str">
        <f>TRIM(Cleaned_CRM_Data!H818)</f>
        <v>Rejected</v>
      </c>
      <c r="L818" t="str">
        <f>IFERROR(VLOOKUP(K818, Status_Mapping!A:B, 2,), "Not Found")</f>
        <v>Rejected</v>
      </c>
      <c r="N818" s="29" t="str">
        <f>IF(M818="","",M818-B818)</f>
        <v/>
      </c>
      <c r="O818" s="1" t="str">
        <f t="shared" si="70"/>
        <v>Starter</v>
      </c>
      <c r="P818" t="str">
        <f>TEXT(B818, "mmmm")</f>
        <v>September</v>
      </c>
      <c r="Q818" t="str">
        <f t="shared" si="71"/>
        <v>Q3</v>
      </c>
      <c r="R818" t="str">
        <f>IFERROR(VLOOKUP(TRIM(CLEAN(G818)),Sheet14!$A$2:$B$19,2,FALSE),"Not Mapped")</f>
        <v>West</v>
      </c>
    </row>
    <row r="819" spans="1:18">
      <c r="A819" t="str">
        <f t="shared" si="69"/>
        <v>EOS0818</v>
      </c>
      <c r="B819" s="35">
        <v>45923</v>
      </c>
      <c r="C819" s="1" t="s">
        <v>911</v>
      </c>
      <c r="D819" s="1"/>
      <c r="E819" s="1" t="s">
        <v>1351</v>
      </c>
      <c r="F819" s="1" t="s">
        <v>1352</v>
      </c>
      <c r="G819" s="1" t="s">
        <v>224</v>
      </c>
      <c r="H819" s="1" t="s">
        <v>149</v>
      </c>
      <c r="I819" s="1">
        <v>130000</v>
      </c>
      <c r="J819" s="45">
        <v>107817</v>
      </c>
      <c r="K819" s="1" t="str">
        <f>TRIM(Cleaned_CRM_Data!H819)</f>
        <v>Rejected</v>
      </c>
      <c r="L819" t="str">
        <f>IFERROR(VLOOKUP(K819, Status_Mapping!A:B, 2,), "Not Found")</f>
        <v>Rejected</v>
      </c>
      <c r="N819" s="29" t="str">
        <f>IF(M819="","",M819-B819)</f>
        <v/>
      </c>
      <c r="O819" s="1" t="str">
        <f t="shared" si="70"/>
        <v>Starter</v>
      </c>
      <c r="P819" t="str">
        <f>TEXT(B819, "mmmm")</f>
        <v>September</v>
      </c>
      <c r="Q819" t="str">
        <f t="shared" si="71"/>
        <v>Q3</v>
      </c>
      <c r="R819" t="str">
        <f>IFERROR(VLOOKUP(TRIM(CLEAN(G819)),Sheet14!$A$2:$B$19,2,FALSE),"Not Mapped")</f>
        <v>West</v>
      </c>
    </row>
    <row r="820" spans="1:18">
      <c r="A820" t="str">
        <f t="shared" si="69"/>
        <v>EOS0819</v>
      </c>
      <c r="B820" s="35">
        <v>45925</v>
      </c>
      <c r="C820" s="1" t="s">
        <v>267</v>
      </c>
      <c r="D820" s="1" t="str">
        <f t="shared" ref="D820:D824" si="72">TRIM(CLEAN(SUBSTITUTE(C820,CHAR(160),"")))</f>
        <v>FB</v>
      </c>
      <c r="E820" s="1" t="s">
        <v>1353</v>
      </c>
      <c r="F820" s="1" t="s">
        <v>300</v>
      </c>
      <c r="G820" s="1" t="s">
        <v>224</v>
      </c>
      <c r="H820" s="1" t="s">
        <v>149</v>
      </c>
      <c r="I820" s="1">
        <v>130000</v>
      </c>
      <c r="J820" s="45">
        <v>107818</v>
      </c>
      <c r="K820" s="1" t="str">
        <f>TRIM(Cleaned_CRM_Data!H820)</f>
        <v>Rejected</v>
      </c>
      <c r="L820" t="str">
        <f>IFERROR(VLOOKUP(K820, Status_Mapping!A:B, 2,), "Not Found")</f>
        <v>Rejected</v>
      </c>
      <c r="N820" s="29" t="str">
        <f>IF(M820="","",M820-B820)</f>
        <v/>
      </c>
      <c r="O820" s="1" t="str">
        <f t="shared" si="70"/>
        <v>Starter</v>
      </c>
      <c r="P820" t="str">
        <f>TEXT(B820, "mmmm")</f>
        <v>September</v>
      </c>
      <c r="Q820" t="str">
        <f t="shared" si="71"/>
        <v>Q3</v>
      </c>
      <c r="R820" t="str">
        <f>IFERROR(VLOOKUP(TRIM(CLEAN(G820)),Sheet14!$A$2:$B$19,2,FALSE),"Not Mapped")</f>
        <v>West</v>
      </c>
    </row>
    <row r="821" spans="1:18">
      <c r="A821" t="str">
        <f t="shared" si="69"/>
        <v>EOS0820</v>
      </c>
      <c r="B821" s="35">
        <v>45924</v>
      </c>
      <c r="C821" s="1" t="s">
        <v>267</v>
      </c>
      <c r="D821" s="1" t="str">
        <f t="shared" si="72"/>
        <v>FB</v>
      </c>
      <c r="E821" s="1" t="s">
        <v>1354</v>
      </c>
      <c r="F821" s="1"/>
      <c r="G821" s="1" t="s">
        <v>224</v>
      </c>
      <c r="H821" s="1" t="s">
        <v>149</v>
      </c>
      <c r="I821" s="1">
        <v>130000</v>
      </c>
      <c r="J821" s="45">
        <v>107819</v>
      </c>
      <c r="K821" s="1" t="str">
        <f>TRIM(Cleaned_CRM_Data!H821)</f>
        <v>Rejected</v>
      </c>
      <c r="L821" t="str">
        <f>IFERROR(VLOOKUP(K821, Status_Mapping!A:B, 2,), "Not Found")</f>
        <v>Rejected</v>
      </c>
      <c r="N821" s="29" t="str">
        <f>IF(M821="","",M821-B821)</f>
        <v/>
      </c>
      <c r="O821" s="1" t="str">
        <f t="shared" si="70"/>
        <v>Starter</v>
      </c>
      <c r="P821" t="str">
        <f>TEXT(B821, "mmmm")</f>
        <v>September</v>
      </c>
      <c r="Q821" t="str">
        <f t="shared" si="71"/>
        <v>Q3</v>
      </c>
      <c r="R821" t="str">
        <f>IFERROR(VLOOKUP(TRIM(CLEAN(G821)),Sheet14!$A$2:$B$19,2,FALSE),"Not Mapped")</f>
        <v>West</v>
      </c>
    </row>
    <row r="822" spans="1:18">
      <c r="A822" t="str">
        <f t="shared" si="69"/>
        <v>EOS0821</v>
      </c>
      <c r="B822" s="35">
        <v>45925</v>
      </c>
      <c r="C822" s="1" t="s">
        <v>267</v>
      </c>
      <c r="D822" s="1" t="str">
        <f t="shared" si="72"/>
        <v>FB</v>
      </c>
      <c r="E822" s="1" t="s">
        <v>1355</v>
      </c>
      <c r="F822" s="1" t="s">
        <v>1356</v>
      </c>
      <c r="G822" s="1" t="s">
        <v>224</v>
      </c>
      <c r="H822" s="1" t="s">
        <v>149</v>
      </c>
      <c r="I822" s="1">
        <v>177000</v>
      </c>
      <c r="J822" s="45">
        <v>107820</v>
      </c>
      <c r="K822" s="1" t="str">
        <f>TRIM(Cleaned_CRM_Data!H822)</f>
        <v>Rejected</v>
      </c>
      <c r="L822" t="str">
        <f>IFERROR(VLOOKUP(K822, Status_Mapping!A:B, 2,), "Not Found")</f>
        <v>Rejected</v>
      </c>
      <c r="N822" s="29" t="str">
        <f>IF(M822="","",M822-B822)</f>
        <v/>
      </c>
      <c r="O822" s="1" t="str">
        <f t="shared" si="70"/>
        <v>Growth</v>
      </c>
      <c r="P822" t="str">
        <f>TEXT(B822, "mmmm")</f>
        <v>September</v>
      </c>
      <c r="Q822" t="str">
        <f t="shared" si="71"/>
        <v>Q3</v>
      </c>
      <c r="R822" t="str">
        <f>IFERROR(VLOOKUP(TRIM(CLEAN(G822)),Sheet14!$A$2:$B$19,2,FALSE),"Not Mapped")</f>
        <v>West</v>
      </c>
    </row>
    <row r="823" spans="1:18">
      <c r="A823" t="str">
        <f t="shared" si="69"/>
        <v>EOS0822</v>
      </c>
      <c r="B823" s="35">
        <v>45924</v>
      </c>
      <c r="C823" s="1" t="s">
        <v>267</v>
      </c>
      <c r="D823" s="1" t="str">
        <f t="shared" si="72"/>
        <v>FB</v>
      </c>
      <c r="E823" s="1" t="s">
        <v>1357</v>
      </c>
      <c r="F823" s="1" t="s">
        <v>271</v>
      </c>
      <c r="G823" s="1" t="s">
        <v>224</v>
      </c>
      <c r="H823" s="1" t="s">
        <v>149</v>
      </c>
      <c r="I823" s="1">
        <v>108000</v>
      </c>
      <c r="J823" s="45">
        <v>107821</v>
      </c>
      <c r="K823" s="1" t="str">
        <f>TRIM(Cleaned_CRM_Data!H823)</f>
        <v>Rejected</v>
      </c>
      <c r="L823" t="str">
        <f>IFERROR(VLOOKUP(K823, Status_Mapping!A:B, 2,), "Not Found")</f>
        <v>Rejected</v>
      </c>
      <c r="N823" s="29" t="str">
        <f>IF(M823="","",M823-B823)</f>
        <v/>
      </c>
      <c r="O823" s="1" t="str">
        <f t="shared" si="70"/>
        <v>Starter</v>
      </c>
      <c r="P823" t="str">
        <f>TEXT(B823, "mmmm")</f>
        <v>September</v>
      </c>
      <c r="Q823" t="str">
        <f t="shared" si="71"/>
        <v>Q3</v>
      </c>
      <c r="R823" t="str">
        <f>IFERROR(VLOOKUP(TRIM(CLEAN(G823)),Sheet14!$A$2:$B$19,2,FALSE),"Not Mapped")</f>
        <v>West</v>
      </c>
    </row>
    <row r="824" spans="1:18">
      <c r="A824" t="str">
        <f t="shared" si="69"/>
        <v>EOS0823</v>
      </c>
      <c r="B824" s="35">
        <v>45925</v>
      </c>
      <c r="C824" s="1" t="s">
        <v>267</v>
      </c>
      <c r="D824" s="1" t="str">
        <f t="shared" si="72"/>
        <v>FB</v>
      </c>
      <c r="E824" s="1" t="s">
        <v>1358</v>
      </c>
      <c r="F824" s="1" t="s">
        <v>1359</v>
      </c>
      <c r="G824" s="1" t="s">
        <v>224</v>
      </c>
      <c r="H824" s="1" t="s">
        <v>149</v>
      </c>
      <c r="I824" s="1">
        <v>130000</v>
      </c>
      <c r="J824" s="45">
        <v>107822</v>
      </c>
      <c r="K824" s="1" t="str">
        <f>TRIM(Cleaned_CRM_Data!H824)</f>
        <v>Rejected</v>
      </c>
      <c r="L824" t="str">
        <f>IFERROR(VLOOKUP(K824, Status_Mapping!A:B, 2,), "Not Found")</f>
        <v>Rejected</v>
      </c>
      <c r="N824" s="29" t="str">
        <f>IF(M824="","",M824-B824)</f>
        <v/>
      </c>
      <c r="O824" s="1" t="str">
        <f t="shared" si="70"/>
        <v>Starter</v>
      </c>
      <c r="P824" t="str">
        <f>TEXT(B824, "mmmm")</f>
        <v>September</v>
      </c>
      <c r="Q824" t="str">
        <f t="shared" si="71"/>
        <v>Q3</v>
      </c>
      <c r="R824" t="str">
        <f>IFERROR(VLOOKUP(TRIM(CLEAN(G824)),Sheet14!$A$2:$B$19,2,FALSE),"Not Mapped")</f>
        <v>West</v>
      </c>
    </row>
    <row r="825" spans="1:18">
      <c r="A825" t="str">
        <f t="shared" si="69"/>
        <v>EOS0824</v>
      </c>
      <c r="B825" s="35">
        <v>45925</v>
      </c>
      <c r="C825" s="1" t="s">
        <v>911</v>
      </c>
      <c r="D825" s="1"/>
      <c r="E825" s="1" t="s">
        <v>1360</v>
      </c>
      <c r="F825" s="1" t="s">
        <v>326</v>
      </c>
      <c r="G825" s="1" t="s">
        <v>224</v>
      </c>
      <c r="H825" s="1" t="s">
        <v>149</v>
      </c>
      <c r="I825" s="1">
        <v>130000</v>
      </c>
      <c r="J825" s="45">
        <v>107823</v>
      </c>
      <c r="K825" s="1" t="str">
        <f>TRIM(Cleaned_CRM_Data!H825)</f>
        <v>Rejected</v>
      </c>
      <c r="L825" t="str">
        <f>IFERROR(VLOOKUP(K825, Status_Mapping!A:B, 2,), "Not Found")</f>
        <v>Rejected</v>
      </c>
      <c r="N825" s="29" t="str">
        <f>IF(M825="","",M825-B825)</f>
        <v/>
      </c>
      <c r="O825" s="1" t="str">
        <f t="shared" si="70"/>
        <v>Starter</v>
      </c>
      <c r="P825" t="str">
        <f>TEXT(B825, "mmmm")</f>
        <v>September</v>
      </c>
      <c r="Q825" t="str">
        <f t="shared" si="71"/>
        <v>Q3</v>
      </c>
      <c r="R825" t="str">
        <f>IFERROR(VLOOKUP(TRIM(CLEAN(G825)),Sheet14!$A$2:$B$19,2,FALSE),"Not Mapped")</f>
        <v>West</v>
      </c>
    </row>
    <row r="826" spans="1:18">
      <c r="A826" t="str">
        <f t="shared" si="69"/>
        <v>EOS0825</v>
      </c>
      <c r="B826" s="35">
        <v>45925</v>
      </c>
      <c r="C826" s="1" t="s">
        <v>1314</v>
      </c>
      <c r="D826" s="1" t="str">
        <f t="shared" ref="D826:D888" si="73">TRIM(CLEAN(SUBSTITUTE(C826,CHAR(160),"")))</f>
        <v>Fb</v>
      </c>
      <c r="E826" s="1" t="s">
        <v>1361</v>
      </c>
      <c r="F826" s="1"/>
      <c r="G826" s="1" t="s">
        <v>224</v>
      </c>
      <c r="H826" s="1" t="s">
        <v>149</v>
      </c>
      <c r="I826" s="1">
        <v>108000</v>
      </c>
      <c r="J826" s="45">
        <v>107824</v>
      </c>
      <c r="K826" s="1" t="str">
        <f>TRIM(Cleaned_CRM_Data!H826)</f>
        <v>Rejected</v>
      </c>
      <c r="L826" t="str">
        <f>IFERROR(VLOOKUP(K826, Status_Mapping!A:B, 2,), "Not Found")</f>
        <v>Rejected</v>
      </c>
      <c r="N826" s="29" t="str">
        <f>IF(M826="","",M826-B826)</f>
        <v/>
      </c>
      <c r="O826" s="1" t="str">
        <f t="shared" si="70"/>
        <v>Starter</v>
      </c>
      <c r="P826" t="str">
        <f>TEXT(B826, "mmmm")</f>
        <v>September</v>
      </c>
      <c r="Q826" t="str">
        <f t="shared" si="71"/>
        <v>Q3</v>
      </c>
      <c r="R826" t="str">
        <f>IFERROR(VLOOKUP(TRIM(CLEAN(G826)),Sheet14!$A$2:$B$19,2,FALSE),"Not Mapped")</f>
        <v>West</v>
      </c>
    </row>
    <row r="827" spans="1:18">
      <c r="A827" t="str">
        <f t="shared" si="69"/>
        <v>EOS0826</v>
      </c>
      <c r="B827" s="35">
        <v>45925</v>
      </c>
      <c r="C827" s="4" t="s">
        <v>267</v>
      </c>
      <c r="D827" s="1" t="str">
        <f t="shared" si="73"/>
        <v>FB</v>
      </c>
      <c r="E827" s="1" t="s">
        <v>1362</v>
      </c>
      <c r="F827" s="1" t="s">
        <v>1363</v>
      </c>
      <c r="G827" s="1" t="s">
        <v>224</v>
      </c>
      <c r="H827" s="1" t="s">
        <v>69</v>
      </c>
      <c r="I827" s="1">
        <v>108000</v>
      </c>
      <c r="J827" s="45">
        <v>107825</v>
      </c>
      <c r="K827" s="1" t="str">
        <f>TRIM(Cleaned_CRM_Data!H827)</f>
        <v>Follow up</v>
      </c>
      <c r="L827" t="str">
        <f>IFERROR(VLOOKUP(K827, Status_Mapping!A:B, 2,), "Not Found")</f>
        <v>Follow Up</v>
      </c>
      <c r="N827" s="29" t="str">
        <f>IF(M827="","",M827-B827)</f>
        <v/>
      </c>
      <c r="O827" s="1" t="str">
        <f t="shared" si="70"/>
        <v>Starter</v>
      </c>
      <c r="P827" t="str">
        <f>TEXT(B827, "mmmm")</f>
        <v>September</v>
      </c>
      <c r="Q827" t="str">
        <f t="shared" si="71"/>
        <v>Q3</v>
      </c>
      <c r="R827" t="str">
        <f>IFERROR(VLOOKUP(TRIM(CLEAN(G827)),Sheet14!$A$2:$B$19,2,FALSE),"Not Mapped")</f>
        <v>West</v>
      </c>
    </row>
    <row r="828" spans="1:18">
      <c r="A828" t="str">
        <f t="shared" si="69"/>
        <v>EOS0827</v>
      </c>
      <c r="B828" s="35">
        <v>45925</v>
      </c>
      <c r="C828" s="4" t="s">
        <v>267</v>
      </c>
      <c r="D828" s="1" t="str">
        <f t="shared" si="73"/>
        <v>FB</v>
      </c>
      <c r="E828" s="1" t="s">
        <v>1364</v>
      </c>
      <c r="F828" s="1" t="s">
        <v>860</v>
      </c>
      <c r="G828" s="1" t="s">
        <v>224</v>
      </c>
      <c r="H828" s="1" t="s">
        <v>69</v>
      </c>
      <c r="I828" s="1">
        <v>108000</v>
      </c>
      <c r="J828" s="45">
        <v>107826</v>
      </c>
      <c r="K828" s="1" t="str">
        <f>TRIM(Cleaned_CRM_Data!H828)</f>
        <v>Follow up</v>
      </c>
      <c r="L828" t="str">
        <f>IFERROR(VLOOKUP(K828, Status_Mapping!A:B, 2,), "Not Found")</f>
        <v>Follow Up</v>
      </c>
      <c r="N828" s="29" t="str">
        <f>IF(M828="","",M828-B828)</f>
        <v/>
      </c>
      <c r="O828" s="1" t="str">
        <f t="shared" si="70"/>
        <v>Starter</v>
      </c>
      <c r="P828" t="str">
        <f>TEXT(B828, "mmmm")</f>
        <v>September</v>
      </c>
      <c r="Q828" t="str">
        <f t="shared" si="71"/>
        <v>Q3</v>
      </c>
      <c r="R828" t="str">
        <f>IFERROR(VLOOKUP(TRIM(CLEAN(G828)),Sheet14!$A$2:$B$19,2,FALSE),"Not Mapped")</f>
        <v>West</v>
      </c>
    </row>
    <row r="829" spans="1:18">
      <c r="A829" t="str">
        <f t="shared" si="69"/>
        <v>EOS0828</v>
      </c>
      <c r="B829" s="35">
        <v>45925</v>
      </c>
      <c r="C829" s="4" t="s">
        <v>267</v>
      </c>
      <c r="D829" s="1" t="str">
        <f t="shared" si="73"/>
        <v>FB</v>
      </c>
      <c r="E829" s="1" t="s">
        <v>1365</v>
      </c>
      <c r="F829" s="1" t="s">
        <v>1366</v>
      </c>
      <c r="G829" s="1" t="s">
        <v>224</v>
      </c>
      <c r="H829" s="1" t="s">
        <v>69</v>
      </c>
      <c r="I829" s="1">
        <v>108000</v>
      </c>
      <c r="J829" s="45">
        <v>107827</v>
      </c>
      <c r="K829" s="1" t="str">
        <f>TRIM(Cleaned_CRM_Data!H829)</f>
        <v>Follow up</v>
      </c>
      <c r="L829" t="str">
        <f>IFERROR(VLOOKUP(K829, Status_Mapping!A:B, 2,), "Not Found")</f>
        <v>Follow Up</v>
      </c>
      <c r="N829" s="29" t="str">
        <f>IF(M829="","",M829-B829)</f>
        <v/>
      </c>
      <c r="O829" s="1" t="str">
        <f t="shared" si="70"/>
        <v>Starter</v>
      </c>
      <c r="P829" t="str">
        <f>TEXT(B829, "mmmm")</f>
        <v>September</v>
      </c>
      <c r="Q829" t="str">
        <f t="shared" si="71"/>
        <v>Q3</v>
      </c>
      <c r="R829" t="str">
        <f>IFERROR(VLOOKUP(TRIM(CLEAN(G829)),Sheet14!$A$2:$B$19,2,FALSE),"Not Mapped")</f>
        <v>West</v>
      </c>
    </row>
    <row r="830" spans="1:18">
      <c r="A830" t="str">
        <f t="shared" si="69"/>
        <v>EOS0829</v>
      </c>
      <c r="B830" s="35">
        <v>45925</v>
      </c>
      <c r="C830" s="4" t="s">
        <v>267</v>
      </c>
      <c r="D830" s="1" t="str">
        <f t="shared" si="73"/>
        <v>FB</v>
      </c>
      <c r="E830" s="1" t="s">
        <v>1367</v>
      </c>
      <c r="F830" s="1" t="s">
        <v>1368</v>
      </c>
      <c r="G830" s="1" t="s">
        <v>224</v>
      </c>
      <c r="H830" s="1" t="s">
        <v>69</v>
      </c>
      <c r="I830" s="1">
        <v>130000</v>
      </c>
      <c r="J830" s="45">
        <v>107828</v>
      </c>
      <c r="K830" s="1" t="str">
        <f>TRIM(Cleaned_CRM_Data!H830)</f>
        <v>Follow up</v>
      </c>
      <c r="L830" t="str">
        <f>IFERROR(VLOOKUP(K830, Status_Mapping!A:B, 2,), "Not Found")</f>
        <v>Follow Up</v>
      </c>
      <c r="N830" s="29" t="str">
        <f>IF(M830="","",M830-B830)</f>
        <v/>
      </c>
      <c r="O830" s="1" t="str">
        <f t="shared" si="70"/>
        <v>Starter</v>
      </c>
      <c r="P830" t="str">
        <f>TEXT(B830, "mmmm")</f>
        <v>September</v>
      </c>
      <c r="Q830" t="str">
        <f t="shared" si="71"/>
        <v>Q3</v>
      </c>
      <c r="R830" t="str">
        <f>IFERROR(VLOOKUP(TRIM(CLEAN(G830)),Sheet14!$A$2:$B$19,2,FALSE),"Not Mapped")</f>
        <v>West</v>
      </c>
    </row>
    <row r="831" spans="1:18">
      <c r="A831" t="str">
        <f t="shared" si="69"/>
        <v>EOS0830</v>
      </c>
      <c r="B831" s="35">
        <v>45927</v>
      </c>
      <c r="C831" s="1" t="s">
        <v>1314</v>
      </c>
      <c r="D831" s="1" t="str">
        <f t="shared" si="73"/>
        <v>Fb</v>
      </c>
      <c r="E831" s="1" t="s">
        <v>1369</v>
      </c>
      <c r="F831" s="1"/>
      <c r="G831" s="1" t="s">
        <v>224</v>
      </c>
      <c r="H831" s="1" t="s">
        <v>149</v>
      </c>
      <c r="I831" s="1">
        <v>130000</v>
      </c>
      <c r="J831" s="45">
        <v>107829</v>
      </c>
      <c r="K831" s="1" t="str">
        <f>TRIM(Cleaned_CRM_Data!H831)</f>
        <v>Rejected</v>
      </c>
      <c r="L831" t="str">
        <f>IFERROR(VLOOKUP(K831, Status_Mapping!A:B, 2,), "Not Found")</f>
        <v>Rejected</v>
      </c>
      <c r="N831" s="29" t="str">
        <f>IF(M831="","",M831-B831)</f>
        <v/>
      </c>
      <c r="O831" s="1" t="str">
        <f t="shared" si="70"/>
        <v>Starter</v>
      </c>
      <c r="P831" t="str">
        <f>TEXT(B831, "mmmm")</f>
        <v>September</v>
      </c>
      <c r="Q831" t="str">
        <f t="shared" si="71"/>
        <v>Q3</v>
      </c>
      <c r="R831" t="str">
        <f>IFERROR(VLOOKUP(TRIM(CLEAN(G831)),Sheet14!$A$2:$B$19,2,FALSE),"Not Mapped")</f>
        <v>West</v>
      </c>
    </row>
    <row r="832" spans="1:18">
      <c r="A832" t="str">
        <f t="shared" si="69"/>
        <v>EOS0831</v>
      </c>
      <c r="B832" s="35">
        <v>45927</v>
      </c>
      <c r="C832" s="1" t="s">
        <v>1314</v>
      </c>
      <c r="D832" s="1" t="str">
        <f t="shared" si="73"/>
        <v>Fb</v>
      </c>
      <c r="E832" s="1" t="s">
        <v>1370</v>
      </c>
      <c r="F832" s="1" t="s">
        <v>1262</v>
      </c>
      <c r="G832" s="1" t="s">
        <v>224</v>
      </c>
      <c r="H832" s="1" t="s">
        <v>149</v>
      </c>
      <c r="I832" s="1">
        <v>130000</v>
      </c>
      <c r="J832" s="45">
        <v>107830</v>
      </c>
      <c r="K832" s="1" t="str">
        <f>TRIM(Cleaned_CRM_Data!H832)</f>
        <v>Rejected</v>
      </c>
      <c r="L832" t="str">
        <f>IFERROR(VLOOKUP(K832, Status_Mapping!A:B, 2,), "Not Found")</f>
        <v>Rejected</v>
      </c>
      <c r="N832" s="29" t="str">
        <f>IF(M832="","",M832-B832)</f>
        <v/>
      </c>
      <c r="O832" s="1" t="str">
        <f t="shared" si="70"/>
        <v>Starter</v>
      </c>
      <c r="P832" t="str">
        <f>TEXT(B832, "mmmm")</f>
        <v>September</v>
      </c>
      <c r="Q832" t="str">
        <f t="shared" si="71"/>
        <v>Q3</v>
      </c>
      <c r="R832" t="str">
        <f>IFERROR(VLOOKUP(TRIM(CLEAN(G832)),Sheet14!$A$2:$B$19,2,FALSE),"Not Mapped")</f>
        <v>West</v>
      </c>
    </row>
    <row r="833" spans="1:18">
      <c r="A833" t="str">
        <f t="shared" si="69"/>
        <v>EOS0832</v>
      </c>
      <c r="B833" s="35">
        <v>45927</v>
      </c>
      <c r="C833" s="1" t="s">
        <v>1314</v>
      </c>
      <c r="D833" s="1" t="str">
        <f t="shared" si="73"/>
        <v>Fb</v>
      </c>
      <c r="E833" s="1" t="s">
        <v>1371</v>
      </c>
      <c r="F833" s="1" t="s">
        <v>1372</v>
      </c>
      <c r="G833" s="1" t="s">
        <v>224</v>
      </c>
      <c r="H833" s="1" t="s">
        <v>149</v>
      </c>
      <c r="I833" s="1">
        <v>130000</v>
      </c>
      <c r="J833" s="45">
        <v>107831</v>
      </c>
      <c r="K833" s="1" t="str">
        <f>TRIM(Cleaned_CRM_Data!H833)</f>
        <v>Rejected</v>
      </c>
      <c r="L833" t="str">
        <f>IFERROR(VLOOKUP(K833, Status_Mapping!A:B, 2,), "Not Found")</f>
        <v>Rejected</v>
      </c>
      <c r="N833" s="29" t="str">
        <f>IF(M833="","",M833-B833)</f>
        <v/>
      </c>
      <c r="O833" s="1" t="str">
        <f t="shared" si="70"/>
        <v>Starter</v>
      </c>
      <c r="P833" t="str">
        <f>TEXT(B833, "mmmm")</f>
        <v>September</v>
      </c>
      <c r="Q833" t="str">
        <f t="shared" si="71"/>
        <v>Q3</v>
      </c>
      <c r="R833" t="str">
        <f>IFERROR(VLOOKUP(TRIM(CLEAN(G833)),Sheet14!$A$2:$B$19,2,FALSE),"Not Mapped")</f>
        <v>West</v>
      </c>
    </row>
    <row r="834" spans="1:18">
      <c r="A834" t="str">
        <f t="shared" si="69"/>
        <v>EOS0833</v>
      </c>
      <c r="B834" s="35">
        <v>45927</v>
      </c>
      <c r="C834" s="1" t="s">
        <v>1314</v>
      </c>
      <c r="D834" s="1" t="str">
        <f t="shared" si="73"/>
        <v>Fb</v>
      </c>
      <c r="E834" s="1" t="s">
        <v>1373</v>
      </c>
      <c r="F834" s="1" t="s">
        <v>1144</v>
      </c>
      <c r="G834" s="1" t="s">
        <v>224</v>
      </c>
      <c r="H834" s="1" t="s">
        <v>149</v>
      </c>
      <c r="I834" s="1">
        <v>108000</v>
      </c>
      <c r="J834" s="45">
        <v>107832</v>
      </c>
      <c r="K834" s="1" t="str">
        <f>TRIM(Cleaned_CRM_Data!H834)</f>
        <v>Rejected</v>
      </c>
      <c r="L834" t="str">
        <f>IFERROR(VLOOKUP(K834, Status_Mapping!A:B, 2,), "Not Found")</f>
        <v>Rejected</v>
      </c>
      <c r="N834" s="29" t="str">
        <f>IF(M834="","",M834-B834)</f>
        <v/>
      </c>
      <c r="O834" s="1" t="str">
        <f t="shared" si="70"/>
        <v>Starter</v>
      </c>
      <c r="P834" t="str">
        <f>TEXT(B834, "mmmm")</f>
        <v>September</v>
      </c>
      <c r="Q834" t="str">
        <f t="shared" si="71"/>
        <v>Q3</v>
      </c>
      <c r="R834" t="str">
        <f>IFERROR(VLOOKUP(TRIM(CLEAN(G834)),Sheet14!$A$2:$B$19,2,FALSE),"Not Mapped")</f>
        <v>West</v>
      </c>
    </row>
    <row r="835" spans="1:18">
      <c r="A835" t="str">
        <f t="shared" ref="A835:A898" si="74">"EOS"&amp;TEXT(ROW()-1,"0000")</f>
        <v>EOS0834</v>
      </c>
      <c r="B835" s="35">
        <v>45927</v>
      </c>
      <c r="C835" s="1" t="s">
        <v>1314</v>
      </c>
      <c r="D835" s="1" t="str">
        <f t="shared" si="73"/>
        <v>Fb</v>
      </c>
      <c r="E835" s="1" t="s">
        <v>1374</v>
      </c>
      <c r="F835" s="1" t="s">
        <v>296</v>
      </c>
      <c r="G835" s="1" t="s">
        <v>224</v>
      </c>
      <c r="H835" s="1" t="s">
        <v>149</v>
      </c>
      <c r="I835" s="1">
        <v>130000</v>
      </c>
      <c r="J835" s="45">
        <v>107833</v>
      </c>
      <c r="K835" s="1" t="str">
        <f>TRIM(Cleaned_CRM_Data!H835)</f>
        <v>Rejected</v>
      </c>
      <c r="L835" t="str">
        <f>IFERROR(VLOOKUP(K835, Status_Mapping!A:B, 2,), "Not Found")</f>
        <v>Rejected</v>
      </c>
      <c r="N835" s="29" t="str">
        <f>IF(M835="","",M835-B835)</f>
        <v/>
      </c>
      <c r="O835" s="1" t="str">
        <f t="shared" ref="O835:O898" si="75">IF(OR(I835=108000,I835=130000),"Starter",IF(I835=177000,"Growth","Premium"))</f>
        <v>Starter</v>
      </c>
      <c r="P835" t="str">
        <f>TEXT(B835, "mmmm")</f>
        <v>September</v>
      </c>
      <c r="Q835" t="str">
        <f t="shared" ref="Q835:Q898" si="76">"Q"&amp;ROUNDUP(MONTH(B835)/3,0)</f>
        <v>Q3</v>
      </c>
      <c r="R835" t="str">
        <f>IFERROR(VLOOKUP(TRIM(CLEAN(G835)),Sheet14!$A$2:$B$19,2,FALSE),"Not Mapped")</f>
        <v>West</v>
      </c>
    </row>
    <row r="836" spans="1:18">
      <c r="A836" t="str">
        <f t="shared" si="74"/>
        <v>EOS0835</v>
      </c>
      <c r="B836" s="35">
        <v>45927</v>
      </c>
      <c r="C836" s="4" t="s">
        <v>267</v>
      </c>
      <c r="D836" s="1" t="str">
        <f t="shared" si="73"/>
        <v>FB</v>
      </c>
      <c r="E836" s="1" t="s">
        <v>1375</v>
      </c>
      <c r="F836" s="1" t="s">
        <v>300</v>
      </c>
      <c r="G836" s="1" t="s">
        <v>224</v>
      </c>
      <c r="H836" s="1" t="s">
        <v>69</v>
      </c>
      <c r="I836" s="1">
        <v>130000</v>
      </c>
      <c r="J836" s="45">
        <v>107834</v>
      </c>
      <c r="K836" s="1" t="str">
        <f>TRIM(Cleaned_CRM_Data!H836)</f>
        <v>Follow up</v>
      </c>
      <c r="L836" t="str">
        <f>IFERROR(VLOOKUP(K836, Status_Mapping!A:B, 2,), "Not Found")</f>
        <v>Follow Up</v>
      </c>
      <c r="N836" s="29" t="str">
        <f>IF(M836="","",M836-B836)</f>
        <v/>
      </c>
      <c r="O836" s="1" t="str">
        <f t="shared" si="75"/>
        <v>Starter</v>
      </c>
      <c r="P836" t="str">
        <f>TEXT(B836, "mmmm")</f>
        <v>September</v>
      </c>
      <c r="Q836" t="str">
        <f t="shared" si="76"/>
        <v>Q3</v>
      </c>
      <c r="R836" t="str">
        <f>IFERROR(VLOOKUP(TRIM(CLEAN(G836)),Sheet14!$A$2:$B$19,2,FALSE),"Not Mapped")</f>
        <v>West</v>
      </c>
    </row>
    <row r="837" spans="1:18">
      <c r="A837" t="str">
        <f t="shared" si="74"/>
        <v>EOS0836</v>
      </c>
      <c r="B837" s="35">
        <v>45928</v>
      </c>
      <c r="C837" s="4" t="s">
        <v>267</v>
      </c>
      <c r="D837" s="1" t="str">
        <f t="shared" si="73"/>
        <v>FB</v>
      </c>
      <c r="E837" s="1" t="s">
        <v>1376</v>
      </c>
      <c r="F837" s="1" t="s">
        <v>275</v>
      </c>
      <c r="G837" s="1" t="s">
        <v>224</v>
      </c>
      <c r="H837" s="1" t="s">
        <v>69</v>
      </c>
      <c r="I837" s="1">
        <v>108000</v>
      </c>
      <c r="J837" s="45">
        <v>107835</v>
      </c>
      <c r="K837" s="1" t="str">
        <f>TRIM(Cleaned_CRM_Data!H837)</f>
        <v>Follow up</v>
      </c>
      <c r="L837" t="str">
        <f>IFERROR(VLOOKUP(K837, Status_Mapping!A:B, 2,), "Not Found")</f>
        <v>Follow Up</v>
      </c>
      <c r="N837" s="29" t="str">
        <f>IF(M837="","",M837-B837)</f>
        <v/>
      </c>
      <c r="O837" s="1" t="str">
        <f t="shared" si="75"/>
        <v>Starter</v>
      </c>
      <c r="P837" t="str">
        <f>TEXT(B837, "mmmm")</f>
        <v>September</v>
      </c>
      <c r="Q837" t="str">
        <f t="shared" si="76"/>
        <v>Q3</v>
      </c>
      <c r="R837" t="str">
        <f>IFERROR(VLOOKUP(TRIM(CLEAN(G837)),Sheet14!$A$2:$B$19,2,FALSE),"Not Mapped")</f>
        <v>West</v>
      </c>
    </row>
    <row r="838" spans="1:18">
      <c r="A838" t="str">
        <f t="shared" si="74"/>
        <v>EOS0837</v>
      </c>
      <c r="B838" s="35">
        <v>45928</v>
      </c>
      <c r="C838" s="4" t="s">
        <v>267</v>
      </c>
      <c r="D838" s="1" t="str">
        <f t="shared" si="73"/>
        <v>FB</v>
      </c>
      <c r="E838" s="1" t="s">
        <v>1377</v>
      </c>
      <c r="F838" s="1" t="s">
        <v>1284</v>
      </c>
      <c r="G838" s="1" t="s">
        <v>224</v>
      </c>
      <c r="H838" s="1" t="s">
        <v>69</v>
      </c>
      <c r="I838" s="1">
        <v>130000</v>
      </c>
      <c r="J838" s="45">
        <v>107836</v>
      </c>
      <c r="K838" s="1" t="str">
        <f>TRIM(Cleaned_CRM_Data!H838)</f>
        <v>Follow up</v>
      </c>
      <c r="L838" t="str">
        <f>IFERROR(VLOOKUP(K838, Status_Mapping!A:B, 2,), "Not Found")</f>
        <v>Follow Up</v>
      </c>
      <c r="N838" s="29" t="str">
        <f>IF(M838="","",M838-B838)</f>
        <v/>
      </c>
      <c r="O838" s="1" t="str">
        <f t="shared" si="75"/>
        <v>Starter</v>
      </c>
      <c r="P838" t="str">
        <f>TEXT(B838, "mmmm")</f>
        <v>September</v>
      </c>
      <c r="Q838" t="str">
        <f t="shared" si="76"/>
        <v>Q3</v>
      </c>
      <c r="R838" t="str">
        <f>IFERROR(VLOOKUP(TRIM(CLEAN(G838)),Sheet14!$A$2:$B$19,2,FALSE),"Not Mapped")</f>
        <v>West</v>
      </c>
    </row>
    <row r="839" spans="1:18">
      <c r="A839" t="str">
        <f t="shared" si="74"/>
        <v>EOS0838</v>
      </c>
      <c r="B839" s="35">
        <v>45928</v>
      </c>
      <c r="C839" s="1" t="s">
        <v>1314</v>
      </c>
      <c r="D839" s="1" t="str">
        <f t="shared" si="73"/>
        <v>Fb</v>
      </c>
      <c r="E839" s="1" t="s">
        <v>1378</v>
      </c>
      <c r="F839" s="1" t="s">
        <v>1284</v>
      </c>
      <c r="G839" s="1" t="s">
        <v>224</v>
      </c>
      <c r="H839" s="1" t="s">
        <v>149</v>
      </c>
      <c r="I839" s="1">
        <v>108000</v>
      </c>
      <c r="J839" s="45">
        <v>107837</v>
      </c>
      <c r="K839" s="1" t="str">
        <f>TRIM(Cleaned_CRM_Data!H839)</f>
        <v>Rejected</v>
      </c>
      <c r="L839" t="str">
        <f>IFERROR(VLOOKUP(K839, Status_Mapping!A:B, 2,), "Not Found")</f>
        <v>Rejected</v>
      </c>
      <c r="N839" s="29" t="str">
        <f>IF(M839="","",M839-B839)</f>
        <v/>
      </c>
      <c r="O839" s="1" t="str">
        <f t="shared" si="75"/>
        <v>Starter</v>
      </c>
      <c r="P839" t="str">
        <f>TEXT(B839, "mmmm")</f>
        <v>September</v>
      </c>
      <c r="Q839" t="str">
        <f t="shared" si="76"/>
        <v>Q3</v>
      </c>
      <c r="R839" t="str">
        <f>IFERROR(VLOOKUP(TRIM(CLEAN(G839)),Sheet14!$A$2:$B$19,2,FALSE),"Not Mapped")</f>
        <v>West</v>
      </c>
    </row>
    <row r="840" spans="1:18">
      <c r="A840" t="str">
        <f t="shared" si="74"/>
        <v>EOS0839</v>
      </c>
      <c r="B840" s="35">
        <v>45928</v>
      </c>
      <c r="C840" s="4" t="s">
        <v>267</v>
      </c>
      <c r="D840" s="1" t="str">
        <f t="shared" si="73"/>
        <v>FB</v>
      </c>
      <c r="E840" s="1" t="s">
        <v>1379</v>
      </c>
      <c r="F840" s="1" t="s">
        <v>350</v>
      </c>
      <c r="G840" s="1" t="s">
        <v>224</v>
      </c>
      <c r="H840" s="1" t="s">
        <v>69</v>
      </c>
      <c r="I840" s="1">
        <v>130000</v>
      </c>
      <c r="J840" s="45">
        <v>107838</v>
      </c>
      <c r="K840" s="1" t="str">
        <f>TRIM(Cleaned_CRM_Data!H840)</f>
        <v>Follow up</v>
      </c>
      <c r="L840" t="str">
        <f>IFERROR(VLOOKUP(K840, Status_Mapping!A:B, 2,), "Not Found")</f>
        <v>Follow Up</v>
      </c>
      <c r="N840" s="29" t="str">
        <f>IF(M840="","",M840-B840)</f>
        <v/>
      </c>
      <c r="O840" s="1" t="str">
        <f t="shared" si="75"/>
        <v>Starter</v>
      </c>
      <c r="P840" t="str">
        <f>TEXT(B840, "mmmm")</f>
        <v>September</v>
      </c>
      <c r="Q840" t="str">
        <f t="shared" si="76"/>
        <v>Q3</v>
      </c>
      <c r="R840" t="str">
        <f>IFERROR(VLOOKUP(TRIM(CLEAN(G840)),Sheet14!$A$2:$B$19,2,FALSE),"Not Mapped")</f>
        <v>West</v>
      </c>
    </row>
    <row r="841" spans="1:18">
      <c r="A841" t="str">
        <f t="shared" si="74"/>
        <v>EOS0840</v>
      </c>
      <c r="B841" s="35">
        <v>45929</v>
      </c>
      <c r="C841" s="4" t="s">
        <v>267</v>
      </c>
      <c r="D841" s="1" t="str">
        <f t="shared" si="73"/>
        <v>FB</v>
      </c>
      <c r="E841" s="1" t="s">
        <v>1380</v>
      </c>
      <c r="F841" s="1" t="s">
        <v>292</v>
      </c>
      <c r="G841" s="1" t="s">
        <v>224</v>
      </c>
      <c r="H841" s="1" t="s">
        <v>69</v>
      </c>
      <c r="I841" s="1">
        <v>108000</v>
      </c>
      <c r="J841" s="45">
        <v>107839</v>
      </c>
      <c r="K841" s="1" t="str">
        <f>TRIM(Cleaned_CRM_Data!H841)</f>
        <v>Follow up</v>
      </c>
      <c r="L841" t="str">
        <f>IFERROR(VLOOKUP(K841, Status_Mapping!A:B, 2,), "Not Found")</f>
        <v>Follow Up</v>
      </c>
      <c r="N841" s="29" t="str">
        <f>IF(M841="","",M841-B841)</f>
        <v/>
      </c>
      <c r="O841" s="1" t="str">
        <f t="shared" si="75"/>
        <v>Starter</v>
      </c>
      <c r="P841" t="str">
        <f>TEXT(B841, "mmmm")</f>
        <v>September</v>
      </c>
      <c r="Q841" t="str">
        <f t="shared" si="76"/>
        <v>Q3</v>
      </c>
      <c r="R841" t="str">
        <f>IFERROR(VLOOKUP(TRIM(CLEAN(G841)),Sheet14!$A$2:$B$19,2,FALSE),"Not Mapped")</f>
        <v>West</v>
      </c>
    </row>
    <row r="842" spans="1:18">
      <c r="A842" t="str">
        <f t="shared" si="74"/>
        <v>EOS0841</v>
      </c>
      <c r="B842" s="35">
        <v>45929</v>
      </c>
      <c r="C842" s="4" t="s">
        <v>267</v>
      </c>
      <c r="D842" s="1" t="str">
        <f t="shared" si="73"/>
        <v>FB</v>
      </c>
      <c r="E842" s="1" t="s">
        <v>1160</v>
      </c>
      <c r="F842" s="1" t="s">
        <v>643</v>
      </c>
      <c r="G842" s="1" t="s">
        <v>224</v>
      </c>
      <c r="H842" s="1" t="s">
        <v>69</v>
      </c>
      <c r="I842" s="1">
        <v>130000</v>
      </c>
      <c r="J842" s="45">
        <v>107840</v>
      </c>
      <c r="K842" s="1" t="str">
        <f>TRIM(Cleaned_CRM_Data!H842)</f>
        <v>Follow up</v>
      </c>
      <c r="L842" t="str">
        <f>IFERROR(VLOOKUP(K842, Status_Mapping!A:B, 2,), "Not Found")</f>
        <v>Follow Up</v>
      </c>
      <c r="N842" s="29" t="str">
        <f>IF(M842="","",M842-B842)</f>
        <v/>
      </c>
      <c r="O842" s="1" t="str">
        <f t="shared" si="75"/>
        <v>Starter</v>
      </c>
      <c r="P842" t="str">
        <f>TEXT(B842, "mmmm")</f>
        <v>September</v>
      </c>
      <c r="Q842" t="str">
        <f t="shared" si="76"/>
        <v>Q3</v>
      </c>
      <c r="R842" t="str">
        <f>IFERROR(VLOOKUP(TRIM(CLEAN(G842)),Sheet14!$A$2:$B$19,2,FALSE),"Not Mapped")</f>
        <v>West</v>
      </c>
    </row>
    <row r="843" spans="1:18">
      <c r="A843" t="str">
        <f t="shared" si="74"/>
        <v>EOS0842</v>
      </c>
      <c r="B843" s="35">
        <v>45929</v>
      </c>
      <c r="C843" s="1" t="s">
        <v>1314</v>
      </c>
      <c r="D843" s="1" t="str">
        <f t="shared" si="73"/>
        <v>Fb</v>
      </c>
      <c r="E843" s="1" t="s">
        <v>1381</v>
      </c>
      <c r="F843" s="1" t="s">
        <v>1382</v>
      </c>
      <c r="G843" s="1" t="s">
        <v>224</v>
      </c>
      <c r="H843" s="1" t="s">
        <v>149</v>
      </c>
      <c r="I843" s="1">
        <v>130000</v>
      </c>
      <c r="J843" s="45">
        <v>107841</v>
      </c>
      <c r="K843" s="1" t="str">
        <f>TRIM(Cleaned_CRM_Data!H843)</f>
        <v>Rejected</v>
      </c>
      <c r="L843" t="str">
        <f>IFERROR(VLOOKUP(K843, Status_Mapping!A:B, 2,), "Not Found")</f>
        <v>Rejected</v>
      </c>
      <c r="N843" s="29" t="str">
        <f>IF(M843="","",M843-B843)</f>
        <v/>
      </c>
      <c r="O843" s="1" t="str">
        <f t="shared" si="75"/>
        <v>Starter</v>
      </c>
      <c r="P843" t="str">
        <f>TEXT(B843, "mmmm")</f>
        <v>September</v>
      </c>
      <c r="Q843" t="str">
        <f t="shared" si="76"/>
        <v>Q3</v>
      </c>
      <c r="R843" t="str">
        <f>IFERROR(VLOOKUP(TRIM(CLEAN(G843)),Sheet14!$A$2:$B$19,2,FALSE),"Not Mapped")</f>
        <v>West</v>
      </c>
    </row>
    <row r="844" spans="1:18">
      <c r="A844" t="str">
        <f t="shared" si="74"/>
        <v>EOS0843</v>
      </c>
      <c r="B844" s="35">
        <v>45929</v>
      </c>
      <c r="C844" s="1" t="s">
        <v>1314</v>
      </c>
      <c r="D844" s="1" t="str">
        <f t="shared" si="73"/>
        <v>Fb</v>
      </c>
      <c r="E844" s="1" t="s">
        <v>1383</v>
      </c>
      <c r="F844" s="1" t="s">
        <v>275</v>
      </c>
      <c r="G844" s="1" t="s">
        <v>224</v>
      </c>
      <c r="H844" s="1" t="s">
        <v>149</v>
      </c>
      <c r="I844" s="1">
        <v>108000</v>
      </c>
      <c r="J844" s="45">
        <v>107842</v>
      </c>
      <c r="K844" s="1" t="str">
        <f>TRIM(Cleaned_CRM_Data!H844)</f>
        <v>Rejected</v>
      </c>
      <c r="L844" t="str">
        <f>IFERROR(VLOOKUP(K844, Status_Mapping!A:B, 2,), "Not Found")</f>
        <v>Rejected</v>
      </c>
      <c r="N844" s="29" t="str">
        <f>IF(M844="","",M844-B844)</f>
        <v/>
      </c>
      <c r="O844" s="1" t="str">
        <f t="shared" si="75"/>
        <v>Starter</v>
      </c>
      <c r="P844" t="str">
        <f>TEXT(B844, "mmmm")</f>
        <v>September</v>
      </c>
      <c r="Q844" t="str">
        <f t="shared" si="76"/>
        <v>Q3</v>
      </c>
      <c r="R844" t="str">
        <f>IFERROR(VLOOKUP(TRIM(CLEAN(G844)),Sheet14!$A$2:$B$19,2,FALSE),"Not Mapped")</f>
        <v>West</v>
      </c>
    </row>
    <row r="845" spans="1:18">
      <c r="A845" t="str">
        <f t="shared" si="74"/>
        <v>EOS0844</v>
      </c>
      <c r="B845" s="35">
        <v>45930</v>
      </c>
      <c r="C845" s="1" t="s">
        <v>1314</v>
      </c>
      <c r="D845" s="1" t="str">
        <f t="shared" si="73"/>
        <v>Fb</v>
      </c>
      <c r="E845" s="1" t="s">
        <v>1005</v>
      </c>
      <c r="F845" s="1" t="s">
        <v>1384</v>
      </c>
      <c r="G845" s="1" t="s">
        <v>224</v>
      </c>
      <c r="H845" s="1" t="s">
        <v>149</v>
      </c>
      <c r="I845" s="1">
        <v>108000</v>
      </c>
      <c r="J845" s="45">
        <v>107843</v>
      </c>
      <c r="K845" s="1" t="str">
        <f>TRIM(Cleaned_CRM_Data!H845)</f>
        <v>Rejected</v>
      </c>
      <c r="L845" t="str">
        <f>IFERROR(VLOOKUP(K845, Status_Mapping!A:B, 2,), "Not Found")</f>
        <v>Rejected</v>
      </c>
      <c r="N845" s="29" t="str">
        <f>IF(M845="","",M845-B845)</f>
        <v/>
      </c>
      <c r="O845" s="1" t="str">
        <f t="shared" si="75"/>
        <v>Starter</v>
      </c>
      <c r="P845" t="str">
        <f>TEXT(B845, "mmmm")</f>
        <v>September</v>
      </c>
      <c r="Q845" t="str">
        <f t="shared" si="76"/>
        <v>Q3</v>
      </c>
      <c r="R845" t="str">
        <f>IFERROR(VLOOKUP(TRIM(CLEAN(G845)),Sheet14!$A$2:$B$19,2,FALSE),"Not Mapped")</f>
        <v>West</v>
      </c>
    </row>
    <row r="846" spans="1:18">
      <c r="A846" t="str">
        <f t="shared" si="74"/>
        <v>EOS0845</v>
      </c>
      <c r="B846" s="35">
        <v>45930</v>
      </c>
      <c r="C846" s="4" t="s">
        <v>267</v>
      </c>
      <c r="D846" s="1" t="str">
        <f t="shared" si="73"/>
        <v>FB</v>
      </c>
      <c r="E846" s="1" t="s">
        <v>1385</v>
      </c>
      <c r="F846" s="1" t="s">
        <v>1386</v>
      </c>
      <c r="G846" s="1" t="s">
        <v>224</v>
      </c>
      <c r="H846" s="1" t="s">
        <v>69</v>
      </c>
      <c r="I846" s="1">
        <v>130000</v>
      </c>
      <c r="J846" s="45">
        <v>107844</v>
      </c>
      <c r="K846" s="1" t="str">
        <f>TRIM(Cleaned_CRM_Data!H846)</f>
        <v>Follow up</v>
      </c>
      <c r="L846" t="str">
        <f>IFERROR(VLOOKUP(K846, Status_Mapping!A:B, 2,), "Not Found")</f>
        <v>Follow Up</v>
      </c>
      <c r="N846" s="29" t="str">
        <f>IF(M846="","",M846-B846)</f>
        <v/>
      </c>
      <c r="O846" s="1" t="str">
        <f t="shared" si="75"/>
        <v>Starter</v>
      </c>
      <c r="P846" t="str">
        <f>TEXT(B846, "mmmm")</f>
        <v>September</v>
      </c>
      <c r="Q846" t="str">
        <f t="shared" si="76"/>
        <v>Q3</v>
      </c>
      <c r="R846" t="str">
        <f>IFERROR(VLOOKUP(TRIM(CLEAN(G846)),Sheet14!$A$2:$B$19,2,FALSE),"Not Mapped")</f>
        <v>West</v>
      </c>
    </row>
    <row r="847" spans="1:18">
      <c r="A847" t="str">
        <f t="shared" si="74"/>
        <v>EOS0846</v>
      </c>
      <c r="B847" s="35">
        <v>45930</v>
      </c>
      <c r="C847" s="4" t="s">
        <v>267</v>
      </c>
      <c r="D847" s="1" t="str">
        <f t="shared" si="73"/>
        <v>FB</v>
      </c>
      <c r="E847" s="1" t="s">
        <v>1387</v>
      </c>
      <c r="F847" s="1"/>
      <c r="G847" s="1" t="s">
        <v>224</v>
      </c>
      <c r="H847" s="1" t="s">
        <v>69</v>
      </c>
      <c r="I847" s="1">
        <v>130000</v>
      </c>
      <c r="J847" s="45">
        <v>107845</v>
      </c>
      <c r="K847" s="1" t="str">
        <f>TRIM(Cleaned_CRM_Data!H847)</f>
        <v>Follow up</v>
      </c>
      <c r="L847" t="str">
        <f>IFERROR(VLOOKUP(K847, Status_Mapping!A:B, 2,), "Not Found")</f>
        <v>Follow Up</v>
      </c>
      <c r="N847" s="29" t="str">
        <f>IF(M847="","",M847-B847)</f>
        <v/>
      </c>
      <c r="O847" s="1" t="str">
        <f t="shared" si="75"/>
        <v>Starter</v>
      </c>
      <c r="P847" t="str">
        <f>TEXT(B847, "mmmm")</f>
        <v>September</v>
      </c>
      <c r="Q847" t="str">
        <f t="shared" si="76"/>
        <v>Q3</v>
      </c>
      <c r="R847" t="str">
        <f>IFERROR(VLOOKUP(TRIM(CLEAN(G847)),Sheet14!$A$2:$B$19,2,FALSE),"Not Mapped")</f>
        <v>West</v>
      </c>
    </row>
    <row r="848" spans="1:18">
      <c r="A848" t="str">
        <f t="shared" si="74"/>
        <v>EOS0847</v>
      </c>
      <c r="B848" s="35">
        <v>45930</v>
      </c>
      <c r="C848" s="4" t="s">
        <v>267</v>
      </c>
      <c r="D848" s="1" t="str">
        <f t="shared" si="73"/>
        <v>FB</v>
      </c>
      <c r="E848" s="1" t="s">
        <v>303</v>
      </c>
      <c r="F848" s="1" t="s">
        <v>860</v>
      </c>
      <c r="G848" s="1" t="s">
        <v>224</v>
      </c>
      <c r="H848" s="1" t="s">
        <v>69</v>
      </c>
      <c r="I848" s="1">
        <v>130000</v>
      </c>
      <c r="J848" s="45">
        <v>107846</v>
      </c>
      <c r="K848" s="1" t="s">
        <v>40</v>
      </c>
      <c r="L848" t="str">
        <f>IFERROR(VLOOKUP(K848, Status_Mapping!A:B, 2,), "Not Found")</f>
        <v>Converted</v>
      </c>
      <c r="N848" s="29" t="str">
        <f>IF(M848="","",M848-B848)</f>
        <v/>
      </c>
      <c r="O848" s="1" t="str">
        <f t="shared" si="75"/>
        <v>Starter</v>
      </c>
      <c r="P848" t="str">
        <f>TEXT(B848, "mmmm")</f>
        <v>September</v>
      </c>
      <c r="Q848" t="str">
        <f t="shared" si="76"/>
        <v>Q3</v>
      </c>
      <c r="R848" t="str">
        <f>IFERROR(VLOOKUP(TRIM(CLEAN(G848)),Sheet14!$A$2:$B$19,2,FALSE),"Not Mapped")</f>
        <v>West</v>
      </c>
    </row>
    <row r="849" spans="1:18">
      <c r="A849" t="str">
        <f t="shared" si="74"/>
        <v>EOS0848</v>
      </c>
      <c r="B849" s="35">
        <v>45931</v>
      </c>
      <c r="C849" s="4" t="s">
        <v>267</v>
      </c>
      <c r="D849" s="1" t="str">
        <f t="shared" si="73"/>
        <v>FB</v>
      </c>
      <c r="E849" s="1" t="s">
        <v>1388</v>
      </c>
      <c r="F849" s="1" t="s">
        <v>321</v>
      </c>
      <c r="G849" s="1" t="s">
        <v>224</v>
      </c>
      <c r="H849" s="1" t="s">
        <v>69</v>
      </c>
      <c r="I849" s="1">
        <v>130000</v>
      </c>
      <c r="J849" s="45">
        <v>107847</v>
      </c>
      <c r="K849" s="1" t="s">
        <v>40</v>
      </c>
      <c r="L849" t="str">
        <f>IFERROR(VLOOKUP(K849, Status_Mapping!A:B, 2,), "Not Found")</f>
        <v>Converted</v>
      </c>
      <c r="N849" s="29" t="str">
        <f>IF(M849="","",M849-B849)</f>
        <v/>
      </c>
      <c r="O849" s="1" t="str">
        <f t="shared" si="75"/>
        <v>Starter</v>
      </c>
      <c r="P849" t="str">
        <f>TEXT(B849, "mmmm")</f>
        <v>October</v>
      </c>
      <c r="Q849" t="str">
        <f t="shared" si="76"/>
        <v>Q4</v>
      </c>
      <c r="R849" t="str">
        <f>IFERROR(VLOOKUP(TRIM(CLEAN(G849)),Sheet14!$A$2:$B$19,2,FALSE),"Not Mapped")</f>
        <v>West</v>
      </c>
    </row>
    <row r="850" spans="1:18">
      <c r="A850" t="str">
        <f t="shared" si="74"/>
        <v>EOS0849</v>
      </c>
      <c r="B850" s="35">
        <v>45930</v>
      </c>
      <c r="C850" s="1" t="s">
        <v>1314</v>
      </c>
      <c r="D850" s="1" t="str">
        <f t="shared" si="73"/>
        <v>Fb</v>
      </c>
      <c r="E850" s="1" t="s">
        <v>1389</v>
      </c>
      <c r="F850" s="1" t="s">
        <v>294</v>
      </c>
      <c r="G850" s="1" t="s">
        <v>224</v>
      </c>
      <c r="H850" s="1" t="s">
        <v>149</v>
      </c>
      <c r="I850" s="1">
        <v>130000</v>
      </c>
      <c r="J850" s="45">
        <v>107848</v>
      </c>
      <c r="K850" s="1" t="str">
        <f>TRIM(Cleaned_CRM_Data!H850)</f>
        <v>Rejected</v>
      </c>
      <c r="L850" t="str">
        <f>IFERROR(VLOOKUP(K850, Status_Mapping!A:B, 2,), "Not Found")</f>
        <v>Rejected</v>
      </c>
      <c r="N850" s="29" t="str">
        <f>IF(M850="","",M850-B850)</f>
        <v/>
      </c>
      <c r="O850" s="1" t="str">
        <f t="shared" si="75"/>
        <v>Starter</v>
      </c>
      <c r="P850" t="str">
        <f>TEXT(B850, "mmmm")</f>
        <v>September</v>
      </c>
      <c r="Q850" t="str">
        <f t="shared" si="76"/>
        <v>Q3</v>
      </c>
      <c r="R850" t="str">
        <f>IFERROR(VLOOKUP(TRIM(CLEAN(G850)),Sheet14!$A$2:$B$19,2,FALSE),"Not Mapped")</f>
        <v>West</v>
      </c>
    </row>
    <row r="851" spans="1:18">
      <c r="A851" t="str">
        <f t="shared" si="74"/>
        <v>EOS0850</v>
      </c>
      <c r="B851" s="35">
        <v>45930</v>
      </c>
      <c r="C851" s="1" t="s">
        <v>1314</v>
      </c>
      <c r="D851" s="1" t="str">
        <f t="shared" si="73"/>
        <v>Fb</v>
      </c>
      <c r="E851" s="1" t="s">
        <v>1390</v>
      </c>
      <c r="F851" s="1" t="s">
        <v>275</v>
      </c>
      <c r="G851" s="1" t="s">
        <v>224</v>
      </c>
      <c r="H851" s="1" t="s">
        <v>149</v>
      </c>
      <c r="I851" s="1">
        <v>177000</v>
      </c>
      <c r="J851" s="45">
        <v>107849</v>
      </c>
      <c r="K851" s="1" t="str">
        <f>TRIM(Cleaned_CRM_Data!H851)</f>
        <v>Rejected</v>
      </c>
      <c r="L851" t="str">
        <f>IFERROR(VLOOKUP(K851, Status_Mapping!A:B, 2,), "Not Found")</f>
        <v>Rejected</v>
      </c>
      <c r="N851" s="29" t="str">
        <f>IF(M851="","",M851-B851)</f>
        <v/>
      </c>
      <c r="O851" s="1" t="str">
        <f t="shared" si="75"/>
        <v>Growth</v>
      </c>
      <c r="P851" t="str">
        <f>TEXT(B851, "mmmm")</f>
        <v>September</v>
      </c>
      <c r="Q851" t="str">
        <f t="shared" si="76"/>
        <v>Q3</v>
      </c>
      <c r="R851" t="str">
        <f>IFERROR(VLOOKUP(TRIM(CLEAN(G851)),Sheet14!$A$2:$B$19,2,FALSE),"Not Mapped")</f>
        <v>West</v>
      </c>
    </row>
    <row r="852" spans="1:18">
      <c r="A852" t="str">
        <f t="shared" si="74"/>
        <v>EOS0851</v>
      </c>
      <c r="B852" s="35">
        <v>45930</v>
      </c>
      <c r="C852" s="4" t="s">
        <v>267</v>
      </c>
      <c r="D852" s="1" t="str">
        <f t="shared" si="73"/>
        <v>FB</v>
      </c>
      <c r="E852" s="1" t="s">
        <v>1391</v>
      </c>
      <c r="F852" s="1" t="s">
        <v>275</v>
      </c>
      <c r="G852" s="1" t="s">
        <v>224</v>
      </c>
      <c r="H852" s="1" t="s">
        <v>69</v>
      </c>
      <c r="I852" s="1">
        <v>108000</v>
      </c>
      <c r="J852" s="45">
        <v>107850</v>
      </c>
      <c r="K852" s="1" t="s">
        <v>40</v>
      </c>
      <c r="L852" t="str">
        <f>IFERROR(VLOOKUP(K852, Status_Mapping!A:B, 2,), "Not Found")</f>
        <v>Converted</v>
      </c>
      <c r="N852" s="29" t="str">
        <f>IF(M852="","",M852-B852)</f>
        <v/>
      </c>
      <c r="O852" s="1" t="str">
        <f t="shared" si="75"/>
        <v>Starter</v>
      </c>
      <c r="P852" t="str">
        <f>TEXT(B852, "mmmm")</f>
        <v>September</v>
      </c>
      <c r="Q852" t="str">
        <f t="shared" si="76"/>
        <v>Q3</v>
      </c>
      <c r="R852" t="str">
        <f>IFERROR(VLOOKUP(TRIM(CLEAN(G852)),Sheet14!$A$2:$B$19,2,FALSE),"Not Mapped")</f>
        <v>West</v>
      </c>
    </row>
    <row r="853" spans="1:18">
      <c r="A853" t="str">
        <f t="shared" si="74"/>
        <v>EOS0852</v>
      </c>
      <c r="B853" s="35">
        <v>45933</v>
      </c>
      <c r="C853" s="4" t="s">
        <v>267</v>
      </c>
      <c r="D853" s="1" t="str">
        <f t="shared" si="73"/>
        <v>FB</v>
      </c>
      <c r="E853" s="1" t="s">
        <v>1392</v>
      </c>
      <c r="F853" s="1" t="s">
        <v>412</v>
      </c>
      <c r="G853" s="1" t="s">
        <v>224</v>
      </c>
      <c r="H853" s="1" t="s">
        <v>69</v>
      </c>
      <c r="I853" s="1">
        <v>108000</v>
      </c>
      <c r="J853" s="45">
        <v>107851</v>
      </c>
      <c r="K853" s="1" t="s">
        <v>40</v>
      </c>
      <c r="L853" t="str">
        <f>IFERROR(VLOOKUP(K853, Status_Mapping!A:B, 2,), "Not Found")</f>
        <v>Converted</v>
      </c>
      <c r="N853" s="29" t="str">
        <f>IF(M853="","",M853-B853)</f>
        <v/>
      </c>
      <c r="O853" s="1" t="str">
        <f t="shared" si="75"/>
        <v>Starter</v>
      </c>
      <c r="P853" t="str">
        <f>TEXT(B853, "mmmm")</f>
        <v>October</v>
      </c>
      <c r="Q853" t="str">
        <f t="shared" si="76"/>
        <v>Q4</v>
      </c>
      <c r="R853" t="str">
        <f>IFERROR(VLOOKUP(TRIM(CLEAN(G853)),Sheet14!$A$2:$B$19,2,FALSE),"Not Mapped")</f>
        <v>West</v>
      </c>
    </row>
    <row r="854" spans="1:18">
      <c r="A854" t="str">
        <f t="shared" si="74"/>
        <v>EOS0853</v>
      </c>
      <c r="B854" s="35">
        <v>45933</v>
      </c>
      <c r="C854" s="1" t="s">
        <v>1314</v>
      </c>
      <c r="D854" s="1" t="str">
        <f t="shared" si="73"/>
        <v>Fb</v>
      </c>
      <c r="E854" s="1" t="s">
        <v>1393</v>
      </c>
      <c r="F854" s="1" t="s">
        <v>275</v>
      </c>
      <c r="G854" s="1" t="s">
        <v>224</v>
      </c>
      <c r="H854" s="1" t="s">
        <v>149</v>
      </c>
      <c r="I854" s="1">
        <v>177000</v>
      </c>
      <c r="J854" s="45">
        <v>107852</v>
      </c>
      <c r="K854" s="1" t="s">
        <v>40</v>
      </c>
      <c r="L854" t="str">
        <f>IFERROR(VLOOKUP(K854, Status_Mapping!A:B, 2,), "Not Found")</f>
        <v>Converted</v>
      </c>
      <c r="N854" s="29" t="str">
        <f>IF(M854="","",M854-B854)</f>
        <v/>
      </c>
      <c r="O854" s="1" t="str">
        <f t="shared" si="75"/>
        <v>Growth</v>
      </c>
      <c r="P854" t="str">
        <f>TEXT(B854, "mmmm")</f>
        <v>October</v>
      </c>
      <c r="Q854" t="str">
        <f t="shared" si="76"/>
        <v>Q4</v>
      </c>
      <c r="R854" t="str">
        <f>IFERROR(VLOOKUP(TRIM(CLEAN(G854)),Sheet14!$A$2:$B$19,2,FALSE),"Not Mapped")</f>
        <v>West</v>
      </c>
    </row>
    <row r="855" spans="1:18">
      <c r="A855" t="str">
        <f t="shared" si="74"/>
        <v>EOS0854</v>
      </c>
      <c r="B855" s="35">
        <v>45933</v>
      </c>
      <c r="C855" s="1" t="s">
        <v>1314</v>
      </c>
      <c r="D855" s="1" t="str">
        <f t="shared" si="73"/>
        <v>Fb</v>
      </c>
      <c r="E855" s="1" t="s">
        <v>1394</v>
      </c>
      <c r="F855" s="1" t="s">
        <v>275</v>
      </c>
      <c r="G855" s="1" t="s">
        <v>224</v>
      </c>
      <c r="H855" s="1" t="s">
        <v>149</v>
      </c>
      <c r="I855" s="1">
        <v>130000</v>
      </c>
      <c r="J855" s="45">
        <v>107853</v>
      </c>
      <c r="K855" s="1" t="s">
        <v>40</v>
      </c>
      <c r="L855" t="str">
        <f>IFERROR(VLOOKUP(K855, Status_Mapping!A:B, 2,), "Not Found")</f>
        <v>Converted</v>
      </c>
      <c r="N855" s="29" t="str">
        <f>IF(M855="","",M855-B855)</f>
        <v/>
      </c>
      <c r="O855" s="1" t="str">
        <f t="shared" si="75"/>
        <v>Starter</v>
      </c>
      <c r="P855" t="str">
        <f>TEXT(B855, "mmmm")</f>
        <v>October</v>
      </c>
      <c r="Q855" t="str">
        <f t="shared" si="76"/>
        <v>Q4</v>
      </c>
      <c r="R855" t="str">
        <f>IFERROR(VLOOKUP(TRIM(CLEAN(G855)),Sheet14!$A$2:$B$19,2,FALSE),"Not Mapped")</f>
        <v>West</v>
      </c>
    </row>
    <row r="856" spans="1:18">
      <c r="A856" t="str">
        <f t="shared" si="74"/>
        <v>EOS0855</v>
      </c>
      <c r="B856" s="35">
        <v>45933</v>
      </c>
      <c r="C856" s="1" t="s">
        <v>1314</v>
      </c>
      <c r="D856" s="1" t="str">
        <f t="shared" si="73"/>
        <v>Fb</v>
      </c>
      <c r="E856" s="1" t="s">
        <v>1395</v>
      </c>
      <c r="F856" s="1" t="s">
        <v>300</v>
      </c>
      <c r="G856" s="1" t="s">
        <v>224</v>
      </c>
      <c r="H856" s="1" t="s">
        <v>149</v>
      </c>
      <c r="I856" s="1">
        <v>108000</v>
      </c>
      <c r="J856" s="45">
        <v>107854</v>
      </c>
      <c r="K856" s="1" t="s">
        <v>40</v>
      </c>
      <c r="L856" t="str">
        <f>IFERROR(VLOOKUP(K856, Status_Mapping!A:B, 2,), "Not Found")</f>
        <v>Converted</v>
      </c>
      <c r="N856" s="29" t="str">
        <f>IF(M856="","",M856-B856)</f>
        <v/>
      </c>
      <c r="O856" s="1" t="str">
        <f t="shared" si="75"/>
        <v>Starter</v>
      </c>
      <c r="P856" t="str">
        <f>TEXT(B856, "mmmm")</f>
        <v>October</v>
      </c>
      <c r="Q856" t="str">
        <f t="shared" si="76"/>
        <v>Q4</v>
      </c>
      <c r="R856" t="str">
        <f>IFERROR(VLOOKUP(TRIM(CLEAN(G856)),Sheet14!$A$2:$B$19,2,FALSE),"Not Mapped")</f>
        <v>West</v>
      </c>
    </row>
    <row r="857" spans="1:18">
      <c r="A857" t="str">
        <f t="shared" si="74"/>
        <v>EOS0856</v>
      </c>
      <c r="B857" s="35">
        <v>45933</v>
      </c>
      <c r="C857" s="1" t="s">
        <v>1314</v>
      </c>
      <c r="D857" s="1" t="str">
        <f t="shared" si="73"/>
        <v>Fb</v>
      </c>
      <c r="E857" s="1" t="s">
        <v>1396</v>
      </c>
      <c r="F857" s="1" t="s">
        <v>362</v>
      </c>
      <c r="G857" s="1" t="s">
        <v>224</v>
      </c>
      <c r="H857" s="1" t="s">
        <v>149</v>
      </c>
      <c r="I857" s="1">
        <v>130000</v>
      </c>
      <c r="J857" s="45">
        <v>107855</v>
      </c>
      <c r="K857" s="1" t="str">
        <f>TRIM(Cleaned_CRM_Data!H857)</f>
        <v>Rejected</v>
      </c>
      <c r="L857" t="str">
        <f>IFERROR(VLOOKUP(K857, Status_Mapping!A:B, 2,), "Not Found")</f>
        <v>Rejected</v>
      </c>
      <c r="N857" s="29" t="str">
        <f>IF(M857="","",M857-B857)</f>
        <v/>
      </c>
      <c r="O857" s="1" t="str">
        <f t="shared" si="75"/>
        <v>Starter</v>
      </c>
      <c r="P857" t="str">
        <f>TEXT(B857, "mmmm")</f>
        <v>October</v>
      </c>
      <c r="Q857" t="str">
        <f t="shared" si="76"/>
        <v>Q4</v>
      </c>
      <c r="R857" t="str">
        <f>IFERROR(VLOOKUP(TRIM(CLEAN(G857)),Sheet14!$A$2:$B$19,2,FALSE),"Not Mapped")</f>
        <v>West</v>
      </c>
    </row>
    <row r="858" spans="1:18">
      <c r="A858" t="str">
        <f t="shared" si="74"/>
        <v>EOS0857</v>
      </c>
      <c r="B858" s="35">
        <v>45933</v>
      </c>
      <c r="C858" s="4" t="s">
        <v>267</v>
      </c>
      <c r="D858" s="1" t="str">
        <f t="shared" si="73"/>
        <v>FB</v>
      </c>
      <c r="E858" s="1" t="s">
        <v>1397</v>
      </c>
      <c r="F858" s="1" t="s">
        <v>283</v>
      </c>
      <c r="G858" s="1" t="s">
        <v>224</v>
      </c>
      <c r="H858" s="1" t="s">
        <v>69</v>
      </c>
      <c r="I858" s="1">
        <v>108000</v>
      </c>
      <c r="J858" s="45">
        <v>107856</v>
      </c>
      <c r="K858" s="1" t="str">
        <f>TRIM(Cleaned_CRM_Data!H858)</f>
        <v>Follow up</v>
      </c>
      <c r="L858" t="str">
        <f>IFERROR(VLOOKUP(K858, Status_Mapping!A:B, 2,), "Not Found")</f>
        <v>Follow Up</v>
      </c>
      <c r="N858" s="29" t="str">
        <f>IF(M858="","",M858-B858)</f>
        <v/>
      </c>
      <c r="O858" s="1" t="str">
        <f t="shared" si="75"/>
        <v>Starter</v>
      </c>
      <c r="P858" t="str">
        <f>TEXT(B858, "mmmm")</f>
        <v>October</v>
      </c>
      <c r="Q858" t="str">
        <f t="shared" si="76"/>
        <v>Q4</v>
      </c>
      <c r="R858" t="str">
        <f>IFERROR(VLOOKUP(TRIM(CLEAN(G858)),Sheet14!$A$2:$B$19,2,FALSE),"Not Mapped")</f>
        <v>West</v>
      </c>
    </row>
    <row r="859" spans="1:18">
      <c r="A859" t="str">
        <f t="shared" si="74"/>
        <v>EOS0858</v>
      </c>
      <c r="B859" s="35">
        <v>45933</v>
      </c>
      <c r="C859" s="4" t="s">
        <v>267</v>
      </c>
      <c r="D859" s="1" t="str">
        <f t="shared" si="73"/>
        <v>FB</v>
      </c>
      <c r="E859" s="1" t="s">
        <v>1398</v>
      </c>
      <c r="F859" s="1"/>
      <c r="G859" s="1" t="s">
        <v>224</v>
      </c>
      <c r="H859" s="1" t="s">
        <v>69</v>
      </c>
      <c r="I859" s="1">
        <v>130000</v>
      </c>
      <c r="J859" s="45">
        <v>107857</v>
      </c>
      <c r="K859" s="1" t="s">
        <v>40</v>
      </c>
      <c r="L859" t="str">
        <f>IFERROR(VLOOKUP(K859, Status_Mapping!A:B, 2,), "Not Found")</f>
        <v>Converted</v>
      </c>
      <c r="N859" s="29" t="str">
        <f>IF(M859="","",M859-B859)</f>
        <v/>
      </c>
      <c r="O859" s="1" t="str">
        <f t="shared" si="75"/>
        <v>Starter</v>
      </c>
      <c r="P859" t="str">
        <f>TEXT(B859, "mmmm")</f>
        <v>October</v>
      </c>
      <c r="Q859" t="str">
        <f t="shared" si="76"/>
        <v>Q4</v>
      </c>
      <c r="R859" t="str">
        <f>IFERROR(VLOOKUP(TRIM(CLEAN(G859)),Sheet14!$A$2:$B$19,2,FALSE),"Not Mapped")</f>
        <v>West</v>
      </c>
    </row>
    <row r="860" spans="1:18">
      <c r="A860" t="str">
        <f t="shared" si="74"/>
        <v>EOS0859</v>
      </c>
      <c r="B860" s="35">
        <v>45938</v>
      </c>
      <c r="C860" s="4" t="s">
        <v>267</v>
      </c>
      <c r="D860" s="1" t="str">
        <f t="shared" si="73"/>
        <v>FB</v>
      </c>
      <c r="E860" s="1" t="s">
        <v>1399</v>
      </c>
      <c r="F860" s="1" t="s">
        <v>304</v>
      </c>
      <c r="G860" s="1" t="s">
        <v>224</v>
      </c>
      <c r="H860" s="1" t="s">
        <v>69</v>
      </c>
      <c r="I860" s="1">
        <v>130000</v>
      </c>
      <c r="J860" s="45">
        <v>107858</v>
      </c>
      <c r="K860" s="1" t="str">
        <f>TRIM(Cleaned_CRM_Data!H860)</f>
        <v>Follow up</v>
      </c>
      <c r="L860" t="str">
        <f>IFERROR(VLOOKUP(K860, Status_Mapping!A:B, 2,), "Not Found")</f>
        <v>Follow Up</v>
      </c>
      <c r="N860" s="29" t="str">
        <f>IF(M860="","",M860-B860)</f>
        <v/>
      </c>
      <c r="O860" s="1" t="str">
        <f t="shared" si="75"/>
        <v>Starter</v>
      </c>
      <c r="P860" t="str">
        <f>TEXT(B860, "mmmm")</f>
        <v>October</v>
      </c>
      <c r="Q860" t="str">
        <f t="shared" si="76"/>
        <v>Q4</v>
      </c>
      <c r="R860" t="str">
        <f>IFERROR(VLOOKUP(TRIM(CLEAN(G860)),Sheet14!$A$2:$B$19,2,FALSE),"Not Mapped")</f>
        <v>West</v>
      </c>
    </row>
    <row r="861" spans="1:18">
      <c r="A861" t="str">
        <f t="shared" si="74"/>
        <v>EOS0860</v>
      </c>
      <c r="B861" s="35">
        <v>45938</v>
      </c>
      <c r="C861" s="4" t="s">
        <v>267</v>
      </c>
      <c r="D861" s="1" t="str">
        <f t="shared" si="73"/>
        <v>FB</v>
      </c>
      <c r="E861" s="1" t="s">
        <v>1400</v>
      </c>
      <c r="F861" s="1"/>
      <c r="G861" s="1" t="s">
        <v>224</v>
      </c>
      <c r="H861" s="1" t="s">
        <v>69</v>
      </c>
      <c r="I861" s="1">
        <v>130000</v>
      </c>
      <c r="J861" s="45">
        <v>107859</v>
      </c>
      <c r="K861" s="1" t="s">
        <v>40</v>
      </c>
      <c r="L861" t="str">
        <f>IFERROR(VLOOKUP(K861, Status_Mapping!A:B, 2,), "Not Found")</f>
        <v>Converted</v>
      </c>
      <c r="N861" s="29" t="str">
        <f>IF(M861="","",M861-B861)</f>
        <v/>
      </c>
      <c r="O861" s="1" t="str">
        <f t="shared" si="75"/>
        <v>Starter</v>
      </c>
      <c r="P861" t="str">
        <f>TEXT(B861, "mmmm")</f>
        <v>October</v>
      </c>
      <c r="Q861" t="str">
        <f t="shared" si="76"/>
        <v>Q4</v>
      </c>
      <c r="R861" t="str">
        <f>IFERROR(VLOOKUP(TRIM(CLEAN(G861)),Sheet14!$A$2:$B$19,2,FALSE),"Not Mapped")</f>
        <v>West</v>
      </c>
    </row>
    <row r="862" spans="1:18">
      <c r="A862" t="str">
        <f t="shared" si="74"/>
        <v>EOS0861</v>
      </c>
      <c r="B862" s="35">
        <v>45938</v>
      </c>
      <c r="C862" s="4" t="s">
        <v>267</v>
      </c>
      <c r="D862" s="1" t="str">
        <f t="shared" si="73"/>
        <v>FB</v>
      </c>
      <c r="E862" s="1" t="s">
        <v>1401</v>
      </c>
      <c r="F862" s="1"/>
      <c r="G862" s="1" t="s">
        <v>224</v>
      </c>
      <c r="H862" s="1" t="s">
        <v>69</v>
      </c>
      <c r="I862" s="1">
        <v>130000</v>
      </c>
      <c r="J862" s="45">
        <v>107860</v>
      </c>
      <c r="K862" s="1" t="str">
        <f>TRIM(Cleaned_CRM_Data!H862)</f>
        <v>Follow up</v>
      </c>
      <c r="L862" t="str">
        <f>IFERROR(VLOOKUP(K862, Status_Mapping!A:B, 2,), "Not Found")</f>
        <v>Follow Up</v>
      </c>
      <c r="N862" s="29" t="str">
        <f>IF(M862="","",M862-B862)</f>
        <v/>
      </c>
      <c r="O862" s="1" t="str">
        <f t="shared" si="75"/>
        <v>Starter</v>
      </c>
      <c r="P862" t="str">
        <f>TEXT(B862, "mmmm")</f>
        <v>October</v>
      </c>
      <c r="Q862" t="str">
        <f t="shared" si="76"/>
        <v>Q4</v>
      </c>
      <c r="R862" t="str">
        <f>IFERROR(VLOOKUP(TRIM(CLEAN(G862)),Sheet14!$A$2:$B$19,2,FALSE),"Not Mapped")</f>
        <v>West</v>
      </c>
    </row>
    <row r="863" spans="1:18">
      <c r="A863" t="str">
        <f t="shared" si="74"/>
        <v>EOS0862</v>
      </c>
      <c r="B863" s="35">
        <v>45938</v>
      </c>
      <c r="C863" s="4" t="s">
        <v>267</v>
      </c>
      <c r="D863" s="1" t="str">
        <f t="shared" si="73"/>
        <v>FB</v>
      </c>
      <c r="E863" s="1" t="s">
        <v>1402</v>
      </c>
      <c r="F863" s="1" t="s">
        <v>1403</v>
      </c>
      <c r="G863" s="1" t="s">
        <v>224</v>
      </c>
      <c r="H863" s="1" t="s">
        <v>69</v>
      </c>
      <c r="I863" s="1">
        <v>130000</v>
      </c>
      <c r="J863" s="45">
        <v>107861</v>
      </c>
      <c r="K863" s="1" t="str">
        <f>TRIM(Cleaned_CRM_Data!H863)</f>
        <v>Follow up</v>
      </c>
      <c r="L863" t="str">
        <f>IFERROR(VLOOKUP(K863, Status_Mapping!A:B, 2,), "Not Found")</f>
        <v>Follow Up</v>
      </c>
      <c r="N863" s="29" t="str">
        <f>IF(M863="","",M863-B863)</f>
        <v/>
      </c>
      <c r="O863" s="1" t="str">
        <f t="shared" si="75"/>
        <v>Starter</v>
      </c>
      <c r="P863" t="str">
        <f>TEXT(B863, "mmmm")</f>
        <v>October</v>
      </c>
      <c r="Q863" t="str">
        <f t="shared" si="76"/>
        <v>Q4</v>
      </c>
      <c r="R863" t="str">
        <f>IFERROR(VLOOKUP(TRIM(CLEAN(G863)),Sheet14!$A$2:$B$19,2,FALSE),"Not Mapped")</f>
        <v>West</v>
      </c>
    </row>
    <row r="864" spans="1:18">
      <c r="A864" t="str">
        <f t="shared" si="74"/>
        <v>EOS0863</v>
      </c>
      <c r="B864" s="35">
        <v>45938</v>
      </c>
      <c r="C864" s="4" t="s">
        <v>267</v>
      </c>
      <c r="D864" s="1" t="str">
        <f t="shared" si="73"/>
        <v>FB</v>
      </c>
      <c r="E864" s="1" t="s">
        <v>1404</v>
      </c>
      <c r="F864" s="1" t="s">
        <v>677</v>
      </c>
      <c r="G864" s="1" t="s">
        <v>224</v>
      </c>
      <c r="H864" s="1" t="s">
        <v>69</v>
      </c>
      <c r="I864" s="1">
        <v>130000</v>
      </c>
      <c r="J864" s="45">
        <v>107862</v>
      </c>
      <c r="K864" s="1" t="str">
        <f>TRIM(Cleaned_CRM_Data!H864)</f>
        <v>Follow up</v>
      </c>
      <c r="L864" t="str">
        <f>IFERROR(VLOOKUP(K864, Status_Mapping!A:B, 2,), "Not Found")</f>
        <v>Follow Up</v>
      </c>
      <c r="N864" s="29" t="str">
        <f>IF(M864="","",M864-B864)</f>
        <v/>
      </c>
      <c r="O864" s="1" t="str">
        <f t="shared" si="75"/>
        <v>Starter</v>
      </c>
      <c r="P864" t="str">
        <f>TEXT(B864, "mmmm")</f>
        <v>October</v>
      </c>
      <c r="Q864" t="str">
        <f t="shared" si="76"/>
        <v>Q4</v>
      </c>
      <c r="R864" t="str">
        <f>IFERROR(VLOOKUP(TRIM(CLEAN(G864)),Sheet14!$A$2:$B$19,2,FALSE),"Not Mapped")</f>
        <v>West</v>
      </c>
    </row>
    <row r="865" spans="1:18">
      <c r="A865" t="str">
        <f t="shared" si="74"/>
        <v>EOS0864</v>
      </c>
      <c r="B865" s="35">
        <v>45938</v>
      </c>
      <c r="C865" s="1" t="s">
        <v>1314</v>
      </c>
      <c r="D865" s="1" t="str">
        <f t="shared" si="73"/>
        <v>Fb</v>
      </c>
      <c r="E865" s="1" t="s">
        <v>1405</v>
      </c>
      <c r="F865" s="1" t="s">
        <v>271</v>
      </c>
      <c r="G865" s="1" t="s">
        <v>224</v>
      </c>
      <c r="H865" s="1" t="s">
        <v>149</v>
      </c>
      <c r="I865" s="1">
        <v>108000</v>
      </c>
      <c r="J865" s="45">
        <v>107863</v>
      </c>
      <c r="K865" s="1" t="s">
        <v>40</v>
      </c>
      <c r="L865" t="str">
        <f>IFERROR(VLOOKUP(K865, Status_Mapping!A:B, 2,), "Not Found")</f>
        <v>Converted</v>
      </c>
      <c r="N865" s="29" t="str">
        <f>IF(M865="","",M865-B865)</f>
        <v/>
      </c>
      <c r="O865" s="1" t="str">
        <f t="shared" si="75"/>
        <v>Starter</v>
      </c>
      <c r="P865" t="str">
        <f>TEXT(B865, "mmmm")</f>
        <v>October</v>
      </c>
      <c r="Q865" t="str">
        <f t="shared" si="76"/>
        <v>Q4</v>
      </c>
      <c r="R865" t="str">
        <f>IFERROR(VLOOKUP(TRIM(CLEAN(G865)),Sheet14!$A$2:$B$19,2,FALSE),"Not Mapped")</f>
        <v>West</v>
      </c>
    </row>
    <row r="866" spans="1:18">
      <c r="A866" t="str">
        <f t="shared" si="74"/>
        <v>EOS0865</v>
      </c>
      <c r="B866" s="35">
        <v>45938</v>
      </c>
      <c r="C866" s="4" t="s">
        <v>267</v>
      </c>
      <c r="D866" s="1" t="str">
        <f t="shared" si="73"/>
        <v>FB</v>
      </c>
      <c r="E866" s="1" t="s">
        <v>1406</v>
      </c>
      <c r="F866" s="1" t="s">
        <v>300</v>
      </c>
      <c r="G866" s="1" t="s">
        <v>224</v>
      </c>
      <c r="H866" s="1" t="s">
        <v>69</v>
      </c>
      <c r="I866" s="1">
        <v>108000</v>
      </c>
      <c r="J866" s="45">
        <v>107864</v>
      </c>
      <c r="K866" s="1" t="s">
        <v>40</v>
      </c>
      <c r="L866" t="str">
        <f>IFERROR(VLOOKUP(K866, Status_Mapping!A:B, 2,), "Not Found")</f>
        <v>Converted</v>
      </c>
      <c r="N866" s="29" t="str">
        <f>IF(M866="","",M866-B866)</f>
        <v/>
      </c>
      <c r="O866" s="1" t="str">
        <f t="shared" si="75"/>
        <v>Starter</v>
      </c>
      <c r="P866" t="str">
        <f>TEXT(B866, "mmmm")</f>
        <v>October</v>
      </c>
      <c r="Q866" t="str">
        <f t="shared" si="76"/>
        <v>Q4</v>
      </c>
      <c r="R866" t="str">
        <f>IFERROR(VLOOKUP(TRIM(CLEAN(G866)),Sheet14!$A$2:$B$19,2,FALSE),"Not Mapped")</f>
        <v>West</v>
      </c>
    </row>
    <row r="867" spans="1:18">
      <c r="A867" t="str">
        <f t="shared" si="74"/>
        <v>EOS0866</v>
      </c>
      <c r="B867" s="35">
        <v>45938</v>
      </c>
      <c r="C867" s="4" t="s">
        <v>267</v>
      </c>
      <c r="D867" s="1" t="str">
        <f t="shared" si="73"/>
        <v>FB</v>
      </c>
      <c r="E867" s="1" t="s">
        <v>420</v>
      </c>
      <c r="F867" s="1"/>
      <c r="G867" s="1" t="s">
        <v>224</v>
      </c>
      <c r="H867" s="1" t="s">
        <v>69</v>
      </c>
      <c r="I867" s="1">
        <v>130000</v>
      </c>
      <c r="J867" s="45">
        <v>107865</v>
      </c>
      <c r="K867" s="1" t="str">
        <f>TRIM(Cleaned_CRM_Data!H867)</f>
        <v>Follow up</v>
      </c>
      <c r="L867" t="str">
        <f>IFERROR(VLOOKUP(K867, Status_Mapping!A:B, 2,), "Not Found")</f>
        <v>Follow Up</v>
      </c>
      <c r="N867" s="29" t="str">
        <f>IF(M867="","",M867-B867)</f>
        <v/>
      </c>
      <c r="O867" s="1" t="str">
        <f t="shared" si="75"/>
        <v>Starter</v>
      </c>
      <c r="P867" t="str">
        <f>TEXT(B867, "mmmm")</f>
        <v>October</v>
      </c>
      <c r="Q867" t="str">
        <f t="shared" si="76"/>
        <v>Q4</v>
      </c>
      <c r="R867" t="str">
        <f>IFERROR(VLOOKUP(TRIM(CLEAN(G867)),Sheet14!$A$2:$B$19,2,FALSE),"Not Mapped")</f>
        <v>West</v>
      </c>
    </row>
    <row r="868" spans="1:18">
      <c r="A868" t="str">
        <f t="shared" si="74"/>
        <v>EOS0867</v>
      </c>
      <c r="B868" s="35">
        <v>45938</v>
      </c>
      <c r="C868" s="4" t="s">
        <v>267</v>
      </c>
      <c r="D868" s="1" t="str">
        <f t="shared" si="73"/>
        <v>FB</v>
      </c>
      <c r="E868" s="1" t="s">
        <v>1407</v>
      </c>
      <c r="F868" s="1"/>
      <c r="G868" s="1" t="s">
        <v>224</v>
      </c>
      <c r="H868" s="1" t="s">
        <v>69</v>
      </c>
      <c r="I868" s="1">
        <v>177000</v>
      </c>
      <c r="J868" s="45">
        <v>107866</v>
      </c>
      <c r="K868" s="1" t="str">
        <f>TRIM(Cleaned_CRM_Data!H868)</f>
        <v>Follow up</v>
      </c>
      <c r="L868" t="str">
        <f>IFERROR(VLOOKUP(K868, Status_Mapping!A:B, 2,), "Not Found")</f>
        <v>Follow Up</v>
      </c>
      <c r="N868" s="29" t="str">
        <f>IF(M868="","",M868-B868)</f>
        <v/>
      </c>
      <c r="O868" s="1" t="str">
        <f t="shared" si="75"/>
        <v>Growth</v>
      </c>
      <c r="P868" t="str">
        <f>TEXT(B868, "mmmm")</f>
        <v>October</v>
      </c>
      <c r="Q868" t="str">
        <f t="shared" si="76"/>
        <v>Q4</v>
      </c>
      <c r="R868" t="str">
        <f>IFERROR(VLOOKUP(TRIM(CLEAN(G868)),Sheet14!$A$2:$B$19,2,FALSE),"Not Mapped")</f>
        <v>West</v>
      </c>
    </row>
    <row r="869" spans="1:18">
      <c r="A869" t="str">
        <f t="shared" si="74"/>
        <v>EOS0868</v>
      </c>
      <c r="B869" s="35">
        <v>45938</v>
      </c>
      <c r="C869" s="4" t="s">
        <v>267</v>
      </c>
      <c r="D869" s="1" t="str">
        <f t="shared" si="73"/>
        <v>FB</v>
      </c>
      <c r="E869" s="1"/>
      <c r="F869" s="1"/>
      <c r="G869" s="1" t="s">
        <v>224</v>
      </c>
      <c r="H869" s="1" t="s">
        <v>69</v>
      </c>
      <c r="I869" s="1">
        <v>108000</v>
      </c>
      <c r="J869" s="45">
        <v>107867</v>
      </c>
      <c r="K869" s="1" t="str">
        <f>TRIM(Cleaned_CRM_Data!H869)</f>
        <v>Follow up</v>
      </c>
      <c r="L869" t="str">
        <f>IFERROR(VLOOKUP(K869, Status_Mapping!A:B, 2,), "Not Found")</f>
        <v>Follow Up</v>
      </c>
      <c r="N869" s="29" t="str">
        <f>IF(M869="","",M869-B869)</f>
        <v/>
      </c>
      <c r="O869" s="1" t="str">
        <f t="shared" si="75"/>
        <v>Starter</v>
      </c>
      <c r="P869" t="str">
        <f>TEXT(B869, "mmmm")</f>
        <v>October</v>
      </c>
      <c r="Q869" t="str">
        <f t="shared" si="76"/>
        <v>Q4</v>
      </c>
      <c r="R869" t="str">
        <f>IFERROR(VLOOKUP(TRIM(CLEAN(G869)),Sheet14!$A$2:$B$19,2,FALSE),"Not Mapped")</f>
        <v>West</v>
      </c>
    </row>
    <row r="870" spans="1:18">
      <c r="A870" t="str">
        <f t="shared" si="74"/>
        <v>EOS0869</v>
      </c>
      <c r="B870" s="35">
        <v>45938</v>
      </c>
      <c r="C870" s="4" t="s">
        <v>267</v>
      </c>
      <c r="D870" s="1" t="str">
        <f t="shared" si="73"/>
        <v>FB</v>
      </c>
      <c r="E870" s="1" t="s">
        <v>1408</v>
      </c>
      <c r="F870" s="1"/>
      <c r="G870" s="1" t="s">
        <v>224</v>
      </c>
      <c r="H870" s="1" t="s">
        <v>69</v>
      </c>
      <c r="I870" s="1">
        <v>108000</v>
      </c>
      <c r="J870" s="45">
        <v>107868</v>
      </c>
      <c r="K870" s="1" t="str">
        <f>TRIM(Cleaned_CRM_Data!H870)</f>
        <v>Follow up</v>
      </c>
      <c r="L870" t="str">
        <f>IFERROR(VLOOKUP(K870, Status_Mapping!A:B, 2,), "Not Found")</f>
        <v>Follow Up</v>
      </c>
      <c r="N870" s="29" t="str">
        <f>IF(M870="","",M870-B870)</f>
        <v/>
      </c>
      <c r="O870" s="1" t="str">
        <f t="shared" si="75"/>
        <v>Starter</v>
      </c>
      <c r="P870" t="str">
        <f>TEXT(B870, "mmmm")</f>
        <v>October</v>
      </c>
      <c r="Q870" t="str">
        <f t="shared" si="76"/>
        <v>Q4</v>
      </c>
      <c r="R870" t="str">
        <f>IFERROR(VLOOKUP(TRIM(CLEAN(G870)),Sheet14!$A$2:$B$19,2,FALSE),"Not Mapped")</f>
        <v>West</v>
      </c>
    </row>
    <row r="871" spans="1:18">
      <c r="A871" t="str">
        <f t="shared" si="74"/>
        <v>EOS0870</v>
      </c>
      <c r="B871" s="35">
        <v>45938</v>
      </c>
      <c r="C871" s="4" t="s">
        <v>267</v>
      </c>
      <c r="D871" s="1" t="str">
        <f t="shared" si="73"/>
        <v>FB</v>
      </c>
      <c r="E871" s="1" t="s">
        <v>1409</v>
      </c>
      <c r="F871" s="1"/>
      <c r="G871" s="1" t="s">
        <v>224</v>
      </c>
      <c r="H871" s="1" t="s">
        <v>69</v>
      </c>
      <c r="I871" s="1">
        <v>130000</v>
      </c>
      <c r="J871" s="45">
        <v>107869</v>
      </c>
      <c r="K871" s="1" t="str">
        <f>TRIM(Cleaned_CRM_Data!H871)</f>
        <v>Follow up</v>
      </c>
      <c r="L871" t="str">
        <f>IFERROR(VLOOKUP(K871, Status_Mapping!A:B, 2,), "Not Found")</f>
        <v>Follow Up</v>
      </c>
      <c r="N871" s="29" t="str">
        <f>IF(M871="","",M871-B871)</f>
        <v/>
      </c>
      <c r="O871" s="1" t="str">
        <f t="shared" si="75"/>
        <v>Starter</v>
      </c>
      <c r="P871" t="str">
        <f>TEXT(B871, "mmmm")</f>
        <v>October</v>
      </c>
      <c r="Q871" t="str">
        <f t="shared" si="76"/>
        <v>Q4</v>
      </c>
      <c r="R871" t="str">
        <f>IFERROR(VLOOKUP(TRIM(CLEAN(G871)),Sheet14!$A$2:$B$19,2,FALSE),"Not Mapped")</f>
        <v>West</v>
      </c>
    </row>
    <row r="872" spans="1:18">
      <c r="A872" t="str">
        <f t="shared" si="74"/>
        <v>EOS0871</v>
      </c>
      <c r="B872" s="35">
        <v>45938</v>
      </c>
      <c r="C872" s="4" t="s">
        <v>267</v>
      </c>
      <c r="D872" s="1" t="str">
        <f t="shared" si="73"/>
        <v>FB</v>
      </c>
      <c r="E872" s="1" t="s">
        <v>1410</v>
      </c>
      <c r="F872" s="1"/>
      <c r="G872" s="1" t="s">
        <v>224</v>
      </c>
      <c r="H872" s="1" t="s">
        <v>69</v>
      </c>
      <c r="I872" s="1">
        <v>108000</v>
      </c>
      <c r="J872" s="45">
        <v>107870</v>
      </c>
      <c r="K872" s="1" t="str">
        <f>TRIM(Cleaned_CRM_Data!H872)</f>
        <v>Follow up</v>
      </c>
      <c r="L872" t="str">
        <f>IFERROR(VLOOKUP(K872, Status_Mapping!A:B, 2,), "Not Found")</f>
        <v>Follow Up</v>
      </c>
      <c r="N872" s="29" t="str">
        <f>IF(M872="","",M872-B872)</f>
        <v/>
      </c>
      <c r="O872" s="1" t="str">
        <f t="shared" si="75"/>
        <v>Starter</v>
      </c>
      <c r="P872" t="str">
        <f>TEXT(B872, "mmmm")</f>
        <v>October</v>
      </c>
      <c r="Q872" t="str">
        <f t="shared" si="76"/>
        <v>Q4</v>
      </c>
      <c r="R872" t="str">
        <f>IFERROR(VLOOKUP(TRIM(CLEAN(G872)),Sheet14!$A$2:$B$19,2,FALSE),"Not Mapped")</f>
        <v>West</v>
      </c>
    </row>
    <row r="873" spans="1:18">
      <c r="A873" t="str">
        <f t="shared" si="74"/>
        <v>EOS0872</v>
      </c>
      <c r="B873" s="35">
        <v>45938</v>
      </c>
      <c r="C873" s="4" t="s">
        <v>267</v>
      </c>
      <c r="D873" s="1" t="str">
        <f t="shared" si="73"/>
        <v>FB</v>
      </c>
      <c r="E873" s="1" t="s">
        <v>1411</v>
      </c>
      <c r="F873" s="1"/>
      <c r="G873" s="1" t="s">
        <v>224</v>
      </c>
      <c r="H873" s="1" t="s">
        <v>69</v>
      </c>
      <c r="I873" s="1">
        <v>130000</v>
      </c>
      <c r="J873" s="45">
        <v>107871</v>
      </c>
      <c r="K873" s="1" t="str">
        <f>TRIM(Cleaned_CRM_Data!H873)</f>
        <v>Follow up</v>
      </c>
      <c r="L873" t="str">
        <f>IFERROR(VLOOKUP(K873, Status_Mapping!A:B, 2,), "Not Found")</f>
        <v>Follow Up</v>
      </c>
      <c r="N873" s="29" t="str">
        <f>IF(M873="","",M873-B873)</f>
        <v/>
      </c>
      <c r="O873" s="1" t="str">
        <f t="shared" si="75"/>
        <v>Starter</v>
      </c>
      <c r="P873" t="str">
        <f>TEXT(B873, "mmmm")</f>
        <v>October</v>
      </c>
      <c r="Q873" t="str">
        <f t="shared" si="76"/>
        <v>Q4</v>
      </c>
      <c r="R873" t="str">
        <f>IFERROR(VLOOKUP(TRIM(CLEAN(G873)),Sheet14!$A$2:$B$19,2,FALSE),"Not Mapped")</f>
        <v>West</v>
      </c>
    </row>
    <row r="874" spans="1:18">
      <c r="A874" t="str">
        <f t="shared" si="74"/>
        <v>EOS0873</v>
      </c>
      <c r="B874" s="35">
        <v>45938</v>
      </c>
      <c r="C874" s="4" t="s">
        <v>267</v>
      </c>
      <c r="D874" s="1" t="str">
        <f t="shared" si="73"/>
        <v>FB</v>
      </c>
      <c r="E874" s="1" t="s">
        <v>1065</v>
      </c>
      <c r="F874" s="1"/>
      <c r="G874" s="1" t="s">
        <v>224</v>
      </c>
      <c r="H874" s="1" t="s">
        <v>69</v>
      </c>
      <c r="I874" s="1">
        <v>130000</v>
      </c>
      <c r="J874" s="45">
        <v>107872</v>
      </c>
      <c r="K874" s="1" t="str">
        <f>TRIM(Cleaned_CRM_Data!H874)</f>
        <v>Follow up</v>
      </c>
      <c r="L874" t="str">
        <f>IFERROR(VLOOKUP(K874, Status_Mapping!A:B, 2,), "Not Found")</f>
        <v>Follow Up</v>
      </c>
      <c r="N874" s="29" t="str">
        <f>IF(M874="","",M874-B874)</f>
        <v/>
      </c>
      <c r="O874" s="1" t="str">
        <f t="shared" si="75"/>
        <v>Starter</v>
      </c>
      <c r="P874" t="str">
        <f>TEXT(B874, "mmmm")</f>
        <v>October</v>
      </c>
      <c r="Q874" t="str">
        <f t="shared" si="76"/>
        <v>Q4</v>
      </c>
      <c r="R874" t="str">
        <f>IFERROR(VLOOKUP(TRIM(CLEAN(G874)),Sheet14!$A$2:$B$19,2,FALSE),"Not Mapped")</f>
        <v>West</v>
      </c>
    </row>
    <row r="875" spans="1:18">
      <c r="A875" t="str">
        <f t="shared" si="74"/>
        <v>EOS0874</v>
      </c>
      <c r="B875" s="35">
        <v>45938</v>
      </c>
      <c r="C875" s="4" t="s">
        <v>267</v>
      </c>
      <c r="D875" s="1" t="str">
        <f t="shared" si="73"/>
        <v>FB</v>
      </c>
      <c r="E875" s="1" t="s">
        <v>1412</v>
      </c>
      <c r="F875" s="1" t="s">
        <v>336</v>
      </c>
      <c r="G875" s="1" t="s">
        <v>224</v>
      </c>
      <c r="H875" s="1" t="s">
        <v>69</v>
      </c>
      <c r="I875" s="1">
        <v>108000</v>
      </c>
      <c r="J875" s="45">
        <v>107873</v>
      </c>
      <c r="K875" s="1" t="str">
        <f>TRIM(Cleaned_CRM_Data!H875)</f>
        <v>Follow up</v>
      </c>
      <c r="L875" t="str">
        <f>IFERROR(VLOOKUP(K875, Status_Mapping!A:B, 2,), "Not Found")</f>
        <v>Follow Up</v>
      </c>
      <c r="N875" s="29" t="str">
        <f>IF(M875="","",M875-B875)</f>
        <v/>
      </c>
      <c r="O875" s="1" t="str">
        <f t="shared" si="75"/>
        <v>Starter</v>
      </c>
      <c r="P875" t="str">
        <f>TEXT(B875, "mmmm")</f>
        <v>October</v>
      </c>
      <c r="Q875" t="str">
        <f t="shared" si="76"/>
        <v>Q4</v>
      </c>
      <c r="R875" t="str">
        <f>IFERROR(VLOOKUP(TRIM(CLEAN(G875)),Sheet14!$A$2:$B$19,2,FALSE),"Not Mapped")</f>
        <v>West</v>
      </c>
    </row>
    <row r="876" spans="1:18">
      <c r="A876" t="str">
        <f t="shared" si="74"/>
        <v>EOS0875</v>
      </c>
      <c r="B876" s="35">
        <v>45939</v>
      </c>
      <c r="C876" s="4" t="s">
        <v>267</v>
      </c>
      <c r="D876" s="1" t="str">
        <f t="shared" si="73"/>
        <v>FB</v>
      </c>
      <c r="E876" s="1" t="s">
        <v>1413</v>
      </c>
      <c r="F876" s="1"/>
      <c r="G876" s="1" t="s">
        <v>224</v>
      </c>
      <c r="H876" s="1" t="s">
        <v>69</v>
      </c>
      <c r="I876" s="1">
        <v>130000</v>
      </c>
      <c r="J876" s="45">
        <v>107874</v>
      </c>
      <c r="K876" s="1" t="str">
        <f>TRIM(Cleaned_CRM_Data!H876)</f>
        <v>Follow up</v>
      </c>
      <c r="L876" t="str">
        <f>IFERROR(VLOOKUP(K876, Status_Mapping!A:B, 2,), "Not Found")</f>
        <v>Follow Up</v>
      </c>
      <c r="N876" s="29" t="str">
        <f>IF(M876="","",M876-B876)</f>
        <v/>
      </c>
      <c r="O876" s="1" t="str">
        <f t="shared" si="75"/>
        <v>Starter</v>
      </c>
      <c r="P876" t="str">
        <f>TEXT(B876, "mmmm")</f>
        <v>October</v>
      </c>
      <c r="Q876" t="str">
        <f t="shared" si="76"/>
        <v>Q4</v>
      </c>
      <c r="R876" t="str">
        <f>IFERROR(VLOOKUP(TRIM(CLEAN(G876)),Sheet14!$A$2:$B$19,2,FALSE),"Not Mapped")</f>
        <v>West</v>
      </c>
    </row>
    <row r="877" spans="1:18">
      <c r="A877" t="str">
        <f t="shared" si="74"/>
        <v>EOS0876</v>
      </c>
      <c r="B877" s="35">
        <v>45941</v>
      </c>
      <c r="C877" s="4" t="s">
        <v>267</v>
      </c>
      <c r="D877" s="1" t="str">
        <f t="shared" si="73"/>
        <v>FB</v>
      </c>
      <c r="E877" s="1" t="s">
        <v>1414</v>
      </c>
      <c r="F877" s="1"/>
      <c r="G877" s="1" t="s">
        <v>224</v>
      </c>
      <c r="H877" s="1" t="s">
        <v>69</v>
      </c>
      <c r="I877" s="1">
        <v>108000</v>
      </c>
      <c r="J877" s="45">
        <v>107875</v>
      </c>
      <c r="K877" s="1" t="str">
        <f>TRIM(Cleaned_CRM_Data!H877)</f>
        <v>Follow up</v>
      </c>
      <c r="L877" t="str">
        <f>IFERROR(VLOOKUP(K877, Status_Mapping!A:B, 2,), "Not Found")</f>
        <v>Follow Up</v>
      </c>
      <c r="N877" s="29" t="str">
        <f>IF(M877="","",M877-B877)</f>
        <v/>
      </c>
      <c r="O877" s="1" t="str">
        <f t="shared" si="75"/>
        <v>Starter</v>
      </c>
      <c r="P877" t="str">
        <f>TEXT(B877, "mmmm")</f>
        <v>October</v>
      </c>
      <c r="Q877" t="str">
        <f t="shared" si="76"/>
        <v>Q4</v>
      </c>
      <c r="R877" t="str">
        <f>IFERROR(VLOOKUP(TRIM(CLEAN(G877)),Sheet14!$A$2:$B$19,2,FALSE),"Not Mapped")</f>
        <v>West</v>
      </c>
    </row>
    <row r="878" spans="1:18">
      <c r="A878" t="str">
        <f t="shared" si="74"/>
        <v>EOS0877</v>
      </c>
      <c r="B878" s="35">
        <v>45943</v>
      </c>
      <c r="C878" s="1" t="s">
        <v>1314</v>
      </c>
      <c r="D878" s="1" t="str">
        <f t="shared" si="73"/>
        <v>Fb</v>
      </c>
      <c r="E878" s="1" t="s">
        <v>1415</v>
      </c>
      <c r="F878" s="1"/>
      <c r="G878" s="1" t="s">
        <v>224</v>
      </c>
      <c r="H878" s="1" t="s">
        <v>149</v>
      </c>
      <c r="I878" s="1">
        <v>130000</v>
      </c>
      <c r="J878" s="45">
        <v>107876</v>
      </c>
      <c r="K878" s="1" t="str">
        <f>TRIM(Cleaned_CRM_Data!H878)</f>
        <v>Rejected</v>
      </c>
      <c r="L878" t="str">
        <f>IFERROR(VLOOKUP(K878, Status_Mapping!A:B, 2,), "Not Found")</f>
        <v>Rejected</v>
      </c>
      <c r="N878" s="29" t="str">
        <f>IF(M878="","",M878-B878)</f>
        <v/>
      </c>
      <c r="O878" s="1" t="str">
        <f t="shared" si="75"/>
        <v>Starter</v>
      </c>
      <c r="P878" t="str">
        <f>TEXT(B878, "mmmm")</f>
        <v>October</v>
      </c>
      <c r="Q878" t="str">
        <f t="shared" si="76"/>
        <v>Q4</v>
      </c>
      <c r="R878" t="str">
        <f>IFERROR(VLOOKUP(TRIM(CLEAN(G878)),Sheet14!$A$2:$B$19,2,FALSE),"Not Mapped")</f>
        <v>West</v>
      </c>
    </row>
    <row r="879" spans="1:18">
      <c r="A879" t="str">
        <f t="shared" si="74"/>
        <v>EOS0878</v>
      </c>
      <c r="B879" s="35">
        <v>45944</v>
      </c>
      <c r="C879" s="4" t="s">
        <v>267</v>
      </c>
      <c r="D879" s="1" t="str">
        <f t="shared" si="73"/>
        <v>FB</v>
      </c>
      <c r="E879" s="1" t="s">
        <v>1416</v>
      </c>
      <c r="F879" s="1"/>
      <c r="G879" s="1" t="s">
        <v>224</v>
      </c>
      <c r="H879" s="1" t="s">
        <v>69</v>
      </c>
      <c r="I879" s="1">
        <v>177000</v>
      </c>
      <c r="J879" s="45">
        <v>107877</v>
      </c>
      <c r="K879" s="1" t="str">
        <f>TRIM(Cleaned_CRM_Data!H879)</f>
        <v>Follow up</v>
      </c>
      <c r="L879" t="str">
        <f>IFERROR(VLOOKUP(K879, Status_Mapping!A:B, 2,), "Not Found")</f>
        <v>Follow Up</v>
      </c>
      <c r="N879" s="29" t="str">
        <f>IF(M879="","",M879-B879)</f>
        <v/>
      </c>
      <c r="O879" s="1" t="str">
        <f t="shared" si="75"/>
        <v>Growth</v>
      </c>
      <c r="P879" t="str">
        <f>TEXT(B879, "mmmm")</f>
        <v>October</v>
      </c>
      <c r="Q879" t="str">
        <f t="shared" si="76"/>
        <v>Q4</v>
      </c>
      <c r="R879" t="str">
        <f>IFERROR(VLOOKUP(TRIM(CLEAN(G879)),Sheet14!$A$2:$B$19,2,FALSE),"Not Mapped")</f>
        <v>West</v>
      </c>
    </row>
    <row r="880" spans="1:18">
      <c r="A880" t="str">
        <f t="shared" si="74"/>
        <v>EOS0879</v>
      </c>
      <c r="B880" s="35">
        <v>45944</v>
      </c>
      <c r="C880" s="4" t="s">
        <v>267</v>
      </c>
      <c r="D880" s="1" t="str">
        <f t="shared" si="73"/>
        <v>FB</v>
      </c>
      <c r="E880" s="1" t="s">
        <v>1417</v>
      </c>
      <c r="F880" s="1"/>
      <c r="G880" s="1" t="s">
        <v>224</v>
      </c>
      <c r="H880" s="1" t="s">
        <v>69</v>
      </c>
      <c r="I880" s="1">
        <v>108000</v>
      </c>
      <c r="J880" s="45">
        <v>107878</v>
      </c>
      <c r="K880" s="1" t="str">
        <f>TRIM(Cleaned_CRM_Data!H880)</f>
        <v>Follow up</v>
      </c>
      <c r="L880" t="str">
        <f>IFERROR(VLOOKUP(K880, Status_Mapping!A:B, 2,), "Not Found")</f>
        <v>Follow Up</v>
      </c>
      <c r="N880" s="29" t="str">
        <f>IF(M880="","",M880-B880)</f>
        <v/>
      </c>
      <c r="O880" s="1" t="str">
        <f t="shared" si="75"/>
        <v>Starter</v>
      </c>
      <c r="P880" t="str">
        <f>TEXT(B880, "mmmm")</f>
        <v>October</v>
      </c>
      <c r="Q880" t="str">
        <f t="shared" si="76"/>
        <v>Q4</v>
      </c>
      <c r="R880" t="str">
        <f>IFERROR(VLOOKUP(TRIM(CLEAN(G880)),Sheet14!$A$2:$B$19,2,FALSE),"Not Mapped")</f>
        <v>West</v>
      </c>
    </row>
    <row r="881" spans="1:18">
      <c r="A881" t="str">
        <f t="shared" si="74"/>
        <v>EOS0880</v>
      </c>
      <c r="B881" s="35">
        <v>45944</v>
      </c>
      <c r="C881" s="4" t="s">
        <v>267</v>
      </c>
      <c r="D881" s="1" t="str">
        <f t="shared" si="73"/>
        <v>FB</v>
      </c>
      <c r="E881" s="1" t="s">
        <v>1418</v>
      </c>
      <c r="F881" s="1"/>
      <c r="G881" s="1" t="s">
        <v>224</v>
      </c>
      <c r="H881" s="1" t="s">
        <v>69</v>
      </c>
      <c r="I881" s="1">
        <v>177000</v>
      </c>
      <c r="J881" s="45">
        <v>107879</v>
      </c>
      <c r="K881" s="1" t="str">
        <f>TRIM(Cleaned_CRM_Data!H881)</f>
        <v>Follow up</v>
      </c>
      <c r="L881" t="str">
        <f>IFERROR(VLOOKUP(K881, Status_Mapping!A:B, 2,), "Not Found")</f>
        <v>Follow Up</v>
      </c>
      <c r="N881" s="29" t="str">
        <f>IF(M881="","",M881-B881)</f>
        <v/>
      </c>
      <c r="O881" s="1" t="str">
        <f t="shared" si="75"/>
        <v>Growth</v>
      </c>
      <c r="P881" t="str">
        <f>TEXT(B881, "mmmm")</f>
        <v>October</v>
      </c>
      <c r="Q881" t="str">
        <f t="shared" si="76"/>
        <v>Q4</v>
      </c>
      <c r="R881" t="str">
        <f>IFERROR(VLOOKUP(TRIM(CLEAN(G881)),Sheet14!$A$2:$B$19,2,FALSE),"Not Mapped")</f>
        <v>West</v>
      </c>
    </row>
    <row r="882" spans="1:18">
      <c r="A882" t="str">
        <f t="shared" si="74"/>
        <v>EOS0881</v>
      </c>
      <c r="B882" s="35">
        <v>45944</v>
      </c>
      <c r="C882" s="4" t="s">
        <v>267</v>
      </c>
      <c r="D882" s="1" t="str">
        <f t="shared" si="73"/>
        <v>FB</v>
      </c>
      <c r="E882" s="1" t="s">
        <v>1419</v>
      </c>
      <c r="F882" s="1"/>
      <c r="G882" s="1" t="s">
        <v>224</v>
      </c>
      <c r="H882" s="1" t="s">
        <v>69</v>
      </c>
      <c r="I882" s="1">
        <v>130000</v>
      </c>
      <c r="J882" s="45">
        <v>107880</v>
      </c>
      <c r="K882" s="1" t="str">
        <f>TRIM(Cleaned_CRM_Data!H882)</f>
        <v>Follow up</v>
      </c>
      <c r="L882" t="str">
        <f>IFERROR(VLOOKUP(K882, Status_Mapping!A:B, 2,), "Not Found")</f>
        <v>Follow Up</v>
      </c>
      <c r="N882" s="29" t="str">
        <f>IF(M882="","",M882-B882)</f>
        <v/>
      </c>
      <c r="O882" s="1" t="str">
        <f t="shared" si="75"/>
        <v>Starter</v>
      </c>
      <c r="P882" t="str">
        <f>TEXT(B882, "mmmm")</f>
        <v>October</v>
      </c>
      <c r="Q882" t="str">
        <f t="shared" si="76"/>
        <v>Q4</v>
      </c>
      <c r="R882" t="str">
        <f>IFERROR(VLOOKUP(TRIM(CLEAN(G882)),Sheet14!$A$2:$B$19,2,FALSE),"Not Mapped")</f>
        <v>West</v>
      </c>
    </row>
    <row r="883" spans="1:18">
      <c r="A883" t="str">
        <f t="shared" si="74"/>
        <v>EOS0882</v>
      </c>
      <c r="B883" s="35">
        <v>45945</v>
      </c>
      <c r="C883" s="4" t="s">
        <v>267</v>
      </c>
      <c r="D883" s="1" t="str">
        <f t="shared" si="73"/>
        <v>FB</v>
      </c>
      <c r="E883" s="1" t="s">
        <v>1420</v>
      </c>
      <c r="F883" s="1" t="s">
        <v>860</v>
      </c>
      <c r="G883" s="1" t="s">
        <v>224</v>
      </c>
      <c r="H883" s="1" t="s">
        <v>69</v>
      </c>
      <c r="I883" s="1">
        <v>308000</v>
      </c>
      <c r="J883" s="45">
        <v>107881</v>
      </c>
      <c r="K883" s="1" t="str">
        <f>TRIM(Cleaned_CRM_Data!H883)</f>
        <v>Follow up</v>
      </c>
      <c r="L883" t="str">
        <f>IFERROR(VLOOKUP(K883, Status_Mapping!A:B, 2,), "Not Found")</f>
        <v>Follow Up</v>
      </c>
      <c r="N883" s="29" t="str">
        <f>IF(M883="","",M883-B883)</f>
        <v/>
      </c>
      <c r="O883" s="1" t="str">
        <f t="shared" si="75"/>
        <v>Premium</v>
      </c>
      <c r="P883" t="str">
        <f>TEXT(B883, "mmmm")</f>
        <v>October</v>
      </c>
      <c r="Q883" t="str">
        <f t="shared" si="76"/>
        <v>Q4</v>
      </c>
      <c r="R883" t="str">
        <f>IFERROR(VLOOKUP(TRIM(CLEAN(G883)),Sheet14!$A$2:$B$19,2,FALSE),"Not Mapped")</f>
        <v>West</v>
      </c>
    </row>
    <row r="884" spans="1:18">
      <c r="A884" t="str">
        <f t="shared" si="74"/>
        <v>EOS0883</v>
      </c>
      <c r="B884" s="35">
        <v>45945</v>
      </c>
      <c r="C884" s="4" t="s">
        <v>267</v>
      </c>
      <c r="D884" s="1" t="str">
        <f t="shared" si="73"/>
        <v>FB</v>
      </c>
      <c r="E884" s="1" t="s">
        <v>358</v>
      </c>
      <c r="F884" s="1" t="s">
        <v>412</v>
      </c>
      <c r="G884" s="1" t="s">
        <v>224</v>
      </c>
      <c r="H884" s="1" t="s">
        <v>69</v>
      </c>
      <c r="I884" s="1">
        <v>130000</v>
      </c>
      <c r="J884" s="45">
        <v>107882</v>
      </c>
      <c r="K884" s="1" t="str">
        <f>TRIM(Cleaned_CRM_Data!H884)</f>
        <v>Follow up</v>
      </c>
      <c r="L884" t="str">
        <f>IFERROR(VLOOKUP(K884, Status_Mapping!A:B, 2,), "Not Found")</f>
        <v>Follow Up</v>
      </c>
      <c r="N884" s="29" t="str">
        <f>IF(M884="","",M884-B884)</f>
        <v/>
      </c>
      <c r="O884" s="1" t="str">
        <f t="shared" si="75"/>
        <v>Starter</v>
      </c>
      <c r="P884" t="str">
        <f>TEXT(B884, "mmmm")</f>
        <v>October</v>
      </c>
      <c r="Q884" t="str">
        <f t="shared" si="76"/>
        <v>Q4</v>
      </c>
      <c r="R884" t="str">
        <f>IFERROR(VLOOKUP(TRIM(CLEAN(G884)),Sheet14!$A$2:$B$19,2,FALSE),"Not Mapped")</f>
        <v>West</v>
      </c>
    </row>
    <row r="885" spans="1:18">
      <c r="A885" t="str">
        <f t="shared" si="74"/>
        <v>EOS0884</v>
      </c>
      <c r="B885" s="35">
        <v>45945</v>
      </c>
      <c r="C885" s="4" t="s">
        <v>267</v>
      </c>
      <c r="D885" s="1" t="str">
        <f t="shared" si="73"/>
        <v>FB</v>
      </c>
      <c r="E885" s="1" t="s">
        <v>1421</v>
      </c>
      <c r="F885" s="1" t="s">
        <v>412</v>
      </c>
      <c r="G885" s="1" t="s">
        <v>224</v>
      </c>
      <c r="H885" s="1" t="s">
        <v>69</v>
      </c>
      <c r="I885" s="1">
        <v>108000</v>
      </c>
      <c r="J885" s="45">
        <v>107883</v>
      </c>
      <c r="K885" s="1" t="str">
        <f>TRIM(Cleaned_CRM_Data!H885)</f>
        <v>Follow up</v>
      </c>
      <c r="L885" t="str">
        <f>IFERROR(VLOOKUP(K885, Status_Mapping!A:B, 2,), "Not Found")</f>
        <v>Follow Up</v>
      </c>
      <c r="N885" s="29" t="str">
        <f>IF(M885="","",M885-B885)</f>
        <v/>
      </c>
      <c r="O885" s="1" t="str">
        <f t="shared" si="75"/>
        <v>Starter</v>
      </c>
      <c r="P885" t="str">
        <f>TEXT(B885, "mmmm")</f>
        <v>October</v>
      </c>
      <c r="Q885" t="str">
        <f t="shared" si="76"/>
        <v>Q4</v>
      </c>
      <c r="R885" t="str">
        <f>IFERROR(VLOOKUP(TRIM(CLEAN(G885)),Sheet14!$A$2:$B$19,2,FALSE),"Not Mapped")</f>
        <v>West</v>
      </c>
    </row>
    <row r="886" spans="1:18">
      <c r="A886" t="str">
        <f t="shared" si="74"/>
        <v>EOS0885</v>
      </c>
      <c r="B886" s="35">
        <v>45945</v>
      </c>
      <c r="C886" s="4" t="s">
        <v>267</v>
      </c>
      <c r="D886" s="1" t="str">
        <f t="shared" si="73"/>
        <v>FB</v>
      </c>
      <c r="E886" s="1" t="s">
        <v>1422</v>
      </c>
      <c r="F886" s="1" t="s">
        <v>304</v>
      </c>
      <c r="G886" s="1" t="s">
        <v>224</v>
      </c>
      <c r="H886" s="1" t="s">
        <v>69</v>
      </c>
      <c r="I886" s="1">
        <v>108000</v>
      </c>
      <c r="J886" s="45">
        <v>107884</v>
      </c>
      <c r="K886" s="1" t="str">
        <f>TRIM(Cleaned_CRM_Data!H886)</f>
        <v>Follow up</v>
      </c>
      <c r="L886" t="str">
        <f>IFERROR(VLOOKUP(K886, Status_Mapping!A:B, 2,), "Not Found")</f>
        <v>Follow Up</v>
      </c>
      <c r="N886" s="29" t="str">
        <f>IF(M886="","",M886-B886)</f>
        <v/>
      </c>
      <c r="O886" s="1" t="str">
        <f t="shared" si="75"/>
        <v>Starter</v>
      </c>
      <c r="P886" t="str">
        <f>TEXT(B886, "mmmm")</f>
        <v>October</v>
      </c>
      <c r="Q886" t="str">
        <f t="shared" si="76"/>
        <v>Q4</v>
      </c>
      <c r="R886" t="str">
        <f>IFERROR(VLOOKUP(TRIM(CLEAN(G886)),Sheet14!$A$2:$B$19,2,FALSE),"Not Mapped")</f>
        <v>West</v>
      </c>
    </row>
    <row r="887" spans="1:18">
      <c r="A887" t="str">
        <f t="shared" si="74"/>
        <v>EOS0886</v>
      </c>
      <c r="B887" s="35">
        <v>45945</v>
      </c>
      <c r="C887" s="1" t="s">
        <v>1314</v>
      </c>
      <c r="D887" s="1" t="str">
        <f t="shared" si="73"/>
        <v>Fb</v>
      </c>
      <c r="E887" s="1" t="s">
        <v>1423</v>
      </c>
      <c r="F887" s="1" t="s">
        <v>412</v>
      </c>
      <c r="G887" s="1" t="s">
        <v>224</v>
      </c>
      <c r="H887" s="1" t="s">
        <v>149</v>
      </c>
      <c r="I887" s="1">
        <v>130000</v>
      </c>
      <c r="J887" s="45">
        <v>107885</v>
      </c>
      <c r="K887" s="1" t="str">
        <f>TRIM(Cleaned_CRM_Data!H887)</f>
        <v>Rejected</v>
      </c>
      <c r="L887" t="str">
        <f>IFERROR(VLOOKUP(K887, Status_Mapping!A:B, 2,), "Not Found")</f>
        <v>Rejected</v>
      </c>
      <c r="N887" s="29" t="str">
        <f>IF(M887="","",M887-B887)</f>
        <v/>
      </c>
      <c r="O887" s="1" t="str">
        <f t="shared" si="75"/>
        <v>Starter</v>
      </c>
      <c r="P887" t="str">
        <f>TEXT(B887, "mmmm")</f>
        <v>October</v>
      </c>
      <c r="Q887" t="str">
        <f t="shared" si="76"/>
        <v>Q4</v>
      </c>
      <c r="R887" t="str">
        <f>IFERROR(VLOOKUP(TRIM(CLEAN(G887)),Sheet14!$A$2:$B$19,2,FALSE),"Not Mapped")</f>
        <v>West</v>
      </c>
    </row>
    <row r="888" spans="1:18">
      <c r="A888" t="str">
        <f t="shared" si="74"/>
        <v>EOS0887</v>
      </c>
      <c r="B888" s="35">
        <v>45945</v>
      </c>
      <c r="C888" s="1" t="s">
        <v>1314</v>
      </c>
      <c r="D888" s="1" t="str">
        <f t="shared" si="73"/>
        <v>Fb</v>
      </c>
      <c r="E888" s="1" t="s">
        <v>1424</v>
      </c>
      <c r="F888" s="1" t="s">
        <v>275</v>
      </c>
      <c r="G888" s="1" t="s">
        <v>224</v>
      </c>
      <c r="H888" s="1" t="s">
        <v>149</v>
      </c>
      <c r="I888" s="1">
        <v>130000</v>
      </c>
      <c r="J888" s="45">
        <v>107886</v>
      </c>
      <c r="K888" s="1" t="str">
        <f>TRIM(Cleaned_CRM_Data!H888)</f>
        <v>Rejected</v>
      </c>
      <c r="L888" t="str">
        <f>IFERROR(VLOOKUP(K888, Status_Mapping!A:B, 2,), "Not Found")</f>
        <v>Rejected</v>
      </c>
      <c r="N888" s="29" t="str">
        <f>IF(M888="","",M888-B888)</f>
        <v/>
      </c>
      <c r="O888" s="1" t="str">
        <f t="shared" si="75"/>
        <v>Starter</v>
      </c>
      <c r="P888" t="str">
        <f>TEXT(B888, "mmmm")</f>
        <v>October</v>
      </c>
      <c r="Q888" t="str">
        <f t="shared" si="76"/>
        <v>Q4</v>
      </c>
      <c r="R888" t="str">
        <f>IFERROR(VLOOKUP(TRIM(CLEAN(G888)),Sheet14!$A$2:$B$19,2,FALSE),"Not Mapped")</f>
        <v>West</v>
      </c>
    </row>
    <row r="889" spans="1:18">
      <c r="A889" t="str">
        <f t="shared" si="74"/>
        <v>EOS0888</v>
      </c>
      <c r="B889" s="35">
        <v>45945</v>
      </c>
      <c r="C889" s="1" t="s">
        <v>911</v>
      </c>
      <c r="D889" s="1"/>
      <c r="E889" s="1" t="s">
        <v>1425</v>
      </c>
      <c r="F889" s="1"/>
      <c r="G889" s="1" t="s">
        <v>216</v>
      </c>
      <c r="H889" s="1" t="s">
        <v>149</v>
      </c>
      <c r="I889" s="1">
        <v>177000</v>
      </c>
      <c r="J889" s="45">
        <v>107887</v>
      </c>
      <c r="K889" s="1" t="str">
        <f>TRIM(Cleaned_CRM_Data!H889)</f>
        <v>Rejected</v>
      </c>
      <c r="L889" t="str">
        <f>IFERROR(VLOOKUP(K889, Status_Mapping!A:B, 2,), "Not Found")</f>
        <v>Rejected</v>
      </c>
      <c r="N889" s="29" t="str">
        <f>IF(M889="","",M889-B889)</f>
        <v/>
      </c>
      <c r="O889" s="1" t="str">
        <f t="shared" si="75"/>
        <v>Growth</v>
      </c>
      <c r="P889" t="str">
        <f>TEXT(B889, "mmmm")</f>
        <v>October</v>
      </c>
      <c r="Q889" t="str">
        <f t="shared" si="76"/>
        <v>Q4</v>
      </c>
      <c r="R889" t="str">
        <f>IFERROR(VLOOKUP(TRIM(CLEAN(G889)),Sheet14!$A$2:$B$19,2,FALSE),"Not Mapped")</f>
        <v>East</v>
      </c>
    </row>
    <row r="890" spans="1:18">
      <c r="A890" t="str">
        <f t="shared" si="74"/>
        <v>EOS0889</v>
      </c>
      <c r="B890" s="35">
        <v>45945</v>
      </c>
      <c r="C890" s="1" t="s">
        <v>1314</v>
      </c>
      <c r="D890" s="1" t="str">
        <f t="shared" ref="D890:D918" si="77">TRIM(CLEAN(SUBSTITUTE(C890,CHAR(160),"")))</f>
        <v>Fb</v>
      </c>
      <c r="E890" s="1" t="s">
        <v>1426</v>
      </c>
      <c r="F890" s="1" t="s">
        <v>412</v>
      </c>
      <c r="G890" s="1" t="s">
        <v>224</v>
      </c>
      <c r="H890" s="1" t="s">
        <v>149</v>
      </c>
      <c r="I890" s="1">
        <v>177000</v>
      </c>
      <c r="J890" s="45">
        <v>107888</v>
      </c>
      <c r="K890" s="1" t="str">
        <f>TRIM(Cleaned_CRM_Data!H890)</f>
        <v>Rejected</v>
      </c>
      <c r="L890" t="str">
        <f>IFERROR(VLOOKUP(K890, Status_Mapping!A:B, 2,), "Not Found")</f>
        <v>Rejected</v>
      </c>
      <c r="N890" s="29" t="str">
        <f>IF(M890="","",M890-B890)</f>
        <v/>
      </c>
      <c r="O890" s="1" t="str">
        <f t="shared" si="75"/>
        <v>Growth</v>
      </c>
      <c r="P890" t="str">
        <f>TEXT(B890, "mmmm")</f>
        <v>October</v>
      </c>
      <c r="Q890" t="str">
        <f t="shared" si="76"/>
        <v>Q4</v>
      </c>
      <c r="R890" t="str">
        <f>IFERROR(VLOOKUP(TRIM(CLEAN(G890)),Sheet14!$A$2:$B$19,2,FALSE),"Not Mapped")</f>
        <v>West</v>
      </c>
    </row>
    <row r="891" spans="1:18">
      <c r="A891" t="str">
        <f t="shared" si="74"/>
        <v>EOS0890</v>
      </c>
      <c r="B891" s="35">
        <v>45945</v>
      </c>
      <c r="C891" s="4" t="s">
        <v>267</v>
      </c>
      <c r="D891" s="1" t="str">
        <f t="shared" si="77"/>
        <v>FB</v>
      </c>
      <c r="E891" s="1" t="s">
        <v>1427</v>
      </c>
      <c r="F891" s="1"/>
      <c r="G891" s="1" t="s">
        <v>224</v>
      </c>
      <c r="H891" s="1" t="s">
        <v>69</v>
      </c>
      <c r="I891" s="1">
        <v>108000</v>
      </c>
      <c r="J891" s="45">
        <v>107889</v>
      </c>
      <c r="K891" s="1" t="str">
        <f>TRIM(Cleaned_CRM_Data!H891)</f>
        <v>Follow up</v>
      </c>
      <c r="L891" t="str">
        <f>IFERROR(VLOOKUP(K891, Status_Mapping!A:B, 2,), "Not Found")</f>
        <v>Follow Up</v>
      </c>
      <c r="N891" s="29" t="str">
        <f>IF(M891="","",M891-B891)</f>
        <v/>
      </c>
      <c r="O891" s="1" t="str">
        <f t="shared" si="75"/>
        <v>Starter</v>
      </c>
      <c r="P891" t="str">
        <f>TEXT(B891, "mmmm")</f>
        <v>October</v>
      </c>
      <c r="Q891" t="str">
        <f t="shared" si="76"/>
        <v>Q4</v>
      </c>
      <c r="R891" t="str">
        <f>IFERROR(VLOOKUP(TRIM(CLEAN(G891)),Sheet14!$A$2:$B$19,2,FALSE),"Not Mapped")</f>
        <v>West</v>
      </c>
    </row>
    <row r="892" spans="1:18">
      <c r="A892" t="str">
        <f t="shared" si="74"/>
        <v>EOS0891</v>
      </c>
      <c r="B892" s="35">
        <v>45945</v>
      </c>
      <c r="C892" s="4" t="s">
        <v>267</v>
      </c>
      <c r="D892" s="1" t="str">
        <f t="shared" si="77"/>
        <v>FB</v>
      </c>
      <c r="E892" s="1" t="s">
        <v>1428</v>
      </c>
      <c r="F892" s="1" t="s">
        <v>336</v>
      </c>
      <c r="G892" s="1" t="s">
        <v>224</v>
      </c>
      <c r="H892" s="1" t="s">
        <v>69</v>
      </c>
      <c r="I892" s="1">
        <v>130000</v>
      </c>
      <c r="J892" s="45">
        <v>107890</v>
      </c>
      <c r="K892" s="1" t="str">
        <f>TRIM(Cleaned_CRM_Data!H892)</f>
        <v>Follow up</v>
      </c>
      <c r="L892" t="str">
        <f>IFERROR(VLOOKUP(K892, Status_Mapping!A:B, 2,), "Not Found")</f>
        <v>Follow Up</v>
      </c>
      <c r="N892" s="29" t="str">
        <f>IF(M892="","",M892-B892)</f>
        <v/>
      </c>
      <c r="O892" s="1" t="str">
        <f t="shared" si="75"/>
        <v>Starter</v>
      </c>
      <c r="P892" t="str">
        <f>TEXT(B892, "mmmm")</f>
        <v>October</v>
      </c>
      <c r="Q892" t="str">
        <f t="shared" si="76"/>
        <v>Q4</v>
      </c>
      <c r="R892" t="str">
        <f>IFERROR(VLOOKUP(TRIM(CLEAN(G892)),Sheet14!$A$2:$B$19,2,FALSE),"Not Mapped")</f>
        <v>West</v>
      </c>
    </row>
    <row r="893" spans="1:18">
      <c r="A893" t="str">
        <f t="shared" si="74"/>
        <v>EOS0892</v>
      </c>
      <c r="B893" s="35">
        <v>45946</v>
      </c>
      <c r="C893" s="4" t="s">
        <v>267</v>
      </c>
      <c r="D893" s="1" t="str">
        <f t="shared" si="77"/>
        <v>FB</v>
      </c>
      <c r="E893" s="1" t="s">
        <v>1429</v>
      </c>
      <c r="F893" s="1" t="s">
        <v>333</v>
      </c>
      <c r="G893" s="1" t="s">
        <v>224</v>
      </c>
      <c r="H893" s="1" t="s">
        <v>69</v>
      </c>
      <c r="I893" s="1">
        <v>108000</v>
      </c>
      <c r="J893" s="45">
        <v>107891</v>
      </c>
      <c r="K893" s="1" t="str">
        <f>TRIM(Cleaned_CRM_Data!H893)</f>
        <v>Follow up</v>
      </c>
      <c r="L893" t="str">
        <f>IFERROR(VLOOKUP(K893, Status_Mapping!A:B, 2,), "Not Found")</f>
        <v>Follow Up</v>
      </c>
      <c r="N893" s="29" t="str">
        <f>IF(M893="","",M893-B893)</f>
        <v/>
      </c>
      <c r="O893" s="1" t="str">
        <f t="shared" si="75"/>
        <v>Starter</v>
      </c>
      <c r="P893" t="str">
        <f>TEXT(B893, "mmmm")</f>
        <v>October</v>
      </c>
      <c r="Q893" t="str">
        <f t="shared" si="76"/>
        <v>Q4</v>
      </c>
      <c r="R893" t="str">
        <f>IFERROR(VLOOKUP(TRIM(CLEAN(G893)),Sheet14!$A$2:$B$19,2,FALSE),"Not Mapped")</f>
        <v>West</v>
      </c>
    </row>
    <row r="894" spans="1:18">
      <c r="A894" t="str">
        <f t="shared" si="74"/>
        <v>EOS0893</v>
      </c>
      <c r="B894" s="35">
        <v>45946</v>
      </c>
      <c r="C894" s="4" t="s">
        <v>267</v>
      </c>
      <c r="D894" s="1" t="str">
        <f t="shared" si="77"/>
        <v>FB</v>
      </c>
      <c r="E894" s="1" t="s">
        <v>1430</v>
      </c>
      <c r="F894" s="1" t="s">
        <v>275</v>
      </c>
      <c r="G894" s="1" t="s">
        <v>224</v>
      </c>
      <c r="H894" s="1" t="s">
        <v>69</v>
      </c>
      <c r="I894" s="1">
        <v>177000</v>
      </c>
      <c r="J894" s="45">
        <v>107892</v>
      </c>
      <c r="K894" s="1" t="str">
        <f>TRIM(Cleaned_CRM_Data!H894)</f>
        <v>Follow up</v>
      </c>
      <c r="L894" t="str">
        <f>IFERROR(VLOOKUP(K894, Status_Mapping!A:B, 2,), "Not Found")</f>
        <v>Follow Up</v>
      </c>
      <c r="N894" s="29" t="str">
        <f>IF(M894="","",M894-B894)</f>
        <v/>
      </c>
      <c r="O894" s="1" t="str">
        <f t="shared" si="75"/>
        <v>Growth</v>
      </c>
      <c r="P894" t="str">
        <f>TEXT(B894, "mmmm")</f>
        <v>October</v>
      </c>
      <c r="Q894" t="str">
        <f t="shared" si="76"/>
        <v>Q4</v>
      </c>
      <c r="R894" t="str">
        <f>IFERROR(VLOOKUP(TRIM(CLEAN(G894)),Sheet14!$A$2:$B$19,2,FALSE),"Not Mapped")</f>
        <v>West</v>
      </c>
    </row>
    <row r="895" spans="1:18">
      <c r="A895" t="str">
        <f t="shared" si="74"/>
        <v>EOS0894</v>
      </c>
      <c r="B895" s="35">
        <v>45946</v>
      </c>
      <c r="C895" s="1" t="s">
        <v>1314</v>
      </c>
      <c r="D895" s="1" t="str">
        <f t="shared" si="77"/>
        <v>Fb</v>
      </c>
      <c r="E895" s="1" t="s">
        <v>1431</v>
      </c>
      <c r="F895" s="1"/>
      <c r="G895" s="1" t="s">
        <v>224</v>
      </c>
      <c r="H895" s="1" t="s">
        <v>149</v>
      </c>
      <c r="I895" s="1">
        <v>108000</v>
      </c>
      <c r="J895" s="45">
        <v>107893</v>
      </c>
      <c r="K895" s="1" t="str">
        <f>TRIM(Cleaned_CRM_Data!H895)</f>
        <v>Rejected</v>
      </c>
      <c r="L895" t="str">
        <f>IFERROR(VLOOKUP(K895, Status_Mapping!A:B, 2,), "Not Found")</f>
        <v>Rejected</v>
      </c>
      <c r="N895" s="29" t="str">
        <f>IF(M895="","",M895-B895)</f>
        <v/>
      </c>
      <c r="O895" s="1" t="str">
        <f t="shared" si="75"/>
        <v>Starter</v>
      </c>
      <c r="P895" t="str">
        <f>TEXT(B895, "mmmm")</f>
        <v>October</v>
      </c>
      <c r="Q895" t="str">
        <f t="shared" si="76"/>
        <v>Q4</v>
      </c>
      <c r="R895" t="str">
        <f>IFERROR(VLOOKUP(TRIM(CLEAN(G895)),Sheet14!$A$2:$B$19,2,FALSE),"Not Mapped")</f>
        <v>West</v>
      </c>
    </row>
    <row r="896" spans="1:18">
      <c r="A896" t="str">
        <f t="shared" si="74"/>
        <v>EOS0895</v>
      </c>
      <c r="B896" s="35">
        <v>45946</v>
      </c>
      <c r="C896" s="4" t="s">
        <v>267</v>
      </c>
      <c r="D896" s="1" t="str">
        <f t="shared" si="77"/>
        <v>FB</v>
      </c>
      <c r="E896" s="1" t="s">
        <v>1432</v>
      </c>
      <c r="F896" s="1" t="s">
        <v>412</v>
      </c>
      <c r="G896" s="1" t="s">
        <v>224</v>
      </c>
      <c r="H896" s="1" t="s">
        <v>69</v>
      </c>
      <c r="I896" s="1">
        <v>108000</v>
      </c>
      <c r="J896" s="45">
        <v>107894</v>
      </c>
      <c r="K896" s="1" t="str">
        <f>TRIM(Cleaned_CRM_Data!H896)</f>
        <v>Follow up</v>
      </c>
      <c r="L896" t="str">
        <f>IFERROR(VLOOKUP(K896, Status_Mapping!A:B, 2,), "Not Found")</f>
        <v>Follow Up</v>
      </c>
      <c r="N896" s="29" t="str">
        <f>IF(M896="","",M896-B896)</f>
        <v/>
      </c>
      <c r="O896" s="1" t="str">
        <f t="shared" si="75"/>
        <v>Starter</v>
      </c>
      <c r="P896" t="str">
        <f>TEXT(B896, "mmmm")</f>
        <v>October</v>
      </c>
      <c r="Q896" t="str">
        <f t="shared" si="76"/>
        <v>Q4</v>
      </c>
      <c r="R896" t="str">
        <f>IFERROR(VLOOKUP(TRIM(CLEAN(G896)),Sheet14!$A$2:$B$19,2,FALSE),"Not Mapped")</f>
        <v>West</v>
      </c>
    </row>
    <row r="897" spans="1:18">
      <c r="A897" t="str">
        <f t="shared" si="74"/>
        <v>EOS0896</v>
      </c>
      <c r="B897" s="35">
        <v>45946</v>
      </c>
      <c r="C897" s="4" t="s">
        <v>267</v>
      </c>
      <c r="D897" s="1" t="str">
        <f t="shared" si="77"/>
        <v>FB</v>
      </c>
      <c r="E897" s="1" t="s">
        <v>1433</v>
      </c>
      <c r="F897" s="1" t="s">
        <v>412</v>
      </c>
      <c r="G897" s="1" t="s">
        <v>224</v>
      </c>
      <c r="H897" s="1" t="s">
        <v>69</v>
      </c>
      <c r="I897" s="1">
        <v>130000</v>
      </c>
      <c r="J897" s="45">
        <v>107895</v>
      </c>
      <c r="K897" s="1" t="str">
        <f>TRIM(Cleaned_CRM_Data!H897)</f>
        <v>Follow up</v>
      </c>
      <c r="L897" t="str">
        <f>IFERROR(VLOOKUP(K897, Status_Mapping!A:B, 2,), "Not Found")</f>
        <v>Follow Up</v>
      </c>
      <c r="N897" s="29" t="str">
        <f>IF(M897="","",M897-B897)</f>
        <v/>
      </c>
      <c r="O897" s="1" t="str">
        <f t="shared" si="75"/>
        <v>Starter</v>
      </c>
      <c r="P897" t="str">
        <f>TEXT(B897, "mmmm")</f>
        <v>October</v>
      </c>
      <c r="Q897" t="str">
        <f t="shared" si="76"/>
        <v>Q4</v>
      </c>
      <c r="R897" t="str">
        <f>IFERROR(VLOOKUP(TRIM(CLEAN(G897)),Sheet14!$A$2:$B$19,2,FALSE),"Not Mapped")</f>
        <v>West</v>
      </c>
    </row>
    <row r="898" spans="1:18">
      <c r="A898" t="str">
        <f t="shared" si="74"/>
        <v>EOS0897</v>
      </c>
      <c r="B898" s="35">
        <v>45946</v>
      </c>
      <c r="C898" s="4" t="s">
        <v>267</v>
      </c>
      <c r="D898" s="1" t="str">
        <f t="shared" si="77"/>
        <v>FB</v>
      </c>
      <c r="E898" s="1" t="s">
        <v>1434</v>
      </c>
      <c r="F898" s="1" t="s">
        <v>412</v>
      </c>
      <c r="G898" s="1" t="s">
        <v>224</v>
      </c>
      <c r="H898" s="1" t="s">
        <v>69</v>
      </c>
      <c r="I898" s="1">
        <v>108000</v>
      </c>
      <c r="J898" s="45">
        <v>107896</v>
      </c>
      <c r="K898" s="1" t="str">
        <f>TRIM(Cleaned_CRM_Data!H898)</f>
        <v>Follow up</v>
      </c>
      <c r="L898" t="str">
        <f>IFERROR(VLOOKUP(K898, Status_Mapping!A:B, 2,), "Not Found")</f>
        <v>Follow Up</v>
      </c>
      <c r="N898" s="29" t="str">
        <f>IF(M898="","",M898-B898)</f>
        <v/>
      </c>
      <c r="O898" s="1" t="str">
        <f t="shared" si="75"/>
        <v>Starter</v>
      </c>
      <c r="P898" t="str">
        <f>TEXT(B898, "mmmm")</f>
        <v>October</v>
      </c>
      <c r="Q898" t="str">
        <f t="shared" si="76"/>
        <v>Q4</v>
      </c>
      <c r="R898" t="str">
        <f>IFERROR(VLOOKUP(TRIM(CLEAN(G898)),Sheet14!$A$2:$B$19,2,FALSE),"Not Mapped")</f>
        <v>West</v>
      </c>
    </row>
    <row r="899" spans="1:18">
      <c r="A899" t="str">
        <f t="shared" ref="A899:A962" si="78">"EOS"&amp;TEXT(ROW()-1,"0000")</f>
        <v>EOS0898</v>
      </c>
      <c r="B899" s="35">
        <v>45946</v>
      </c>
      <c r="C899" s="1" t="s">
        <v>1314</v>
      </c>
      <c r="D899" s="1" t="str">
        <f t="shared" si="77"/>
        <v>Fb</v>
      </c>
      <c r="E899" s="1" t="s">
        <v>1435</v>
      </c>
      <c r="F899" s="1" t="s">
        <v>275</v>
      </c>
      <c r="G899" s="1" t="s">
        <v>224</v>
      </c>
      <c r="H899" s="1" t="s">
        <v>149</v>
      </c>
      <c r="I899" s="1">
        <v>177000</v>
      </c>
      <c r="J899" s="45">
        <v>107897</v>
      </c>
      <c r="K899" s="1" t="str">
        <f>TRIM(Cleaned_CRM_Data!H899)</f>
        <v>Rejected</v>
      </c>
      <c r="L899" t="str">
        <f>IFERROR(VLOOKUP(K899, Status_Mapping!A:B, 2,), "Not Found")</f>
        <v>Rejected</v>
      </c>
      <c r="N899" s="29" t="str">
        <f>IF(M899="","",M899-B899)</f>
        <v/>
      </c>
      <c r="O899" s="1" t="str">
        <f t="shared" ref="O899:O962" si="79">IF(OR(I899=108000,I899=130000),"Starter",IF(I899=177000,"Growth","Premium"))</f>
        <v>Growth</v>
      </c>
      <c r="P899" t="str">
        <f>TEXT(B899, "mmmm")</f>
        <v>October</v>
      </c>
      <c r="Q899" t="str">
        <f t="shared" ref="Q899:Q962" si="80">"Q"&amp;ROUNDUP(MONTH(B899)/3,0)</f>
        <v>Q4</v>
      </c>
      <c r="R899" t="str">
        <f>IFERROR(VLOOKUP(TRIM(CLEAN(G899)),Sheet14!$A$2:$B$19,2,FALSE),"Not Mapped")</f>
        <v>West</v>
      </c>
    </row>
    <row r="900" spans="1:18">
      <c r="A900" t="str">
        <f t="shared" si="78"/>
        <v>EOS0899</v>
      </c>
      <c r="B900" s="35">
        <v>45946</v>
      </c>
      <c r="C900" s="1" t="s">
        <v>1314</v>
      </c>
      <c r="D900" s="1" t="str">
        <f t="shared" si="77"/>
        <v>Fb</v>
      </c>
      <c r="E900" s="1" t="s">
        <v>1436</v>
      </c>
      <c r="F900" s="1" t="s">
        <v>412</v>
      </c>
      <c r="G900" s="1" t="s">
        <v>224</v>
      </c>
      <c r="H900" s="1" t="s">
        <v>149</v>
      </c>
      <c r="I900" s="1">
        <v>108000</v>
      </c>
      <c r="J900" s="45">
        <v>107898</v>
      </c>
      <c r="K900" s="1" t="str">
        <f>TRIM(Cleaned_CRM_Data!H900)</f>
        <v>Rejected</v>
      </c>
      <c r="L900" t="str">
        <f>IFERROR(VLOOKUP(K900, Status_Mapping!A:B, 2,), "Not Found")</f>
        <v>Rejected</v>
      </c>
      <c r="N900" s="29" t="str">
        <f>IF(M900="","",M900-B900)</f>
        <v/>
      </c>
      <c r="O900" s="1" t="str">
        <f t="shared" si="79"/>
        <v>Starter</v>
      </c>
      <c r="P900" t="str">
        <f>TEXT(B900, "mmmm")</f>
        <v>October</v>
      </c>
      <c r="Q900" t="str">
        <f t="shared" si="80"/>
        <v>Q4</v>
      </c>
      <c r="R900" t="str">
        <f>IFERROR(VLOOKUP(TRIM(CLEAN(G900)),Sheet14!$A$2:$B$19,2,FALSE),"Not Mapped")</f>
        <v>West</v>
      </c>
    </row>
    <row r="901" spans="1:18">
      <c r="A901" t="str">
        <f t="shared" si="78"/>
        <v>EOS0900</v>
      </c>
      <c r="B901" s="35">
        <v>45946</v>
      </c>
      <c r="C901" s="4" t="s">
        <v>267</v>
      </c>
      <c r="D901" s="1" t="str">
        <f t="shared" si="77"/>
        <v>FB</v>
      </c>
      <c r="E901" s="1" t="s">
        <v>930</v>
      </c>
      <c r="F901" s="1" t="s">
        <v>304</v>
      </c>
      <c r="G901" s="1" t="s">
        <v>224</v>
      </c>
      <c r="H901" s="1" t="s">
        <v>69</v>
      </c>
      <c r="I901" s="1">
        <v>130000</v>
      </c>
      <c r="J901" s="45">
        <v>107899</v>
      </c>
      <c r="K901" s="1" t="str">
        <f>TRIM(Cleaned_CRM_Data!H901)</f>
        <v>Follow up</v>
      </c>
      <c r="L901" t="str">
        <f>IFERROR(VLOOKUP(K901, Status_Mapping!A:B, 2,), "Not Found")</f>
        <v>Follow Up</v>
      </c>
      <c r="N901" s="29" t="str">
        <f>IF(M901="","",M901-B901)</f>
        <v/>
      </c>
      <c r="O901" s="1" t="str">
        <f t="shared" si="79"/>
        <v>Starter</v>
      </c>
      <c r="P901" t="str">
        <f>TEXT(B901, "mmmm")</f>
        <v>October</v>
      </c>
      <c r="Q901" t="str">
        <f t="shared" si="80"/>
        <v>Q4</v>
      </c>
      <c r="R901" t="str">
        <f>IFERROR(VLOOKUP(TRIM(CLEAN(G901)),Sheet14!$A$2:$B$19,2,FALSE),"Not Mapped")</f>
        <v>West</v>
      </c>
    </row>
    <row r="902" spans="1:18">
      <c r="A902" t="str">
        <f t="shared" si="78"/>
        <v>EOS0901</v>
      </c>
      <c r="B902" s="35">
        <v>45946</v>
      </c>
      <c r="C902" s="4" t="s">
        <v>267</v>
      </c>
      <c r="D902" s="1" t="str">
        <f t="shared" si="77"/>
        <v>FB</v>
      </c>
      <c r="E902" s="1" t="s">
        <v>306</v>
      </c>
      <c r="F902" s="1"/>
      <c r="G902" s="1" t="s">
        <v>224</v>
      </c>
      <c r="H902" s="1" t="s">
        <v>69</v>
      </c>
      <c r="I902" s="1">
        <v>108000</v>
      </c>
      <c r="J902" s="45">
        <v>107900</v>
      </c>
      <c r="K902" s="1" t="str">
        <f>TRIM(Cleaned_CRM_Data!H902)</f>
        <v>Follow up</v>
      </c>
      <c r="L902" t="str">
        <f>IFERROR(VLOOKUP(K902, Status_Mapping!A:B, 2,), "Not Found")</f>
        <v>Follow Up</v>
      </c>
      <c r="N902" s="29" t="str">
        <f>IF(M902="","",M902-B902)</f>
        <v/>
      </c>
      <c r="O902" s="1" t="str">
        <f t="shared" si="79"/>
        <v>Starter</v>
      </c>
      <c r="P902" t="str">
        <f>TEXT(B902, "mmmm")</f>
        <v>October</v>
      </c>
      <c r="Q902" t="str">
        <f t="shared" si="80"/>
        <v>Q4</v>
      </c>
      <c r="R902" t="str">
        <f>IFERROR(VLOOKUP(TRIM(CLEAN(G902)),Sheet14!$A$2:$B$19,2,FALSE),"Not Mapped")</f>
        <v>West</v>
      </c>
    </row>
    <row r="903" spans="1:18">
      <c r="A903" t="str">
        <f t="shared" si="78"/>
        <v>EOS0902</v>
      </c>
      <c r="B903" s="35">
        <v>45946</v>
      </c>
      <c r="C903" s="4" t="s">
        <v>267</v>
      </c>
      <c r="D903" s="1" t="str">
        <f t="shared" si="77"/>
        <v>FB</v>
      </c>
      <c r="E903" s="1" t="s">
        <v>1437</v>
      </c>
      <c r="F903" s="1" t="s">
        <v>275</v>
      </c>
      <c r="G903" s="1" t="s">
        <v>224</v>
      </c>
      <c r="H903" s="1" t="s">
        <v>69</v>
      </c>
      <c r="I903" s="1">
        <v>108000</v>
      </c>
      <c r="J903" s="45">
        <v>107901</v>
      </c>
      <c r="K903" s="1" t="str">
        <f>TRIM(Cleaned_CRM_Data!H903)</f>
        <v>Follow up</v>
      </c>
      <c r="L903" t="str">
        <f>IFERROR(VLOOKUP(K903, Status_Mapping!A:B, 2,), "Not Found")</f>
        <v>Follow Up</v>
      </c>
      <c r="N903" s="29" t="str">
        <f>IF(M903="","",M903-B903)</f>
        <v/>
      </c>
      <c r="O903" s="1" t="str">
        <f t="shared" si="79"/>
        <v>Starter</v>
      </c>
      <c r="P903" t="str">
        <f>TEXT(B903, "mmmm")</f>
        <v>October</v>
      </c>
      <c r="Q903" t="str">
        <f t="shared" si="80"/>
        <v>Q4</v>
      </c>
      <c r="R903" t="str">
        <f>IFERROR(VLOOKUP(TRIM(CLEAN(G903)),Sheet14!$A$2:$B$19,2,FALSE),"Not Mapped")</f>
        <v>West</v>
      </c>
    </row>
    <row r="904" spans="1:18">
      <c r="A904" t="str">
        <f t="shared" si="78"/>
        <v>EOS0903</v>
      </c>
      <c r="B904" s="35">
        <v>45946</v>
      </c>
      <c r="C904" s="4" t="s">
        <v>267</v>
      </c>
      <c r="D904" s="1" t="str">
        <f t="shared" si="77"/>
        <v>FB</v>
      </c>
      <c r="E904" s="1" t="s">
        <v>1438</v>
      </c>
      <c r="F904" s="1"/>
      <c r="G904" s="1" t="s">
        <v>224</v>
      </c>
      <c r="H904" s="1" t="s">
        <v>69</v>
      </c>
      <c r="I904" s="1">
        <v>130000</v>
      </c>
      <c r="J904" s="45">
        <v>107902</v>
      </c>
      <c r="K904" s="1" t="str">
        <f>TRIM(Cleaned_CRM_Data!H904)</f>
        <v>Follow up</v>
      </c>
      <c r="L904" t="str">
        <f>IFERROR(VLOOKUP(K904, Status_Mapping!A:B, 2,), "Not Found")</f>
        <v>Follow Up</v>
      </c>
      <c r="N904" s="29" t="str">
        <f>IF(M904="","",M904-B904)</f>
        <v/>
      </c>
      <c r="O904" s="1" t="str">
        <f t="shared" si="79"/>
        <v>Starter</v>
      </c>
      <c r="P904" t="str">
        <f>TEXT(B904, "mmmm")</f>
        <v>October</v>
      </c>
      <c r="Q904" t="str">
        <f t="shared" si="80"/>
        <v>Q4</v>
      </c>
      <c r="R904" t="str">
        <f>IFERROR(VLOOKUP(TRIM(CLEAN(G904)),Sheet14!$A$2:$B$19,2,FALSE),"Not Mapped")</f>
        <v>West</v>
      </c>
    </row>
    <row r="905" spans="1:18">
      <c r="A905" t="str">
        <f t="shared" si="78"/>
        <v>EOS0904</v>
      </c>
      <c r="B905" s="35">
        <v>45946</v>
      </c>
      <c r="C905" s="1" t="s">
        <v>1314</v>
      </c>
      <c r="D905" s="1" t="str">
        <f t="shared" si="77"/>
        <v>Fb</v>
      </c>
      <c r="E905" s="1" t="s">
        <v>1439</v>
      </c>
      <c r="F905" s="1"/>
      <c r="G905" s="1" t="s">
        <v>224</v>
      </c>
      <c r="H905" s="1" t="s">
        <v>149</v>
      </c>
      <c r="I905" s="1">
        <v>108000</v>
      </c>
      <c r="J905" s="45">
        <v>107903</v>
      </c>
      <c r="K905" s="1" t="str">
        <f>TRIM(Cleaned_CRM_Data!H905)</f>
        <v>Rejected</v>
      </c>
      <c r="L905" t="str">
        <f>IFERROR(VLOOKUP(K905, Status_Mapping!A:B, 2,), "Not Found")</f>
        <v>Rejected</v>
      </c>
      <c r="N905" s="29" t="str">
        <f>IF(M905="","",M905-B905)</f>
        <v/>
      </c>
      <c r="O905" s="1" t="str">
        <f t="shared" si="79"/>
        <v>Starter</v>
      </c>
      <c r="P905" t="str">
        <f>TEXT(B905, "mmmm")</f>
        <v>October</v>
      </c>
      <c r="Q905" t="str">
        <f t="shared" si="80"/>
        <v>Q4</v>
      </c>
      <c r="R905" t="str">
        <f>IFERROR(VLOOKUP(TRIM(CLEAN(G905)),Sheet14!$A$2:$B$19,2,FALSE),"Not Mapped")</f>
        <v>West</v>
      </c>
    </row>
    <row r="906" spans="1:18">
      <c r="A906" t="str">
        <f t="shared" si="78"/>
        <v>EOS0905</v>
      </c>
      <c r="B906" s="35">
        <v>45946</v>
      </c>
      <c r="C906" s="4" t="s">
        <v>267</v>
      </c>
      <c r="D906" s="1" t="str">
        <f t="shared" si="77"/>
        <v>FB</v>
      </c>
      <c r="E906" s="1" t="s">
        <v>1440</v>
      </c>
      <c r="F906" s="1"/>
      <c r="G906" s="1" t="s">
        <v>224</v>
      </c>
      <c r="H906" s="1" t="s">
        <v>69</v>
      </c>
      <c r="I906" s="1">
        <v>177000</v>
      </c>
      <c r="J906" s="45">
        <v>107904</v>
      </c>
      <c r="K906" s="1" t="str">
        <f>TRIM(Cleaned_CRM_Data!H906)</f>
        <v>Follow up</v>
      </c>
      <c r="L906" t="str">
        <f>IFERROR(VLOOKUP(K906, Status_Mapping!A:B, 2,), "Not Found")</f>
        <v>Follow Up</v>
      </c>
      <c r="N906" s="29" t="str">
        <f>IF(M906="","",M906-B906)</f>
        <v/>
      </c>
      <c r="O906" s="1" t="str">
        <f t="shared" si="79"/>
        <v>Growth</v>
      </c>
      <c r="P906" t="str">
        <f>TEXT(B906, "mmmm")</f>
        <v>October</v>
      </c>
      <c r="Q906" t="str">
        <f t="shared" si="80"/>
        <v>Q4</v>
      </c>
      <c r="R906" t="str">
        <f>IFERROR(VLOOKUP(TRIM(CLEAN(G906)),Sheet14!$A$2:$B$19,2,FALSE),"Not Mapped")</f>
        <v>West</v>
      </c>
    </row>
    <row r="907" spans="1:18">
      <c r="A907" t="str">
        <f t="shared" si="78"/>
        <v>EOS0906</v>
      </c>
      <c r="B907" s="35">
        <v>45946</v>
      </c>
      <c r="C907" s="4" t="s">
        <v>267</v>
      </c>
      <c r="D907" s="1" t="str">
        <f t="shared" si="77"/>
        <v>FB</v>
      </c>
      <c r="E907" s="1" t="s">
        <v>1441</v>
      </c>
      <c r="F907" s="1"/>
      <c r="G907" s="1" t="s">
        <v>224</v>
      </c>
      <c r="H907" s="1" t="s">
        <v>69</v>
      </c>
      <c r="I907" s="1">
        <v>108000</v>
      </c>
      <c r="J907" s="45">
        <v>107905</v>
      </c>
      <c r="K907" s="1" t="str">
        <f>TRIM(Cleaned_CRM_Data!H907)</f>
        <v>Follow up</v>
      </c>
      <c r="L907" t="str">
        <f>IFERROR(VLOOKUP(K907, Status_Mapping!A:B, 2,), "Not Found")</f>
        <v>Follow Up</v>
      </c>
      <c r="N907" s="29" t="str">
        <f>IF(M907="","",M907-B907)</f>
        <v/>
      </c>
      <c r="O907" s="1" t="str">
        <f t="shared" si="79"/>
        <v>Starter</v>
      </c>
      <c r="P907" t="str">
        <f>TEXT(B907, "mmmm")</f>
        <v>October</v>
      </c>
      <c r="Q907" t="str">
        <f t="shared" si="80"/>
        <v>Q4</v>
      </c>
      <c r="R907" t="str">
        <f>IFERROR(VLOOKUP(TRIM(CLEAN(G907)),Sheet14!$A$2:$B$19,2,FALSE),"Not Mapped")</f>
        <v>West</v>
      </c>
    </row>
    <row r="908" spans="1:18">
      <c r="A908" t="str">
        <f t="shared" si="78"/>
        <v>EOS0907</v>
      </c>
      <c r="B908" s="35">
        <v>45946</v>
      </c>
      <c r="C908" s="4" t="s">
        <v>267</v>
      </c>
      <c r="D908" s="1" t="str">
        <f t="shared" si="77"/>
        <v>FB</v>
      </c>
      <c r="E908" s="1" t="s">
        <v>1442</v>
      </c>
      <c r="F908" s="1"/>
      <c r="G908" s="1" t="s">
        <v>224</v>
      </c>
      <c r="H908" s="1" t="s">
        <v>69</v>
      </c>
      <c r="I908" s="1">
        <v>108000</v>
      </c>
      <c r="J908" s="45">
        <v>107906</v>
      </c>
      <c r="K908" s="1" t="str">
        <f>TRIM(Cleaned_CRM_Data!H908)</f>
        <v>Follow up</v>
      </c>
      <c r="L908" t="str">
        <f>IFERROR(VLOOKUP(K908, Status_Mapping!A:B, 2,), "Not Found")</f>
        <v>Follow Up</v>
      </c>
      <c r="N908" s="29" t="str">
        <f>IF(M908="","",M908-B908)</f>
        <v/>
      </c>
      <c r="O908" s="1" t="str">
        <f t="shared" si="79"/>
        <v>Starter</v>
      </c>
      <c r="P908" t="str">
        <f>TEXT(B908, "mmmm")</f>
        <v>October</v>
      </c>
      <c r="Q908" t="str">
        <f t="shared" si="80"/>
        <v>Q4</v>
      </c>
      <c r="R908" t="str">
        <f>IFERROR(VLOOKUP(TRIM(CLEAN(G908)),Sheet14!$A$2:$B$19,2,FALSE),"Not Mapped")</f>
        <v>West</v>
      </c>
    </row>
    <row r="909" spans="1:18">
      <c r="A909" t="str">
        <f t="shared" si="78"/>
        <v>EOS0908</v>
      </c>
      <c r="B909" s="35">
        <v>45947</v>
      </c>
      <c r="C909" s="4" t="s">
        <v>267</v>
      </c>
      <c r="D909" s="1" t="str">
        <f t="shared" si="77"/>
        <v>FB</v>
      </c>
      <c r="E909" s="1" t="s">
        <v>1443</v>
      </c>
      <c r="F909" s="1"/>
      <c r="G909" s="1" t="s">
        <v>224</v>
      </c>
      <c r="H909" s="1" t="s">
        <v>69</v>
      </c>
      <c r="I909" s="1">
        <v>108000</v>
      </c>
      <c r="J909" s="45">
        <v>107907</v>
      </c>
      <c r="K909" s="1" t="str">
        <f>TRIM(Cleaned_CRM_Data!H909)</f>
        <v>Follow up</v>
      </c>
      <c r="L909" t="str">
        <f>IFERROR(VLOOKUP(K909, Status_Mapping!A:B, 2,), "Not Found")</f>
        <v>Follow Up</v>
      </c>
      <c r="N909" s="29" t="str">
        <f>IF(M909="","",M909-B909)</f>
        <v/>
      </c>
      <c r="O909" s="1" t="str">
        <f t="shared" si="79"/>
        <v>Starter</v>
      </c>
      <c r="P909" t="str">
        <f>TEXT(B909, "mmmm")</f>
        <v>October</v>
      </c>
      <c r="Q909" t="str">
        <f t="shared" si="80"/>
        <v>Q4</v>
      </c>
      <c r="R909" t="str">
        <f>IFERROR(VLOOKUP(TRIM(CLEAN(G909)),Sheet14!$A$2:$B$19,2,FALSE),"Not Mapped")</f>
        <v>West</v>
      </c>
    </row>
    <row r="910" spans="1:18">
      <c r="A910" t="str">
        <f t="shared" si="78"/>
        <v>EOS0909</v>
      </c>
      <c r="B910" s="35">
        <v>45947</v>
      </c>
      <c r="C910" s="4" t="s">
        <v>267</v>
      </c>
      <c r="D910" s="1" t="str">
        <f t="shared" si="77"/>
        <v>FB</v>
      </c>
      <c r="E910" s="1" t="s">
        <v>1444</v>
      </c>
      <c r="F910" s="1"/>
      <c r="G910" s="1" t="s">
        <v>224</v>
      </c>
      <c r="H910" s="1" t="s">
        <v>69</v>
      </c>
      <c r="I910" s="1">
        <v>130000</v>
      </c>
      <c r="J910" s="45">
        <v>107908</v>
      </c>
      <c r="K910" s="1" t="str">
        <f>TRIM(Cleaned_CRM_Data!H910)</f>
        <v>Follow up</v>
      </c>
      <c r="L910" t="str">
        <f>IFERROR(VLOOKUP(K910, Status_Mapping!A:B, 2,), "Not Found")</f>
        <v>Follow Up</v>
      </c>
      <c r="N910" s="29" t="str">
        <f>IF(M910="","",M910-B910)</f>
        <v/>
      </c>
      <c r="O910" s="1" t="str">
        <f t="shared" si="79"/>
        <v>Starter</v>
      </c>
      <c r="P910" t="str">
        <f>TEXT(B910, "mmmm")</f>
        <v>October</v>
      </c>
      <c r="Q910" t="str">
        <f t="shared" si="80"/>
        <v>Q4</v>
      </c>
      <c r="R910" t="str">
        <f>IFERROR(VLOOKUP(TRIM(CLEAN(G910)),Sheet14!$A$2:$B$19,2,FALSE),"Not Mapped")</f>
        <v>West</v>
      </c>
    </row>
    <row r="911" spans="1:18">
      <c r="A911" t="str">
        <f t="shared" si="78"/>
        <v>EOS0910</v>
      </c>
      <c r="B911" s="35">
        <v>45947</v>
      </c>
      <c r="C911" s="1" t="s">
        <v>1314</v>
      </c>
      <c r="D911" s="1" t="str">
        <f t="shared" si="77"/>
        <v>Fb</v>
      </c>
      <c r="E911" s="1" t="s">
        <v>1445</v>
      </c>
      <c r="F911" s="1" t="s">
        <v>300</v>
      </c>
      <c r="G911" s="1" t="s">
        <v>224</v>
      </c>
      <c r="H911" s="1" t="s">
        <v>149</v>
      </c>
      <c r="I911" s="1">
        <v>130000</v>
      </c>
      <c r="J911" s="45">
        <v>107909</v>
      </c>
      <c r="K911" s="1" t="str">
        <f>TRIM(Cleaned_CRM_Data!H911)</f>
        <v>Rejected</v>
      </c>
      <c r="L911" t="str">
        <f>IFERROR(VLOOKUP(K911, Status_Mapping!A:B, 2,), "Not Found")</f>
        <v>Rejected</v>
      </c>
      <c r="N911" s="29" t="str">
        <f>IF(M911="","",M911-B911)</f>
        <v/>
      </c>
      <c r="O911" s="1" t="str">
        <f t="shared" si="79"/>
        <v>Starter</v>
      </c>
      <c r="P911" t="str">
        <f>TEXT(B911, "mmmm")</f>
        <v>October</v>
      </c>
      <c r="Q911" t="str">
        <f t="shared" si="80"/>
        <v>Q4</v>
      </c>
      <c r="R911" t="str">
        <f>IFERROR(VLOOKUP(TRIM(CLEAN(G911)),Sheet14!$A$2:$B$19,2,FALSE),"Not Mapped")</f>
        <v>West</v>
      </c>
    </row>
    <row r="912" spans="1:18">
      <c r="A912" t="str">
        <f t="shared" si="78"/>
        <v>EOS0911</v>
      </c>
      <c r="B912" s="35">
        <v>45950</v>
      </c>
      <c r="C912" s="4" t="s">
        <v>267</v>
      </c>
      <c r="D912" s="1" t="str">
        <f t="shared" si="77"/>
        <v>FB</v>
      </c>
      <c r="E912" s="1" t="s">
        <v>525</v>
      </c>
      <c r="F912" s="1" t="s">
        <v>412</v>
      </c>
      <c r="G912" s="1" t="s">
        <v>224</v>
      </c>
      <c r="H912" s="1" t="s">
        <v>69</v>
      </c>
      <c r="I912" s="1">
        <v>130000</v>
      </c>
      <c r="J912" s="45">
        <v>107910</v>
      </c>
      <c r="K912" s="1" t="str">
        <f>TRIM(Cleaned_CRM_Data!H912)</f>
        <v>Follow up</v>
      </c>
      <c r="L912" t="str">
        <f>IFERROR(VLOOKUP(K912, Status_Mapping!A:B, 2,), "Not Found")</f>
        <v>Follow Up</v>
      </c>
      <c r="N912" s="29" t="str">
        <f>IF(M912="","",M912-B912)</f>
        <v/>
      </c>
      <c r="O912" s="1" t="str">
        <f t="shared" si="79"/>
        <v>Starter</v>
      </c>
      <c r="P912" t="str">
        <f>TEXT(B912, "mmmm")</f>
        <v>October</v>
      </c>
      <c r="Q912" t="str">
        <f t="shared" si="80"/>
        <v>Q4</v>
      </c>
      <c r="R912" t="str">
        <f>IFERROR(VLOOKUP(TRIM(CLEAN(G912)),Sheet14!$A$2:$B$19,2,FALSE),"Not Mapped")</f>
        <v>West</v>
      </c>
    </row>
    <row r="913" spans="1:18">
      <c r="A913" t="str">
        <f t="shared" si="78"/>
        <v>EOS0912</v>
      </c>
      <c r="B913" s="35">
        <v>45950</v>
      </c>
      <c r="C913" s="1" t="s">
        <v>1314</v>
      </c>
      <c r="D913" s="1" t="str">
        <f t="shared" si="77"/>
        <v>Fb</v>
      </c>
      <c r="E913" s="1" t="s">
        <v>1446</v>
      </c>
      <c r="F913" s="1" t="s">
        <v>300</v>
      </c>
      <c r="G913" s="1" t="s">
        <v>224</v>
      </c>
      <c r="H913" s="1" t="s">
        <v>149</v>
      </c>
      <c r="I913" s="1">
        <v>130000</v>
      </c>
      <c r="J913" s="45">
        <v>107911</v>
      </c>
      <c r="K913" s="1" t="str">
        <f>TRIM(Cleaned_CRM_Data!H913)</f>
        <v>Rejected</v>
      </c>
      <c r="L913" t="str">
        <f>IFERROR(VLOOKUP(K913, Status_Mapping!A:B, 2,), "Not Found")</f>
        <v>Rejected</v>
      </c>
      <c r="N913" s="29" t="str">
        <f>IF(M913="","",M913-B913)</f>
        <v/>
      </c>
      <c r="O913" s="1" t="str">
        <f t="shared" si="79"/>
        <v>Starter</v>
      </c>
      <c r="P913" t="str">
        <f>TEXT(B913, "mmmm")</f>
        <v>October</v>
      </c>
      <c r="Q913" t="str">
        <f t="shared" si="80"/>
        <v>Q4</v>
      </c>
      <c r="R913" t="str">
        <f>IFERROR(VLOOKUP(TRIM(CLEAN(G913)),Sheet14!$A$2:$B$19,2,FALSE),"Not Mapped")</f>
        <v>West</v>
      </c>
    </row>
    <row r="914" spans="1:18">
      <c r="A914" t="str">
        <f t="shared" si="78"/>
        <v>EOS0913</v>
      </c>
      <c r="B914" s="35">
        <v>45950</v>
      </c>
      <c r="C914" s="4" t="s">
        <v>267</v>
      </c>
      <c r="D914" s="1" t="str">
        <f t="shared" si="77"/>
        <v>FB</v>
      </c>
      <c r="E914" s="1" t="s">
        <v>1447</v>
      </c>
      <c r="F914" s="1"/>
      <c r="G914" s="1" t="s">
        <v>224</v>
      </c>
      <c r="H914" s="1" t="s">
        <v>69</v>
      </c>
      <c r="I914" s="1">
        <v>130000</v>
      </c>
      <c r="J914" s="45">
        <v>107912</v>
      </c>
      <c r="K914" s="1" t="str">
        <f>TRIM(Cleaned_CRM_Data!H914)</f>
        <v>Follow up</v>
      </c>
      <c r="L914" t="str">
        <f>IFERROR(VLOOKUP(K914, Status_Mapping!A:B, 2,), "Not Found")</f>
        <v>Follow Up</v>
      </c>
      <c r="N914" s="29" t="str">
        <f>IF(M914="","",M914-B914)</f>
        <v/>
      </c>
      <c r="O914" s="1" t="str">
        <f t="shared" si="79"/>
        <v>Starter</v>
      </c>
      <c r="P914" t="str">
        <f>TEXT(B914, "mmmm")</f>
        <v>October</v>
      </c>
      <c r="Q914" t="str">
        <f t="shared" si="80"/>
        <v>Q4</v>
      </c>
      <c r="R914" t="str">
        <f>IFERROR(VLOOKUP(TRIM(CLEAN(G914)),Sheet14!$A$2:$B$19,2,FALSE),"Not Mapped")</f>
        <v>West</v>
      </c>
    </row>
    <row r="915" spans="1:18">
      <c r="A915" t="str">
        <f t="shared" si="78"/>
        <v>EOS0914</v>
      </c>
      <c r="B915" s="35">
        <v>45950</v>
      </c>
      <c r="C915" s="4" t="s">
        <v>267</v>
      </c>
      <c r="D915" s="1" t="str">
        <f t="shared" si="77"/>
        <v>FB</v>
      </c>
      <c r="E915" s="1" t="s">
        <v>1448</v>
      </c>
      <c r="F915" s="1"/>
      <c r="G915" s="1" t="s">
        <v>224</v>
      </c>
      <c r="H915" s="1" t="s">
        <v>69</v>
      </c>
      <c r="I915" s="1">
        <v>108000</v>
      </c>
      <c r="J915" s="45">
        <v>107913</v>
      </c>
      <c r="K915" s="1" t="str">
        <f>TRIM(Cleaned_CRM_Data!H915)</f>
        <v>Follow up</v>
      </c>
      <c r="L915" t="str">
        <f>IFERROR(VLOOKUP(K915, Status_Mapping!A:B, 2,), "Not Found")</f>
        <v>Follow Up</v>
      </c>
      <c r="N915" s="29" t="str">
        <f>IF(M915="","",M915-B915)</f>
        <v/>
      </c>
      <c r="O915" s="1" t="str">
        <f t="shared" si="79"/>
        <v>Starter</v>
      </c>
      <c r="P915" t="str">
        <f>TEXT(B915, "mmmm")</f>
        <v>October</v>
      </c>
      <c r="Q915" t="str">
        <f t="shared" si="80"/>
        <v>Q4</v>
      </c>
      <c r="R915" t="str">
        <f>IFERROR(VLOOKUP(TRIM(CLEAN(G915)),Sheet14!$A$2:$B$19,2,FALSE),"Not Mapped")</f>
        <v>West</v>
      </c>
    </row>
    <row r="916" spans="1:18">
      <c r="A916" t="str">
        <f t="shared" si="78"/>
        <v>EOS0915</v>
      </c>
      <c r="B916" s="35">
        <v>45950</v>
      </c>
      <c r="C916" s="4" t="s">
        <v>267</v>
      </c>
      <c r="D916" s="1" t="str">
        <f t="shared" si="77"/>
        <v>FB</v>
      </c>
      <c r="E916" s="1" t="s">
        <v>1449</v>
      </c>
      <c r="F916" s="1"/>
      <c r="G916" s="1" t="s">
        <v>224</v>
      </c>
      <c r="H916" s="1" t="s">
        <v>69</v>
      </c>
      <c r="I916" s="1">
        <v>177000</v>
      </c>
      <c r="J916" s="45">
        <v>107914</v>
      </c>
      <c r="K916" s="1" t="str">
        <f>TRIM(Cleaned_CRM_Data!H916)</f>
        <v>Follow up</v>
      </c>
      <c r="L916" t="str">
        <f>IFERROR(VLOOKUP(K916, Status_Mapping!A:B, 2,), "Not Found")</f>
        <v>Follow Up</v>
      </c>
      <c r="N916" s="29" t="str">
        <f>IF(M916="","",M916-B916)</f>
        <v/>
      </c>
      <c r="O916" s="1" t="str">
        <f t="shared" si="79"/>
        <v>Growth</v>
      </c>
      <c r="P916" t="str">
        <f>TEXT(B916, "mmmm")</f>
        <v>October</v>
      </c>
      <c r="Q916" t="str">
        <f t="shared" si="80"/>
        <v>Q4</v>
      </c>
      <c r="R916" t="str">
        <f>IFERROR(VLOOKUP(TRIM(CLEAN(G916)),Sheet14!$A$2:$B$19,2,FALSE),"Not Mapped")</f>
        <v>West</v>
      </c>
    </row>
    <row r="917" spans="1:18">
      <c r="A917" t="str">
        <f t="shared" si="78"/>
        <v>EOS0916</v>
      </c>
      <c r="B917" s="35">
        <v>45950</v>
      </c>
      <c r="C917" s="4" t="s">
        <v>267</v>
      </c>
      <c r="D917" s="1" t="str">
        <f t="shared" si="77"/>
        <v>FB</v>
      </c>
      <c r="E917" s="1" t="s">
        <v>1450</v>
      </c>
      <c r="F917" s="1"/>
      <c r="G917" s="1" t="s">
        <v>224</v>
      </c>
      <c r="H917" s="1" t="s">
        <v>69</v>
      </c>
      <c r="I917" s="1">
        <v>130000</v>
      </c>
      <c r="J917" s="45">
        <v>107915</v>
      </c>
      <c r="K917" s="1" t="str">
        <f>TRIM(Cleaned_CRM_Data!H917)</f>
        <v>Follow up</v>
      </c>
      <c r="L917" t="str">
        <f>IFERROR(VLOOKUP(K917, Status_Mapping!A:B, 2,), "Not Found")</f>
        <v>Follow Up</v>
      </c>
      <c r="N917" s="29" t="str">
        <f>IF(M917="","",M917-B917)</f>
        <v/>
      </c>
      <c r="O917" s="1" t="str">
        <f t="shared" si="79"/>
        <v>Starter</v>
      </c>
      <c r="P917" t="str">
        <f>TEXT(B917, "mmmm")</f>
        <v>October</v>
      </c>
      <c r="Q917" t="str">
        <f t="shared" si="80"/>
        <v>Q4</v>
      </c>
      <c r="R917" t="str">
        <f>IFERROR(VLOOKUP(TRIM(CLEAN(G917)),Sheet14!$A$2:$B$19,2,FALSE),"Not Mapped")</f>
        <v>West</v>
      </c>
    </row>
    <row r="918" spans="1:18">
      <c r="A918" t="str">
        <f t="shared" si="78"/>
        <v>EOS0917</v>
      </c>
      <c r="B918" s="35">
        <v>45950</v>
      </c>
      <c r="C918" s="4" t="s">
        <v>267</v>
      </c>
      <c r="D918" s="1" t="str">
        <f t="shared" si="77"/>
        <v>FB</v>
      </c>
      <c r="E918" s="1" t="s">
        <v>1451</v>
      </c>
      <c r="F918" s="1"/>
      <c r="G918" s="1" t="s">
        <v>224</v>
      </c>
      <c r="H918" s="1" t="s">
        <v>69</v>
      </c>
      <c r="I918" s="1">
        <v>108000</v>
      </c>
      <c r="J918" s="45">
        <v>107916</v>
      </c>
      <c r="K918" s="1" t="str">
        <f>TRIM(Cleaned_CRM_Data!H918)</f>
        <v>Follow up</v>
      </c>
      <c r="L918" t="str">
        <f>IFERROR(VLOOKUP(K918, Status_Mapping!A:B, 2,), "Not Found")</f>
        <v>Follow Up</v>
      </c>
      <c r="N918" s="29" t="str">
        <f>IF(M918="","",M918-B918)</f>
        <v/>
      </c>
      <c r="O918" s="1" t="str">
        <f t="shared" si="79"/>
        <v>Starter</v>
      </c>
      <c r="P918" t="str">
        <f>TEXT(B918, "mmmm")</f>
        <v>October</v>
      </c>
      <c r="Q918" t="str">
        <f t="shared" si="80"/>
        <v>Q4</v>
      </c>
      <c r="R918" t="str">
        <f>IFERROR(VLOOKUP(TRIM(CLEAN(G918)),Sheet14!$A$2:$B$19,2,FALSE),"Not Mapped")</f>
        <v>West</v>
      </c>
    </row>
    <row r="919" spans="1:18">
      <c r="A919" t="str">
        <f t="shared" si="78"/>
        <v>EOS0918</v>
      </c>
      <c r="B919" s="35">
        <v>45950</v>
      </c>
      <c r="C919" s="1" t="s">
        <v>911</v>
      </c>
      <c r="D919" s="1"/>
      <c r="E919" s="1" t="s">
        <v>1452</v>
      </c>
      <c r="F919" s="1"/>
      <c r="G919" s="1" t="s">
        <v>1210</v>
      </c>
      <c r="H919" s="1" t="s">
        <v>149</v>
      </c>
      <c r="I919" s="1">
        <v>108000</v>
      </c>
      <c r="J919" s="45">
        <v>107917</v>
      </c>
      <c r="K919" s="1" t="str">
        <f>TRIM(Cleaned_CRM_Data!H919)</f>
        <v>Rejected</v>
      </c>
      <c r="L919" t="str">
        <f>IFERROR(VLOOKUP(K919, Status_Mapping!A:B, 2,), "Not Found")</f>
        <v>Rejected</v>
      </c>
      <c r="N919" s="29" t="str">
        <f>IF(M919="","",M919-B919)</f>
        <v/>
      </c>
      <c r="O919" s="1" t="str">
        <f t="shared" si="79"/>
        <v>Starter</v>
      </c>
      <c r="P919" t="str">
        <f>TEXT(B919, "mmmm")</f>
        <v>October</v>
      </c>
      <c r="Q919" t="str">
        <f t="shared" si="80"/>
        <v>Q4</v>
      </c>
      <c r="R919" t="str">
        <f>IFERROR(VLOOKUP(TRIM(CLEAN(G919)),Sheet14!$A$2:$B$19,2,FALSE),"Not Mapped")</f>
        <v>North</v>
      </c>
    </row>
    <row r="920" spans="1:18">
      <c r="A920" t="str">
        <f t="shared" si="78"/>
        <v>EOS0919</v>
      </c>
      <c r="B920" s="35">
        <v>45950</v>
      </c>
      <c r="C920" s="4" t="s">
        <v>267</v>
      </c>
      <c r="D920" s="1" t="str">
        <f t="shared" ref="D920:D955" si="81">TRIM(CLEAN(SUBSTITUTE(C920,CHAR(160),"")))</f>
        <v>FB</v>
      </c>
      <c r="E920" s="1" t="s">
        <v>1453</v>
      </c>
      <c r="F920" s="1"/>
      <c r="G920" s="1" t="s">
        <v>224</v>
      </c>
      <c r="H920" s="1" t="s">
        <v>69</v>
      </c>
      <c r="I920" s="1">
        <v>108000</v>
      </c>
      <c r="J920" s="45">
        <v>107918</v>
      </c>
      <c r="K920" s="1" t="str">
        <f>TRIM(Cleaned_CRM_Data!H920)</f>
        <v>Follow up</v>
      </c>
      <c r="L920" t="str">
        <f>IFERROR(VLOOKUP(K920, Status_Mapping!A:B, 2,), "Not Found")</f>
        <v>Follow Up</v>
      </c>
      <c r="N920" s="29" t="str">
        <f>IF(M920="","",M920-B920)</f>
        <v/>
      </c>
      <c r="O920" s="1" t="str">
        <f t="shared" si="79"/>
        <v>Starter</v>
      </c>
      <c r="P920" t="str">
        <f>TEXT(B920, "mmmm")</f>
        <v>October</v>
      </c>
      <c r="Q920" t="str">
        <f t="shared" si="80"/>
        <v>Q4</v>
      </c>
      <c r="R920" t="str">
        <f>IFERROR(VLOOKUP(TRIM(CLEAN(G920)),Sheet14!$A$2:$B$19,2,FALSE),"Not Mapped")</f>
        <v>West</v>
      </c>
    </row>
    <row r="921" spans="1:18">
      <c r="A921" t="str">
        <f t="shared" si="78"/>
        <v>EOS0920</v>
      </c>
      <c r="B921" s="35">
        <v>45950</v>
      </c>
      <c r="C921" s="4" t="s">
        <v>267</v>
      </c>
      <c r="D921" s="1" t="str">
        <f t="shared" si="81"/>
        <v>FB</v>
      </c>
      <c r="E921" s="1" t="s">
        <v>1454</v>
      </c>
      <c r="F921" s="1"/>
      <c r="G921" s="1" t="s">
        <v>224</v>
      </c>
      <c r="H921" s="1" t="s">
        <v>69</v>
      </c>
      <c r="I921" s="1">
        <v>130000</v>
      </c>
      <c r="J921" s="45">
        <v>107919</v>
      </c>
      <c r="K921" s="1" t="str">
        <f>TRIM(Cleaned_CRM_Data!H921)</f>
        <v>Follow up</v>
      </c>
      <c r="L921" t="str">
        <f>IFERROR(VLOOKUP(K921, Status_Mapping!A:B, 2,), "Not Found")</f>
        <v>Follow Up</v>
      </c>
      <c r="N921" s="29" t="str">
        <f>IF(M921="","",M921-B921)</f>
        <v/>
      </c>
      <c r="O921" s="1" t="str">
        <f t="shared" si="79"/>
        <v>Starter</v>
      </c>
      <c r="P921" t="str">
        <f>TEXT(B921, "mmmm")</f>
        <v>October</v>
      </c>
      <c r="Q921" t="str">
        <f t="shared" si="80"/>
        <v>Q4</v>
      </c>
      <c r="R921" t="str">
        <f>IFERROR(VLOOKUP(TRIM(CLEAN(G921)),Sheet14!$A$2:$B$19,2,FALSE),"Not Mapped")</f>
        <v>West</v>
      </c>
    </row>
    <row r="922" spans="1:18">
      <c r="A922" t="str">
        <f t="shared" si="78"/>
        <v>EOS0921</v>
      </c>
      <c r="B922" s="35">
        <v>45952</v>
      </c>
      <c r="C922" s="4" t="s">
        <v>267</v>
      </c>
      <c r="D922" s="1" t="str">
        <f t="shared" si="81"/>
        <v>FB</v>
      </c>
      <c r="E922" s="1" t="s">
        <v>1455</v>
      </c>
      <c r="F922" s="1" t="s">
        <v>1456</v>
      </c>
      <c r="G922" s="1" t="s">
        <v>1457</v>
      </c>
      <c r="H922" s="1" t="s">
        <v>69</v>
      </c>
      <c r="I922" s="1">
        <v>108000</v>
      </c>
      <c r="J922" s="45">
        <v>107920</v>
      </c>
      <c r="K922" s="1" t="str">
        <f>TRIM(Cleaned_CRM_Data!H922)</f>
        <v>Follow up</v>
      </c>
      <c r="L922" t="str">
        <f>IFERROR(VLOOKUP(K922, Status_Mapping!A:B, 2,), "Not Found")</f>
        <v>Follow Up</v>
      </c>
      <c r="N922" s="29" t="str">
        <f>IF(M922="","",M922-B922)</f>
        <v/>
      </c>
      <c r="O922" s="1" t="str">
        <f t="shared" si="79"/>
        <v>Starter</v>
      </c>
      <c r="P922" t="str">
        <f>TEXT(B922, "mmmm")</f>
        <v>October</v>
      </c>
      <c r="Q922" t="str">
        <f t="shared" si="80"/>
        <v>Q4</v>
      </c>
      <c r="R922" t="str">
        <f>IFERROR(VLOOKUP(TRIM(CLEAN(G922)),Sheet14!$A$2:$B$19,2,FALSE),"Not Mapped")</f>
        <v>East</v>
      </c>
    </row>
    <row r="923" spans="1:18">
      <c r="A923" t="str">
        <f t="shared" si="78"/>
        <v>EOS0922</v>
      </c>
      <c r="B923" s="35">
        <v>45952</v>
      </c>
      <c r="C923" s="4" t="s">
        <v>267</v>
      </c>
      <c r="D923" s="1" t="str">
        <f t="shared" si="81"/>
        <v>FB</v>
      </c>
      <c r="E923" s="1" t="s">
        <v>1458</v>
      </c>
      <c r="F923" s="1" t="s">
        <v>271</v>
      </c>
      <c r="G923" s="1" t="s">
        <v>224</v>
      </c>
      <c r="H923" s="1" t="s">
        <v>69</v>
      </c>
      <c r="I923" s="1">
        <v>108000</v>
      </c>
      <c r="J923" s="45">
        <v>107921</v>
      </c>
      <c r="K923" s="1" t="str">
        <f>TRIM(Cleaned_CRM_Data!H923)</f>
        <v>Follow up</v>
      </c>
      <c r="L923" t="str">
        <f>IFERROR(VLOOKUP(K923, Status_Mapping!A:B, 2,), "Not Found")</f>
        <v>Follow Up</v>
      </c>
      <c r="N923" s="29" t="str">
        <f>IF(M923="","",M923-B923)</f>
        <v/>
      </c>
      <c r="O923" s="1" t="str">
        <f t="shared" si="79"/>
        <v>Starter</v>
      </c>
      <c r="P923" t="str">
        <f>TEXT(B923, "mmmm")</f>
        <v>October</v>
      </c>
      <c r="Q923" t="str">
        <f t="shared" si="80"/>
        <v>Q4</v>
      </c>
      <c r="R923" t="str">
        <f>IFERROR(VLOOKUP(TRIM(CLEAN(G923)),Sheet14!$A$2:$B$19,2,FALSE),"Not Mapped")</f>
        <v>West</v>
      </c>
    </row>
    <row r="924" spans="1:18">
      <c r="A924" t="str">
        <f t="shared" si="78"/>
        <v>EOS0923</v>
      </c>
      <c r="B924" s="35">
        <v>45952</v>
      </c>
      <c r="C924" s="4" t="s">
        <v>267</v>
      </c>
      <c r="D924" s="1" t="str">
        <f t="shared" si="81"/>
        <v>FB</v>
      </c>
      <c r="E924" s="1" t="s">
        <v>1459</v>
      </c>
      <c r="F924" s="1" t="s">
        <v>350</v>
      </c>
      <c r="G924" s="1" t="s">
        <v>224</v>
      </c>
      <c r="H924" s="1" t="s">
        <v>69</v>
      </c>
      <c r="I924" s="1">
        <v>130000</v>
      </c>
      <c r="J924" s="45">
        <v>107922</v>
      </c>
      <c r="K924" s="1" t="str">
        <f>TRIM(Cleaned_CRM_Data!H924)</f>
        <v>Follow up</v>
      </c>
      <c r="L924" t="str">
        <f>IFERROR(VLOOKUP(K924, Status_Mapping!A:B, 2,), "Not Found")</f>
        <v>Follow Up</v>
      </c>
      <c r="N924" s="29" t="str">
        <f>IF(M924="","",M924-B924)</f>
        <v/>
      </c>
      <c r="O924" s="1" t="str">
        <f t="shared" si="79"/>
        <v>Starter</v>
      </c>
      <c r="P924" t="str">
        <f>TEXT(B924, "mmmm")</f>
        <v>October</v>
      </c>
      <c r="Q924" t="str">
        <f t="shared" si="80"/>
        <v>Q4</v>
      </c>
      <c r="R924" t="str">
        <f>IFERROR(VLOOKUP(TRIM(CLEAN(G924)),Sheet14!$A$2:$B$19,2,FALSE),"Not Mapped")</f>
        <v>West</v>
      </c>
    </row>
    <row r="925" spans="1:18">
      <c r="A925" t="str">
        <f t="shared" si="78"/>
        <v>EOS0924</v>
      </c>
      <c r="B925" s="35">
        <v>45952</v>
      </c>
      <c r="C925" s="1" t="s">
        <v>267</v>
      </c>
      <c r="D925" s="1" t="str">
        <f t="shared" si="81"/>
        <v>FB</v>
      </c>
      <c r="E925" s="1" t="s">
        <v>1460</v>
      </c>
      <c r="F925" s="1" t="s">
        <v>412</v>
      </c>
      <c r="G925" s="1" t="s">
        <v>223</v>
      </c>
      <c r="H925" s="1" t="s">
        <v>149</v>
      </c>
      <c r="I925" s="1">
        <v>177000</v>
      </c>
      <c r="J925" s="45">
        <v>107923</v>
      </c>
      <c r="K925" s="1" t="str">
        <f>TRIM(Cleaned_CRM_Data!H925)</f>
        <v>Rejected</v>
      </c>
      <c r="L925" t="str">
        <f>IFERROR(VLOOKUP(K925, Status_Mapping!A:B, 2,), "Not Found")</f>
        <v>Rejected</v>
      </c>
      <c r="N925" s="29" t="str">
        <f>IF(M925="","",M925-B925)</f>
        <v/>
      </c>
      <c r="O925" s="1" t="str">
        <f t="shared" si="79"/>
        <v>Growth</v>
      </c>
      <c r="P925" t="str">
        <f>TEXT(B925, "mmmm")</f>
        <v>October</v>
      </c>
      <c r="Q925" t="str">
        <f t="shared" si="80"/>
        <v>Q4</v>
      </c>
      <c r="R925" t="str">
        <f>IFERROR(VLOOKUP(TRIM(CLEAN(G925)),Sheet14!$A$2:$B$19,2,FALSE),"Not Mapped")</f>
        <v>West</v>
      </c>
    </row>
    <row r="926" spans="1:18">
      <c r="A926" t="str">
        <f t="shared" si="78"/>
        <v>EOS0925</v>
      </c>
      <c r="B926" s="35">
        <v>45952</v>
      </c>
      <c r="C926" s="4" t="s">
        <v>267</v>
      </c>
      <c r="D926" s="1" t="str">
        <f t="shared" si="81"/>
        <v>FB</v>
      </c>
      <c r="E926" s="1" t="s">
        <v>1461</v>
      </c>
      <c r="F926" s="1" t="s">
        <v>300</v>
      </c>
      <c r="G926" s="1" t="s">
        <v>224</v>
      </c>
      <c r="H926" s="1" t="s">
        <v>69</v>
      </c>
      <c r="I926" s="1">
        <v>108000</v>
      </c>
      <c r="J926" s="45">
        <v>107924</v>
      </c>
      <c r="K926" s="1" t="str">
        <f>TRIM(Cleaned_CRM_Data!H926)</f>
        <v>Follow up</v>
      </c>
      <c r="L926" t="str">
        <f>IFERROR(VLOOKUP(K926, Status_Mapping!A:B, 2,), "Not Found")</f>
        <v>Follow Up</v>
      </c>
      <c r="N926" s="29" t="str">
        <f>IF(M926="","",M926-B926)</f>
        <v/>
      </c>
      <c r="O926" s="1" t="str">
        <f t="shared" si="79"/>
        <v>Starter</v>
      </c>
      <c r="P926" t="str">
        <f>TEXT(B926, "mmmm")</f>
        <v>October</v>
      </c>
      <c r="Q926" t="str">
        <f t="shared" si="80"/>
        <v>Q4</v>
      </c>
      <c r="R926" t="str">
        <f>IFERROR(VLOOKUP(TRIM(CLEAN(G926)),Sheet14!$A$2:$B$19,2,FALSE),"Not Mapped")</f>
        <v>West</v>
      </c>
    </row>
    <row r="927" spans="1:18">
      <c r="A927" t="str">
        <f t="shared" si="78"/>
        <v>EOS0926</v>
      </c>
      <c r="B927" s="35">
        <v>45952</v>
      </c>
      <c r="C927" s="4" t="s">
        <v>267</v>
      </c>
      <c r="D927" s="1" t="str">
        <f t="shared" si="81"/>
        <v>FB</v>
      </c>
      <c r="E927" s="1" t="s">
        <v>1462</v>
      </c>
      <c r="F927" s="1" t="s">
        <v>275</v>
      </c>
      <c r="G927" s="1" t="s">
        <v>224</v>
      </c>
      <c r="H927" s="1" t="s">
        <v>69</v>
      </c>
      <c r="I927" s="1">
        <v>130000</v>
      </c>
      <c r="J927" s="45">
        <v>107925</v>
      </c>
      <c r="K927" s="1" t="str">
        <f>TRIM(Cleaned_CRM_Data!H927)</f>
        <v>Follow up</v>
      </c>
      <c r="L927" t="str">
        <f>IFERROR(VLOOKUP(K927, Status_Mapping!A:B, 2,), "Not Found")</f>
        <v>Follow Up</v>
      </c>
      <c r="N927" s="29" t="str">
        <f>IF(M927="","",M927-B927)</f>
        <v/>
      </c>
      <c r="O927" s="1" t="str">
        <f t="shared" si="79"/>
        <v>Starter</v>
      </c>
      <c r="P927" t="str">
        <f>TEXT(B927, "mmmm")</f>
        <v>October</v>
      </c>
      <c r="Q927" t="str">
        <f t="shared" si="80"/>
        <v>Q4</v>
      </c>
      <c r="R927" t="str">
        <f>IFERROR(VLOOKUP(TRIM(CLEAN(G927)),Sheet14!$A$2:$B$19,2,FALSE),"Not Mapped")</f>
        <v>West</v>
      </c>
    </row>
    <row r="928" spans="1:18">
      <c r="A928" t="str">
        <f t="shared" si="78"/>
        <v>EOS0927</v>
      </c>
      <c r="B928" s="35">
        <v>45952</v>
      </c>
      <c r="C928" s="4" t="s">
        <v>267</v>
      </c>
      <c r="D928" s="1" t="str">
        <f t="shared" si="81"/>
        <v>FB</v>
      </c>
      <c r="E928" s="1" t="s">
        <v>1463</v>
      </c>
      <c r="F928" s="1" t="s">
        <v>1464</v>
      </c>
      <c r="G928" s="1" t="s">
        <v>224</v>
      </c>
      <c r="H928" s="1" t="s">
        <v>69</v>
      </c>
      <c r="I928" s="1">
        <v>130000</v>
      </c>
      <c r="J928" s="45">
        <v>107926</v>
      </c>
      <c r="K928" s="1" t="str">
        <f>TRIM(Cleaned_CRM_Data!H928)</f>
        <v>Follow up</v>
      </c>
      <c r="L928" t="str">
        <f>IFERROR(VLOOKUP(K928, Status_Mapping!A:B, 2,), "Not Found")</f>
        <v>Follow Up</v>
      </c>
      <c r="N928" s="29" t="str">
        <f>IF(M928="","",M928-B928)</f>
        <v/>
      </c>
      <c r="O928" s="1" t="str">
        <f t="shared" si="79"/>
        <v>Starter</v>
      </c>
      <c r="P928" t="str">
        <f>TEXT(B928, "mmmm")</f>
        <v>October</v>
      </c>
      <c r="Q928" t="str">
        <f t="shared" si="80"/>
        <v>Q4</v>
      </c>
      <c r="R928" t="str">
        <f>IFERROR(VLOOKUP(TRIM(CLEAN(G928)),Sheet14!$A$2:$B$19,2,FALSE),"Not Mapped")</f>
        <v>West</v>
      </c>
    </row>
    <row r="929" spans="1:18">
      <c r="A929" t="str">
        <f t="shared" si="78"/>
        <v>EOS0928</v>
      </c>
      <c r="B929" s="35">
        <v>45952</v>
      </c>
      <c r="C929" s="4" t="s">
        <v>267</v>
      </c>
      <c r="D929" s="1" t="str">
        <f t="shared" si="81"/>
        <v>FB</v>
      </c>
      <c r="E929" s="1" t="s">
        <v>1465</v>
      </c>
      <c r="F929" s="1" t="s">
        <v>1466</v>
      </c>
      <c r="G929" s="1" t="s">
        <v>224</v>
      </c>
      <c r="H929" s="1" t="s">
        <v>69</v>
      </c>
      <c r="I929" s="1">
        <v>177000</v>
      </c>
      <c r="J929" s="45">
        <v>107927</v>
      </c>
      <c r="K929" s="1" t="str">
        <f>TRIM(Cleaned_CRM_Data!H929)</f>
        <v>Follow up</v>
      </c>
      <c r="L929" t="str">
        <f>IFERROR(VLOOKUP(K929, Status_Mapping!A:B, 2,), "Not Found")</f>
        <v>Follow Up</v>
      </c>
      <c r="N929" s="29" t="str">
        <f>IF(M929="","",M929-B929)</f>
        <v/>
      </c>
      <c r="O929" s="1" t="str">
        <f t="shared" si="79"/>
        <v>Growth</v>
      </c>
      <c r="P929" t="str">
        <f>TEXT(B929, "mmmm")</f>
        <v>October</v>
      </c>
      <c r="Q929" t="str">
        <f t="shared" si="80"/>
        <v>Q4</v>
      </c>
      <c r="R929" t="str">
        <f>IFERROR(VLOOKUP(TRIM(CLEAN(G929)),Sheet14!$A$2:$B$19,2,FALSE),"Not Mapped")</f>
        <v>West</v>
      </c>
    </row>
    <row r="930" spans="1:18">
      <c r="A930" t="str">
        <f t="shared" si="78"/>
        <v>EOS0929</v>
      </c>
      <c r="B930" s="35">
        <v>45952</v>
      </c>
      <c r="C930" s="4" t="s">
        <v>267</v>
      </c>
      <c r="D930" s="1" t="str">
        <f t="shared" si="81"/>
        <v>FB</v>
      </c>
      <c r="E930" s="1" t="s">
        <v>1467</v>
      </c>
      <c r="F930" s="1"/>
      <c r="G930" s="1" t="s">
        <v>224</v>
      </c>
      <c r="H930" s="1" t="s">
        <v>69</v>
      </c>
      <c r="I930" s="1">
        <v>130000</v>
      </c>
      <c r="J930" s="45">
        <v>107928</v>
      </c>
      <c r="K930" s="1" t="str">
        <f>TRIM(Cleaned_CRM_Data!H930)</f>
        <v>Follow up</v>
      </c>
      <c r="L930" t="str">
        <f>IFERROR(VLOOKUP(K930, Status_Mapping!A:B, 2,), "Not Found")</f>
        <v>Follow Up</v>
      </c>
      <c r="N930" s="29" t="str">
        <f>IF(M930="","",M930-B930)</f>
        <v/>
      </c>
      <c r="O930" s="1" t="str">
        <f t="shared" si="79"/>
        <v>Starter</v>
      </c>
      <c r="P930" t="str">
        <f>TEXT(B930, "mmmm")</f>
        <v>October</v>
      </c>
      <c r="Q930" t="str">
        <f t="shared" si="80"/>
        <v>Q4</v>
      </c>
      <c r="R930" t="str">
        <f>IFERROR(VLOOKUP(TRIM(CLEAN(G930)),Sheet14!$A$2:$B$19,2,FALSE),"Not Mapped")</f>
        <v>West</v>
      </c>
    </row>
    <row r="931" spans="1:18">
      <c r="A931" t="str">
        <f t="shared" si="78"/>
        <v>EOS0930</v>
      </c>
      <c r="B931" s="35">
        <v>45952</v>
      </c>
      <c r="C931" s="4" t="s">
        <v>267</v>
      </c>
      <c r="D931" s="1" t="str">
        <f t="shared" si="81"/>
        <v>FB</v>
      </c>
      <c r="E931" s="1" t="s">
        <v>1468</v>
      </c>
      <c r="F931" s="1"/>
      <c r="G931" s="1" t="s">
        <v>224</v>
      </c>
      <c r="H931" s="1" t="s">
        <v>69</v>
      </c>
      <c r="I931" s="1">
        <v>108000</v>
      </c>
      <c r="J931" s="45">
        <v>107929</v>
      </c>
      <c r="K931" s="1" t="str">
        <f>TRIM(Cleaned_CRM_Data!H931)</f>
        <v>Follow up</v>
      </c>
      <c r="L931" t="str">
        <f>IFERROR(VLOOKUP(K931, Status_Mapping!A:B, 2,), "Not Found")</f>
        <v>Follow Up</v>
      </c>
      <c r="N931" s="29" t="str">
        <f>IF(M931="","",M931-B931)</f>
        <v/>
      </c>
      <c r="O931" s="1" t="str">
        <f t="shared" si="79"/>
        <v>Starter</v>
      </c>
      <c r="P931" t="str">
        <f>TEXT(B931, "mmmm")</f>
        <v>October</v>
      </c>
      <c r="Q931" t="str">
        <f t="shared" si="80"/>
        <v>Q4</v>
      </c>
      <c r="R931" t="str">
        <f>IFERROR(VLOOKUP(TRIM(CLEAN(G931)),Sheet14!$A$2:$B$19,2,FALSE),"Not Mapped")</f>
        <v>West</v>
      </c>
    </row>
    <row r="932" spans="1:18">
      <c r="A932" t="str">
        <f t="shared" si="78"/>
        <v>EOS0931</v>
      </c>
      <c r="B932" s="35">
        <v>45952</v>
      </c>
      <c r="C932" s="4" t="s">
        <v>267</v>
      </c>
      <c r="D932" s="1" t="str">
        <f t="shared" si="81"/>
        <v>FB</v>
      </c>
      <c r="E932" s="1" t="s">
        <v>1469</v>
      </c>
      <c r="F932" s="1"/>
      <c r="G932" s="1" t="s">
        <v>224</v>
      </c>
      <c r="H932" s="1" t="s">
        <v>69</v>
      </c>
      <c r="I932" s="1">
        <v>108000</v>
      </c>
      <c r="J932" s="45">
        <v>107930</v>
      </c>
      <c r="K932" s="1" t="str">
        <f>TRIM(Cleaned_CRM_Data!H932)</f>
        <v>Follow up</v>
      </c>
      <c r="L932" t="str">
        <f>IFERROR(VLOOKUP(K932, Status_Mapping!A:B, 2,), "Not Found")</f>
        <v>Follow Up</v>
      </c>
      <c r="N932" s="29" t="str">
        <f>IF(M932="","",M932-B932)</f>
        <v/>
      </c>
      <c r="O932" s="1" t="str">
        <f t="shared" si="79"/>
        <v>Starter</v>
      </c>
      <c r="P932" t="str">
        <f>TEXT(B932, "mmmm")</f>
        <v>October</v>
      </c>
      <c r="Q932" t="str">
        <f t="shared" si="80"/>
        <v>Q4</v>
      </c>
      <c r="R932" t="str">
        <f>IFERROR(VLOOKUP(TRIM(CLEAN(G932)),Sheet14!$A$2:$B$19,2,FALSE),"Not Mapped")</f>
        <v>West</v>
      </c>
    </row>
    <row r="933" spans="1:18">
      <c r="A933" t="str">
        <f t="shared" si="78"/>
        <v>EOS0932</v>
      </c>
      <c r="B933" s="35">
        <v>45952</v>
      </c>
      <c r="C933" s="4" t="s">
        <v>267</v>
      </c>
      <c r="D933" s="1" t="str">
        <f t="shared" si="81"/>
        <v>FB</v>
      </c>
      <c r="E933" s="1" t="s">
        <v>1470</v>
      </c>
      <c r="F933" s="1" t="s">
        <v>1471</v>
      </c>
      <c r="G933" s="1" t="s">
        <v>224</v>
      </c>
      <c r="H933" s="1" t="s">
        <v>69</v>
      </c>
      <c r="I933" s="1">
        <v>130000</v>
      </c>
      <c r="J933" s="45">
        <v>107931</v>
      </c>
      <c r="K933" s="1" t="str">
        <f>TRIM(Cleaned_CRM_Data!H933)</f>
        <v>Follow up</v>
      </c>
      <c r="L933" t="str">
        <f>IFERROR(VLOOKUP(K933, Status_Mapping!A:B, 2,), "Not Found")</f>
        <v>Follow Up</v>
      </c>
      <c r="N933" s="29" t="str">
        <f>IF(M933="","",M933-B933)</f>
        <v/>
      </c>
      <c r="O933" s="1" t="str">
        <f t="shared" si="79"/>
        <v>Starter</v>
      </c>
      <c r="P933" t="str">
        <f>TEXT(B933, "mmmm")</f>
        <v>October</v>
      </c>
      <c r="Q933" t="str">
        <f t="shared" si="80"/>
        <v>Q4</v>
      </c>
      <c r="R933" t="str">
        <f>IFERROR(VLOOKUP(TRIM(CLEAN(G933)),Sheet14!$A$2:$B$19,2,FALSE),"Not Mapped")</f>
        <v>West</v>
      </c>
    </row>
    <row r="934" spans="1:18">
      <c r="A934" t="str">
        <f t="shared" si="78"/>
        <v>EOS0933</v>
      </c>
      <c r="B934" s="35">
        <v>45952</v>
      </c>
      <c r="C934" s="1" t="s">
        <v>267</v>
      </c>
      <c r="D934" s="1" t="str">
        <f t="shared" si="81"/>
        <v>FB</v>
      </c>
      <c r="E934" s="1" t="s">
        <v>1472</v>
      </c>
      <c r="F934" s="1" t="s">
        <v>782</v>
      </c>
      <c r="G934" s="1" t="s">
        <v>228</v>
      </c>
      <c r="H934" s="1" t="s">
        <v>149</v>
      </c>
      <c r="I934" s="1">
        <v>108000</v>
      </c>
      <c r="J934" s="45">
        <v>107932</v>
      </c>
      <c r="K934" s="1" t="str">
        <f>TRIM(Cleaned_CRM_Data!H934)</f>
        <v>Rejected</v>
      </c>
      <c r="L934" t="str">
        <f>IFERROR(VLOOKUP(K934, Status_Mapping!A:B, 2,), "Not Found")</f>
        <v>Rejected</v>
      </c>
      <c r="N934" s="29" t="str">
        <f>IF(M934="","",M934-B934)</f>
        <v/>
      </c>
      <c r="O934" s="1" t="str">
        <f t="shared" si="79"/>
        <v>Starter</v>
      </c>
      <c r="P934" t="str">
        <f>TEXT(B934, "mmmm")</f>
        <v>October</v>
      </c>
      <c r="Q934" t="str">
        <f t="shared" si="80"/>
        <v>Q4</v>
      </c>
      <c r="R934" t="str">
        <f>IFERROR(VLOOKUP(TRIM(CLEAN(G934)),Sheet14!$A$2:$B$19,2,FALSE),"Not Mapped")</f>
        <v>Central</v>
      </c>
    </row>
    <row r="935" spans="1:18">
      <c r="A935" t="str">
        <f t="shared" si="78"/>
        <v>EOS0934</v>
      </c>
      <c r="B935" s="35">
        <v>45952</v>
      </c>
      <c r="C935" s="4" t="s">
        <v>267</v>
      </c>
      <c r="D935" s="1" t="str">
        <f t="shared" si="81"/>
        <v>FB</v>
      </c>
      <c r="E935" s="1" t="s">
        <v>1473</v>
      </c>
      <c r="F935" s="1" t="s">
        <v>1474</v>
      </c>
      <c r="G935" s="1" t="s">
        <v>1210</v>
      </c>
      <c r="H935" s="1" t="s">
        <v>69</v>
      </c>
      <c r="I935" s="1">
        <v>108000</v>
      </c>
      <c r="J935" s="45">
        <v>107933</v>
      </c>
      <c r="K935" s="1" t="str">
        <f>TRIM(Cleaned_CRM_Data!H935)</f>
        <v>Follow up</v>
      </c>
      <c r="L935" t="str">
        <f>IFERROR(VLOOKUP(K935, Status_Mapping!A:B, 2,), "Not Found")</f>
        <v>Follow Up</v>
      </c>
      <c r="N935" s="29" t="str">
        <f>IF(M935="","",M935-B935)</f>
        <v/>
      </c>
      <c r="O935" s="1" t="str">
        <f t="shared" si="79"/>
        <v>Starter</v>
      </c>
      <c r="P935" t="str">
        <f>TEXT(B935, "mmmm")</f>
        <v>October</v>
      </c>
      <c r="Q935" t="str">
        <f t="shared" si="80"/>
        <v>Q4</v>
      </c>
      <c r="R935" t="str">
        <f>IFERROR(VLOOKUP(TRIM(CLEAN(G935)),Sheet14!$A$2:$B$19,2,FALSE),"Not Mapped")</f>
        <v>North</v>
      </c>
    </row>
    <row r="936" spans="1:18">
      <c r="A936" t="str">
        <f t="shared" si="78"/>
        <v>EOS0935</v>
      </c>
      <c r="B936" s="35">
        <v>45952</v>
      </c>
      <c r="C936" s="4" t="s">
        <v>267</v>
      </c>
      <c r="D936" s="1" t="str">
        <f t="shared" si="81"/>
        <v>FB</v>
      </c>
      <c r="E936" s="1" t="s">
        <v>1475</v>
      </c>
      <c r="F936" s="1" t="s">
        <v>1476</v>
      </c>
      <c r="G936" s="1" t="s">
        <v>239</v>
      </c>
      <c r="H936" s="1" t="s">
        <v>69</v>
      </c>
      <c r="I936" s="1">
        <v>108000</v>
      </c>
      <c r="J936" s="45">
        <v>107934</v>
      </c>
      <c r="K936" s="1" t="str">
        <f>TRIM(Cleaned_CRM_Data!H936)</f>
        <v>Follow up</v>
      </c>
      <c r="L936" t="str">
        <f>IFERROR(VLOOKUP(K936, Status_Mapping!A:B, 2,), "Not Found")</f>
        <v>Follow Up</v>
      </c>
      <c r="N936" s="29" t="str">
        <f>IF(M936="","",M936-B936)</f>
        <v/>
      </c>
      <c r="O936" s="1" t="str">
        <f t="shared" si="79"/>
        <v>Starter</v>
      </c>
      <c r="P936" t="str">
        <f>TEXT(B936, "mmmm")</f>
        <v>October</v>
      </c>
      <c r="Q936" t="str">
        <f t="shared" si="80"/>
        <v>Q4</v>
      </c>
      <c r="R936" t="str">
        <f>IFERROR(VLOOKUP(TRIM(CLEAN(G936)),Sheet14!$A$2:$B$19,2,FALSE),"Not Mapped")</f>
        <v>East</v>
      </c>
    </row>
    <row r="937" spans="1:18">
      <c r="A937" t="str">
        <f t="shared" si="78"/>
        <v>EOS0936</v>
      </c>
      <c r="B937" s="35">
        <v>45954</v>
      </c>
      <c r="C937" s="4" t="s">
        <v>267</v>
      </c>
      <c r="D937" s="1" t="str">
        <f t="shared" si="81"/>
        <v>FB</v>
      </c>
      <c r="E937" s="1" t="s">
        <v>1477</v>
      </c>
      <c r="F937" s="1" t="s">
        <v>1478</v>
      </c>
      <c r="G937" s="1" t="s">
        <v>224</v>
      </c>
      <c r="H937" s="1" t="s">
        <v>69</v>
      </c>
      <c r="I937" s="1">
        <v>130000</v>
      </c>
      <c r="J937" s="45">
        <v>107935</v>
      </c>
      <c r="K937" s="1" t="str">
        <f>TRIM(Cleaned_CRM_Data!H937)</f>
        <v>Follow up</v>
      </c>
      <c r="L937" t="str">
        <f>IFERROR(VLOOKUP(K937, Status_Mapping!A:B, 2,), "Not Found")</f>
        <v>Follow Up</v>
      </c>
      <c r="N937" s="29" t="str">
        <f>IF(M937="","",M937-B937)</f>
        <v/>
      </c>
      <c r="O937" s="1" t="str">
        <f t="shared" si="79"/>
        <v>Starter</v>
      </c>
      <c r="P937" t="str">
        <f>TEXT(B937, "mmmm")</f>
        <v>October</v>
      </c>
      <c r="Q937" t="str">
        <f t="shared" si="80"/>
        <v>Q4</v>
      </c>
      <c r="R937" t="str">
        <f>IFERROR(VLOOKUP(TRIM(CLEAN(G937)),Sheet14!$A$2:$B$19,2,FALSE),"Not Mapped")</f>
        <v>West</v>
      </c>
    </row>
    <row r="938" spans="1:18">
      <c r="A938" t="str">
        <f t="shared" si="78"/>
        <v>EOS0937</v>
      </c>
      <c r="B938" s="35">
        <v>45954</v>
      </c>
      <c r="C938" s="4" t="s">
        <v>267</v>
      </c>
      <c r="D938" s="1" t="str">
        <f t="shared" si="81"/>
        <v>FB</v>
      </c>
      <c r="E938" s="1" t="s">
        <v>1479</v>
      </c>
      <c r="F938" s="1" t="s">
        <v>778</v>
      </c>
      <c r="G938" s="1" t="s">
        <v>224</v>
      </c>
      <c r="H938" s="1" t="s">
        <v>69</v>
      </c>
      <c r="I938" s="1">
        <v>130000</v>
      </c>
      <c r="J938" s="45">
        <v>107936</v>
      </c>
      <c r="K938" s="1" t="str">
        <f>TRIM(Cleaned_CRM_Data!H938)</f>
        <v>Follow up</v>
      </c>
      <c r="L938" t="str">
        <f>IFERROR(VLOOKUP(K938, Status_Mapping!A:B, 2,), "Not Found")</f>
        <v>Follow Up</v>
      </c>
      <c r="N938" s="29" t="str">
        <f>IF(M938="","",M938-B938)</f>
        <v/>
      </c>
      <c r="O938" s="1" t="str">
        <f t="shared" si="79"/>
        <v>Starter</v>
      </c>
      <c r="P938" t="str">
        <f>TEXT(B938, "mmmm")</f>
        <v>October</v>
      </c>
      <c r="Q938" t="str">
        <f t="shared" si="80"/>
        <v>Q4</v>
      </c>
      <c r="R938" t="str">
        <f>IFERROR(VLOOKUP(TRIM(CLEAN(G938)),Sheet14!$A$2:$B$19,2,FALSE),"Not Mapped")</f>
        <v>West</v>
      </c>
    </row>
    <row r="939" spans="1:18">
      <c r="A939" t="str">
        <f t="shared" si="78"/>
        <v>EOS0938</v>
      </c>
      <c r="B939" s="35">
        <v>45954</v>
      </c>
      <c r="C939" s="4" t="s">
        <v>267</v>
      </c>
      <c r="D939" s="1" t="str">
        <f t="shared" si="81"/>
        <v>FB</v>
      </c>
      <c r="E939" s="1" t="s">
        <v>1480</v>
      </c>
      <c r="F939" s="1" t="s">
        <v>412</v>
      </c>
      <c r="G939" s="1" t="s">
        <v>224</v>
      </c>
      <c r="H939" s="1" t="s">
        <v>69</v>
      </c>
      <c r="I939" s="1">
        <v>108000</v>
      </c>
      <c r="J939" s="45">
        <v>107937</v>
      </c>
      <c r="K939" s="1" t="str">
        <f>TRIM(Cleaned_CRM_Data!H939)</f>
        <v>Follow up</v>
      </c>
      <c r="L939" t="str">
        <f>IFERROR(VLOOKUP(K939, Status_Mapping!A:B, 2,), "Not Found")</f>
        <v>Follow Up</v>
      </c>
      <c r="N939" s="29" t="str">
        <f>IF(M939="","",M939-B939)</f>
        <v/>
      </c>
      <c r="O939" s="1" t="str">
        <f t="shared" si="79"/>
        <v>Starter</v>
      </c>
      <c r="P939" t="str">
        <f>TEXT(B939, "mmmm")</f>
        <v>October</v>
      </c>
      <c r="Q939" t="str">
        <f t="shared" si="80"/>
        <v>Q4</v>
      </c>
      <c r="R939" t="str">
        <f>IFERROR(VLOOKUP(TRIM(CLEAN(G939)),Sheet14!$A$2:$B$19,2,FALSE),"Not Mapped")</f>
        <v>West</v>
      </c>
    </row>
    <row r="940" spans="1:18">
      <c r="A940" t="str">
        <f t="shared" si="78"/>
        <v>EOS0939</v>
      </c>
      <c r="B940" s="35">
        <v>45954</v>
      </c>
      <c r="C940" s="4" t="s">
        <v>267</v>
      </c>
      <c r="D940" s="1" t="str">
        <f t="shared" si="81"/>
        <v>FB</v>
      </c>
      <c r="E940" s="1" t="s">
        <v>1481</v>
      </c>
      <c r="F940" s="1" t="s">
        <v>300</v>
      </c>
      <c r="G940" s="1" t="s">
        <v>224</v>
      </c>
      <c r="H940" s="1" t="s">
        <v>69</v>
      </c>
      <c r="I940" s="1">
        <v>130000</v>
      </c>
      <c r="J940" s="45">
        <v>107938</v>
      </c>
      <c r="K940" s="1" t="str">
        <f>TRIM(Cleaned_CRM_Data!H940)</f>
        <v>Follow up</v>
      </c>
      <c r="L940" t="str">
        <f>IFERROR(VLOOKUP(K940, Status_Mapping!A:B, 2,), "Not Found")</f>
        <v>Follow Up</v>
      </c>
      <c r="N940" s="29" t="str">
        <f>IF(M940="","",M940-B940)</f>
        <v/>
      </c>
      <c r="O940" s="1" t="str">
        <f t="shared" si="79"/>
        <v>Starter</v>
      </c>
      <c r="P940" t="str">
        <f>TEXT(B940, "mmmm")</f>
        <v>October</v>
      </c>
      <c r="Q940" t="str">
        <f t="shared" si="80"/>
        <v>Q4</v>
      </c>
      <c r="R940" t="str">
        <f>IFERROR(VLOOKUP(TRIM(CLEAN(G940)),Sheet14!$A$2:$B$19,2,FALSE),"Not Mapped")</f>
        <v>West</v>
      </c>
    </row>
    <row r="941" spans="1:18">
      <c r="A941" t="str">
        <f t="shared" si="78"/>
        <v>EOS0940</v>
      </c>
      <c r="B941" s="35">
        <v>45954</v>
      </c>
      <c r="C941" s="4" t="s">
        <v>267</v>
      </c>
      <c r="D941" s="1" t="str">
        <f t="shared" si="81"/>
        <v>FB</v>
      </c>
      <c r="E941" s="1" t="s">
        <v>1482</v>
      </c>
      <c r="F941" s="1"/>
      <c r="G941" s="1" t="s">
        <v>224</v>
      </c>
      <c r="H941" s="1" t="s">
        <v>69</v>
      </c>
      <c r="I941" s="1">
        <v>177000</v>
      </c>
      <c r="J941" s="45">
        <v>107939</v>
      </c>
      <c r="K941" s="1" t="str">
        <f>TRIM(Cleaned_CRM_Data!H941)</f>
        <v>Follow up</v>
      </c>
      <c r="L941" t="str">
        <f>IFERROR(VLOOKUP(K941, Status_Mapping!A:B, 2,), "Not Found")</f>
        <v>Follow Up</v>
      </c>
      <c r="N941" s="29" t="str">
        <f>IF(M941="","",M941-B941)</f>
        <v/>
      </c>
      <c r="O941" s="1" t="str">
        <f t="shared" si="79"/>
        <v>Growth</v>
      </c>
      <c r="P941" t="str">
        <f>TEXT(B941, "mmmm")</f>
        <v>October</v>
      </c>
      <c r="Q941" t="str">
        <f t="shared" si="80"/>
        <v>Q4</v>
      </c>
      <c r="R941" t="str">
        <f>IFERROR(VLOOKUP(TRIM(CLEAN(G941)),Sheet14!$A$2:$B$19,2,FALSE),"Not Mapped")</f>
        <v>West</v>
      </c>
    </row>
    <row r="942" spans="1:18">
      <c r="A942" t="str">
        <f t="shared" si="78"/>
        <v>EOS0941</v>
      </c>
      <c r="B942" s="35">
        <v>45954</v>
      </c>
      <c r="C942" s="1" t="s">
        <v>267</v>
      </c>
      <c r="D942" s="1" t="str">
        <f t="shared" si="81"/>
        <v>FB</v>
      </c>
      <c r="E942" s="1" t="s">
        <v>1483</v>
      </c>
      <c r="F942" s="1"/>
      <c r="G942" s="1" t="s">
        <v>223</v>
      </c>
      <c r="H942" s="1" t="s">
        <v>149</v>
      </c>
      <c r="I942" s="1">
        <v>108000</v>
      </c>
      <c r="J942" s="45">
        <v>107940</v>
      </c>
      <c r="K942" s="1" t="str">
        <f>TRIM(Cleaned_CRM_Data!H942)</f>
        <v>Rejected</v>
      </c>
      <c r="L942" t="str">
        <f>IFERROR(VLOOKUP(K942, Status_Mapping!A:B, 2,), "Not Found")</f>
        <v>Rejected</v>
      </c>
      <c r="N942" s="29" t="str">
        <f>IF(M942="","",M942-B942)</f>
        <v/>
      </c>
      <c r="O942" s="1" t="str">
        <f t="shared" si="79"/>
        <v>Starter</v>
      </c>
      <c r="P942" t="str">
        <f>TEXT(B942, "mmmm")</f>
        <v>October</v>
      </c>
      <c r="Q942" t="str">
        <f t="shared" si="80"/>
        <v>Q4</v>
      </c>
      <c r="R942" t="str">
        <f>IFERROR(VLOOKUP(TRIM(CLEAN(G942)),Sheet14!$A$2:$B$19,2,FALSE),"Not Mapped")</f>
        <v>West</v>
      </c>
    </row>
    <row r="943" spans="1:18">
      <c r="A943" t="str">
        <f t="shared" si="78"/>
        <v>EOS0942</v>
      </c>
      <c r="B943" s="35">
        <v>45954</v>
      </c>
      <c r="C943" s="4" t="s">
        <v>267</v>
      </c>
      <c r="D943" s="1" t="str">
        <f t="shared" si="81"/>
        <v>FB</v>
      </c>
      <c r="E943" s="1" t="s">
        <v>1484</v>
      </c>
      <c r="F943" s="1" t="s">
        <v>860</v>
      </c>
      <c r="G943" s="1" t="s">
        <v>224</v>
      </c>
      <c r="H943" s="1" t="s">
        <v>69</v>
      </c>
      <c r="I943" s="1">
        <v>130000</v>
      </c>
      <c r="J943" s="45">
        <v>107941</v>
      </c>
      <c r="K943" s="1" t="str">
        <f>TRIM(Cleaned_CRM_Data!H943)</f>
        <v>Follow up</v>
      </c>
      <c r="L943" t="str">
        <f>IFERROR(VLOOKUP(K943, Status_Mapping!A:B, 2,), "Not Found")</f>
        <v>Follow Up</v>
      </c>
      <c r="N943" s="29" t="str">
        <f>IF(M943="","",M943-B943)</f>
        <v/>
      </c>
      <c r="O943" s="1" t="str">
        <f t="shared" si="79"/>
        <v>Starter</v>
      </c>
      <c r="P943" t="str">
        <f>TEXT(B943, "mmmm")</f>
        <v>October</v>
      </c>
      <c r="Q943" t="str">
        <f t="shared" si="80"/>
        <v>Q4</v>
      </c>
      <c r="R943" t="str">
        <f>IFERROR(VLOOKUP(TRIM(CLEAN(G943)),Sheet14!$A$2:$B$19,2,FALSE),"Not Mapped")</f>
        <v>West</v>
      </c>
    </row>
    <row r="944" spans="1:18">
      <c r="A944" t="str">
        <f t="shared" si="78"/>
        <v>EOS0943</v>
      </c>
      <c r="B944" s="35">
        <v>45954</v>
      </c>
      <c r="C944" s="4" t="s">
        <v>267</v>
      </c>
      <c r="D944" s="1" t="str">
        <f t="shared" si="81"/>
        <v>FB</v>
      </c>
      <c r="E944" s="1" t="s">
        <v>1485</v>
      </c>
      <c r="F944" s="1" t="s">
        <v>1486</v>
      </c>
      <c r="G944" s="1" t="s">
        <v>1487</v>
      </c>
      <c r="H944" s="1" t="s">
        <v>69</v>
      </c>
      <c r="I944" s="1">
        <v>177000</v>
      </c>
      <c r="J944" s="45">
        <v>107942</v>
      </c>
      <c r="K944" s="1" t="str">
        <f>TRIM(Cleaned_CRM_Data!H944)</f>
        <v>Follow up</v>
      </c>
      <c r="L944" t="str">
        <f>IFERROR(VLOOKUP(K944, Status_Mapping!A:B, 2,), "Not Found")</f>
        <v>Follow Up</v>
      </c>
      <c r="N944" s="29" t="str">
        <f>IF(M944="","",M944-B944)</f>
        <v/>
      </c>
      <c r="O944" s="1" t="str">
        <f t="shared" si="79"/>
        <v>Growth</v>
      </c>
      <c r="P944" t="str">
        <f>TEXT(B944, "mmmm")</f>
        <v>October</v>
      </c>
      <c r="Q944" t="str">
        <f t="shared" si="80"/>
        <v>Q4</v>
      </c>
      <c r="R944" t="str">
        <f>IFERROR(VLOOKUP(TRIM(CLEAN(G944)),Sheet14!$A$2:$B$19,2,FALSE),"Not Mapped")</f>
        <v>East</v>
      </c>
    </row>
    <row r="945" spans="1:18">
      <c r="A945" t="str">
        <f t="shared" si="78"/>
        <v>EOS0944</v>
      </c>
      <c r="B945" s="35">
        <v>45955</v>
      </c>
      <c r="C945" s="4" t="s">
        <v>267</v>
      </c>
      <c r="D945" s="1" t="str">
        <f t="shared" si="81"/>
        <v>FB</v>
      </c>
      <c r="E945" s="5" t="s">
        <v>1488</v>
      </c>
      <c r="F945" s="1"/>
      <c r="G945" s="1" t="s">
        <v>235</v>
      </c>
      <c r="H945" s="1" t="s">
        <v>69</v>
      </c>
      <c r="I945" s="1">
        <v>177000</v>
      </c>
      <c r="J945" s="45">
        <v>107943</v>
      </c>
      <c r="K945" s="1" t="str">
        <f>TRIM(Cleaned_CRM_Data!H945)</f>
        <v>Follow up</v>
      </c>
      <c r="L945" t="str">
        <f>IFERROR(VLOOKUP(K945, Status_Mapping!A:B, 2,), "Not Found")</f>
        <v>Follow Up</v>
      </c>
      <c r="N945" s="29" t="str">
        <f>IF(M945="","",M945-B945)</f>
        <v/>
      </c>
      <c r="O945" s="1" t="str">
        <f t="shared" si="79"/>
        <v>Growth</v>
      </c>
      <c r="P945" t="str">
        <f>TEXT(B945, "mmmm")</f>
        <v>October</v>
      </c>
      <c r="Q945" t="str">
        <f t="shared" si="80"/>
        <v>Q4</v>
      </c>
      <c r="R945" t="str">
        <f>IFERROR(VLOOKUP(TRIM(CLEAN(G945)),Sheet14!$A$2:$B$19,2,FALSE),"Not Mapped")</f>
        <v>West</v>
      </c>
    </row>
    <row r="946" spans="1:18">
      <c r="A946" t="str">
        <f t="shared" si="78"/>
        <v>EOS0945</v>
      </c>
      <c r="B946" s="35">
        <v>45955</v>
      </c>
      <c r="C946" s="4" t="s">
        <v>267</v>
      </c>
      <c r="D946" s="1" t="str">
        <f t="shared" si="81"/>
        <v>FB</v>
      </c>
      <c r="E946" s="5" t="s">
        <v>1111</v>
      </c>
      <c r="F946" s="1" t="s">
        <v>321</v>
      </c>
      <c r="G946" s="1" t="s">
        <v>224</v>
      </c>
      <c r="H946" s="1" t="s">
        <v>69</v>
      </c>
      <c r="I946" s="1">
        <v>308000</v>
      </c>
      <c r="J946" s="45">
        <v>107944</v>
      </c>
      <c r="K946" s="1" t="str">
        <f>TRIM(Cleaned_CRM_Data!H946)</f>
        <v>Follow up</v>
      </c>
      <c r="L946" t="str">
        <f>IFERROR(VLOOKUP(K946, Status_Mapping!A:B, 2,), "Not Found")</f>
        <v>Follow Up</v>
      </c>
      <c r="N946" s="29" t="str">
        <f>IF(M946="","",M946-B946)</f>
        <v/>
      </c>
      <c r="O946" s="1" t="str">
        <f t="shared" si="79"/>
        <v>Premium</v>
      </c>
      <c r="P946" t="str">
        <f>TEXT(B946, "mmmm")</f>
        <v>October</v>
      </c>
      <c r="Q946" t="str">
        <f t="shared" si="80"/>
        <v>Q4</v>
      </c>
      <c r="R946" t="str">
        <f>IFERROR(VLOOKUP(TRIM(CLEAN(G946)),Sheet14!$A$2:$B$19,2,FALSE),"Not Mapped")</f>
        <v>West</v>
      </c>
    </row>
    <row r="947" spans="1:18">
      <c r="A947" t="str">
        <f t="shared" si="78"/>
        <v>EOS0946</v>
      </c>
      <c r="B947" s="35">
        <v>45955</v>
      </c>
      <c r="C947" s="4" t="s">
        <v>267</v>
      </c>
      <c r="D947" s="1" t="str">
        <f t="shared" si="81"/>
        <v>FB</v>
      </c>
      <c r="E947" s="5" t="s">
        <v>1489</v>
      </c>
      <c r="F947" s="1" t="s">
        <v>321</v>
      </c>
      <c r="G947" s="1" t="s">
        <v>224</v>
      </c>
      <c r="H947" s="1" t="s">
        <v>69</v>
      </c>
      <c r="I947" s="1">
        <v>130000</v>
      </c>
      <c r="J947" s="45">
        <v>107945</v>
      </c>
      <c r="K947" s="1" t="str">
        <f>TRIM(Cleaned_CRM_Data!H947)</f>
        <v>Follow up</v>
      </c>
      <c r="L947" t="str">
        <f>IFERROR(VLOOKUP(K947, Status_Mapping!A:B, 2,), "Not Found")</f>
        <v>Follow Up</v>
      </c>
      <c r="N947" s="29" t="str">
        <f>IF(M947="","",M947-B947)</f>
        <v/>
      </c>
      <c r="O947" s="1" t="str">
        <f t="shared" si="79"/>
        <v>Starter</v>
      </c>
      <c r="P947" t="str">
        <f>TEXT(B947, "mmmm")</f>
        <v>October</v>
      </c>
      <c r="Q947" t="str">
        <f t="shared" si="80"/>
        <v>Q4</v>
      </c>
      <c r="R947" t="str">
        <f>IFERROR(VLOOKUP(TRIM(CLEAN(G947)),Sheet14!$A$2:$B$19,2,FALSE),"Not Mapped")</f>
        <v>West</v>
      </c>
    </row>
    <row r="948" spans="1:18">
      <c r="A948" t="str">
        <f t="shared" si="78"/>
        <v>EOS0947</v>
      </c>
      <c r="B948" s="35">
        <v>45955</v>
      </c>
      <c r="C948" s="4" t="s">
        <v>267</v>
      </c>
      <c r="D948" s="1" t="str">
        <f t="shared" si="81"/>
        <v>FB</v>
      </c>
      <c r="E948" s="5" t="s">
        <v>1490</v>
      </c>
      <c r="F948" s="1" t="s">
        <v>1491</v>
      </c>
      <c r="G948" s="1" t="s">
        <v>234</v>
      </c>
      <c r="H948" s="1" t="s">
        <v>69</v>
      </c>
      <c r="I948" s="1">
        <v>108000</v>
      </c>
      <c r="J948" s="45">
        <v>107946</v>
      </c>
      <c r="K948" s="1" t="str">
        <f>TRIM(Cleaned_CRM_Data!H948)</f>
        <v>Follow up</v>
      </c>
      <c r="L948" t="str">
        <f>IFERROR(VLOOKUP(K948, Status_Mapping!A:B, 2,), "Not Found")</f>
        <v>Follow Up</v>
      </c>
      <c r="N948" s="29" t="str">
        <f>IF(M948="","",M948-B948)</f>
        <v/>
      </c>
      <c r="O948" s="1" t="str">
        <f t="shared" si="79"/>
        <v>Starter</v>
      </c>
      <c r="P948" t="str">
        <f>TEXT(B948, "mmmm")</f>
        <v>October</v>
      </c>
      <c r="Q948" t="str">
        <f t="shared" si="80"/>
        <v>Q4</v>
      </c>
      <c r="R948" t="str">
        <f>IFERROR(VLOOKUP(TRIM(CLEAN(G948)),Sheet14!$A$2:$B$19,2,FALSE),"Not Mapped")</f>
        <v>North</v>
      </c>
    </row>
    <row r="949" spans="1:18">
      <c r="A949" t="str">
        <f t="shared" si="78"/>
        <v>EOS0948</v>
      </c>
      <c r="B949" s="35">
        <v>45957</v>
      </c>
      <c r="C949" s="4" t="s">
        <v>267</v>
      </c>
      <c r="D949" s="1" t="str">
        <f t="shared" si="81"/>
        <v>FB</v>
      </c>
      <c r="E949" s="5" t="s">
        <v>1492</v>
      </c>
      <c r="F949" s="1" t="s">
        <v>300</v>
      </c>
      <c r="G949" s="1" t="s">
        <v>224</v>
      </c>
      <c r="H949" s="1" t="s">
        <v>69</v>
      </c>
      <c r="I949" s="1">
        <v>130000</v>
      </c>
      <c r="J949" s="45">
        <v>107947</v>
      </c>
      <c r="K949" s="1" t="str">
        <f>TRIM(Cleaned_CRM_Data!H949)</f>
        <v>Follow up</v>
      </c>
      <c r="L949" t="str">
        <f>IFERROR(VLOOKUP(K949, Status_Mapping!A:B, 2,), "Not Found")</f>
        <v>Follow Up</v>
      </c>
      <c r="N949" s="29" t="str">
        <f>IF(M949="","",M949-B949)</f>
        <v/>
      </c>
      <c r="O949" s="1" t="str">
        <f t="shared" si="79"/>
        <v>Starter</v>
      </c>
      <c r="P949" t="str">
        <f>TEXT(B949, "mmmm")</f>
        <v>October</v>
      </c>
      <c r="Q949" t="str">
        <f t="shared" si="80"/>
        <v>Q4</v>
      </c>
      <c r="R949" t="str">
        <f>IFERROR(VLOOKUP(TRIM(CLEAN(G949)),Sheet14!$A$2:$B$19,2,FALSE),"Not Mapped")</f>
        <v>West</v>
      </c>
    </row>
    <row r="950" spans="1:18">
      <c r="A950" t="str">
        <f t="shared" si="78"/>
        <v>EOS0949</v>
      </c>
      <c r="B950" s="35">
        <v>45957</v>
      </c>
      <c r="C950" s="4" t="s">
        <v>267</v>
      </c>
      <c r="D950" s="1" t="str">
        <f t="shared" si="81"/>
        <v>FB</v>
      </c>
      <c r="E950" s="5" t="s">
        <v>1493</v>
      </c>
      <c r="F950" s="1" t="s">
        <v>1494</v>
      </c>
      <c r="G950" s="1" t="s">
        <v>224</v>
      </c>
      <c r="H950" s="1" t="s">
        <v>69</v>
      </c>
      <c r="I950" s="1">
        <v>130000</v>
      </c>
      <c r="J950" s="45">
        <v>107948</v>
      </c>
      <c r="K950" s="1" t="str">
        <f>TRIM(Cleaned_CRM_Data!H950)</f>
        <v>Follow up</v>
      </c>
      <c r="L950" t="str">
        <f>IFERROR(VLOOKUP(K950, Status_Mapping!A:B, 2,), "Not Found")</f>
        <v>Follow Up</v>
      </c>
      <c r="N950" s="29" t="str">
        <f>IF(M950="","",M950-B950)</f>
        <v/>
      </c>
      <c r="O950" s="1" t="str">
        <f t="shared" si="79"/>
        <v>Starter</v>
      </c>
      <c r="P950" t="str">
        <f>TEXT(B950, "mmmm")</f>
        <v>October</v>
      </c>
      <c r="Q950" t="str">
        <f t="shared" si="80"/>
        <v>Q4</v>
      </c>
      <c r="R950" t="str">
        <f>IFERROR(VLOOKUP(TRIM(CLEAN(G950)),Sheet14!$A$2:$B$19,2,FALSE),"Not Mapped")</f>
        <v>West</v>
      </c>
    </row>
    <row r="951" spans="1:18">
      <c r="A951" t="str">
        <f t="shared" si="78"/>
        <v>EOS0950</v>
      </c>
      <c r="B951" s="35">
        <v>45957</v>
      </c>
      <c r="C951" s="4" t="s">
        <v>267</v>
      </c>
      <c r="D951" s="1" t="str">
        <f t="shared" si="81"/>
        <v>FB</v>
      </c>
      <c r="E951" s="5" t="s">
        <v>1495</v>
      </c>
      <c r="F951" s="1" t="s">
        <v>937</v>
      </c>
      <c r="G951" s="1" t="s">
        <v>235</v>
      </c>
      <c r="H951" s="1" t="s">
        <v>69</v>
      </c>
      <c r="I951" s="1">
        <v>108000</v>
      </c>
      <c r="J951" s="45">
        <v>107949</v>
      </c>
      <c r="K951" s="1" t="str">
        <f>TRIM(Cleaned_CRM_Data!H951)</f>
        <v>Follow up</v>
      </c>
      <c r="L951" t="str">
        <f>IFERROR(VLOOKUP(K951, Status_Mapping!A:B, 2,), "Not Found")</f>
        <v>Follow Up</v>
      </c>
      <c r="N951" s="29" t="str">
        <f>IF(M951="","",M951-B951)</f>
        <v/>
      </c>
      <c r="O951" s="1" t="str">
        <f t="shared" si="79"/>
        <v>Starter</v>
      </c>
      <c r="P951" t="str">
        <f>TEXT(B951, "mmmm")</f>
        <v>October</v>
      </c>
      <c r="Q951" t="str">
        <f t="shared" si="80"/>
        <v>Q4</v>
      </c>
      <c r="R951" t="str">
        <f>IFERROR(VLOOKUP(TRIM(CLEAN(G951)),Sheet14!$A$2:$B$19,2,FALSE),"Not Mapped")</f>
        <v>West</v>
      </c>
    </row>
    <row r="952" spans="1:18">
      <c r="A952" t="str">
        <f t="shared" si="78"/>
        <v>EOS0951</v>
      </c>
      <c r="B952" s="35">
        <v>45957</v>
      </c>
      <c r="C952" s="4" t="s">
        <v>267</v>
      </c>
      <c r="D952" s="1" t="str">
        <f t="shared" si="81"/>
        <v>FB</v>
      </c>
      <c r="E952" s="5" t="s">
        <v>1496</v>
      </c>
      <c r="F952" s="1" t="s">
        <v>292</v>
      </c>
      <c r="G952" s="1" t="s">
        <v>224</v>
      </c>
      <c r="H952" s="1" t="s">
        <v>69</v>
      </c>
      <c r="I952" s="1">
        <v>108000</v>
      </c>
      <c r="J952" s="45">
        <v>107950</v>
      </c>
      <c r="K952" s="1" t="str">
        <f>TRIM(Cleaned_CRM_Data!H952)</f>
        <v>Follow up</v>
      </c>
      <c r="L952" t="str">
        <f>IFERROR(VLOOKUP(K952, Status_Mapping!A:B, 2,), "Not Found")</f>
        <v>Follow Up</v>
      </c>
      <c r="N952" s="29" t="str">
        <f>IF(M952="","",M952-B952)</f>
        <v/>
      </c>
      <c r="O952" s="1" t="str">
        <f t="shared" si="79"/>
        <v>Starter</v>
      </c>
      <c r="P952" t="str">
        <f>TEXT(B952, "mmmm")</f>
        <v>October</v>
      </c>
      <c r="Q952" t="str">
        <f t="shared" si="80"/>
        <v>Q4</v>
      </c>
      <c r="R952" t="str">
        <f>IFERROR(VLOOKUP(TRIM(CLEAN(G952)),Sheet14!$A$2:$B$19,2,FALSE),"Not Mapped")</f>
        <v>West</v>
      </c>
    </row>
    <row r="953" spans="1:18">
      <c r="A953" t="str">
        <f t="shared" si="78"/>
        <v>EOS0952</v>
      </c>
      <c r="B953" s="35">
        <v>45957</v>
      </c>
      <c r="C953" s="4" t="s">
        <v>267</v>
      </c>
      <c r="D953" s="1" t="str">
        <f t="shared" si="81"/>
        <v>FB</v>
      </c>
      <c r="E953" s="5" t="s">
        <v>1497</v>
      </c>
      <c r="F953" s="1" t="s">
        <v>860</v>
      </c>
      <c r="G953" s="1" t="s">
        <v>224</v>
      </c>
      <c r="H953" s="1" t="s">
        <v>69</v>
      </c>
      <c r="I953" s="1">
        <v>130000</v>
      </c>
      <c r="J953" s="45">
        <v>107951</v>
      </c>
      <c r="K953" s="1" t="str">
        <f>TRIM(Cleaned_CRM_Data!H953)</f>
        <v>Follow up</v>
      </c>
      <c r="L953" t="str">
        <f>IFERROR(VLOOKUP(K953, Status_Mapping!A:B, 2,), "Not Found")</f>
        <v>Follow Up</v>
      </c>
      <c r="N953" s="29" t="str">
        <f>IF(M953="","",M953-B953)</f>
        <v/>
      </c>
      <c r="O953" s="1" t="str">
        <f t="shared" si="79"/>
        <v>Starter</v>
      </c>
      <c r="P953" t="str">
        <f>TEXT(B953, "mmmm")</f>
        <v>October</v>
      </c>
      <c r="Q953" t="str">
        <f t="shared" si="80"/>
        <v>Q4</v>
      </c>
      <c r="R953" t="str">
        <f>IFERROR(VLOOKUP(TRIM(CLEAN(G953)),Sheet14!$A$2:$B$19,2,FALSE),"Not Mapped")</f>
        <v>West</v>
      </c>
    </row>
    <row r="954" spans="1:18">
      <c r="A954" t="str">
        <f t="shared" si="78"/>
        <v>EOS0953</v>
      </c>
      <c r="B954" s="35">
        <v>45957</v>
      </c>
      <c r="C954" s="4" t="s">
        <v>267</v>
      </c>
      <c r="D954" s="1" t="str">
        <f t="shared" si="81"/>
        <v>FB</v>
      </c>
      <c r="E954" s="5" t="s">
        <v>1498</v>
      </c>
      <c r="F954" s="1" t="s">
        <v>271</v>
      </c>
      <c r="G954" s="1" t="s">
        <v>224</v>
      </c>
      <c r="H954" s="1" t="s">
        <v>69</v>
      </c>
      <c r="I954" s="1">
        <v>177000</v>
      </c>
      <c r="J954" s="45">
        <v>107952</v>
      </c>
      <c r="K954" s="1" t="str">
        <f>TRIM(Cleaned_CRM_Data!H954)</f>
        <v>Follow up</v>
      </c>
      <c r="L954" t="str">
        <f>IFERROR(VLOOKUP(K954, Status_Mapping!A:B, 2,), "Not Found")</f>
        <v>Follow Up</v>
      </c>
      <c r="N954" s="29" t="str">
        <f>IF(M954="","",M954-B954)</f>
        <v/>
      </c>
      <c r="O954" s="1" t="str">
        <f t="shared" si="79"/>
        <v>Growth</v>
      </c>
      <c r="P954" t="str">
        <f>TEXT(B954, "mmmm")</f>
        <v>October</v>
      </c>
      <c r="Q954" t="str">
        <f t="shared" si="80"/>
        <v>Q4</v>
      </c>
      <c r="R954" t="str">
        <f>IFERROR(VLOOKUP(TRIM(CLEAN(G954)),Sheet14!$A$2:$B$19,2,FALSE),"Not Mapped")</f>
        <v>West</v>
      </c>
    </row>
    <row r="955" spans="1:18">
      <c r="A955" t="str">
        <f t="shared" si="78"/>
        <v>EOS0954</v>
      </c>
      <c r="B955" s="35">
        <v>45957</v>
      </c>
      <c r="C955" s="1" t="s">
        <v>267</v>
      </c>
      <c r="D955" s="1" t="str">
        <f t="shared" si="81"/>
        <v>FB</v>
      </c>
      <c r="E955" s="5" t="s">
        <v>1499</v>
      </c>
      <c r="F955" s="1" t="s">
        <v>601</v>
      </c>
      <c r="G955" s="1" t="s">
        <v>223</v>
      </c>
      <c r="H955" s="1" t="s">
        <v>149</v>
      </c>
      <c r="I955" s="1">
        <v>130000</v>
      </c>
      <c r="J955" s="45">
        <v>107953</v>
      </c>
      <c r="K955" s="1" t="str">
        <f>TRIM(Cleaned_CRM_Data!H955)</f>
        <v>Rejected</v>
      </c>
      <c r="L955" t="str">
        <f>IFERROR(VLOOKUP(K955, Status_Mapping!A:B, 2,), "Not Found")</f>
        <v>Rejected</v>
      </c>
      <c r="N955" s="29" t="str">
        <f>IF(M955="","",M955-B955)</f>
        <v/>
      </c>
      <c r="O955" s="1" t="str">
        <f t="shared" si="79"/>
        <v>Starter</v>
      </c>
      <c r="P955" t="str">
        <f>TEXT(B955, "mmmm")</f>
        <v>October</v>
      </c>
      <c r="Q955" t="str">
        <f t="shared" si="80"/>
        <v>Q4</v>
      </c>
      <c r="R955" t="str">
        <f>IFERROR(VLOOKUP(TRIM(CLEAN(G955)),Sheet14!$A$2:$B$19,2,FALSE),"Not Mapped")</f>
        <v>West</v>
      </c>
    </row>
    <row r="956" spans="1:18">
      <c r="A956" t="str">
        <f t="shared" si="78"/>
        <v>EOS0955</v>
      </c>
      <c r="B956" s="35">
        <v>45957</v>
      </c>
      <c r="C956" s="1" t="s">
        <v>911</v>
      </c>
      <c r="D956" s="1"/>
      <c r="E956" s="5" t="s">
        <v>1500</v>
      </c>
      <c r="F956" s="1" t="s">
        <v>1501</v>
      </c>
      <c r="G956" s="1" t="s">
        <v>223</v>
      </c>
      <c r="H956" s="1" t="s">
        <v>149</v>
      </c>
      <c r="I956" s="1">
        <v>108000</v>
      </c>
      <c r="J956" s="45">
        <v>107954</v>
      </c>
      <c r="K956" s="1" t="str">
        <f>TRIM(Cleaned_CRM_Data!H956)</f>
        <v>Rejected</v>
      </c>
      <c r="L956" t="str">
        <f>IFERROR(VLOOKUP(K956, Status_Mapping!A:B, 2,), "Not Found")</f>
        <v>Rejected</v>
      </c>
      <c r="N956" s="29" t="str">
        <f>IF(M956="","",M956-B956)</f>
        <v/>
      </c>
      <c r="O956" s="1" t="str">
        <f t="shared" si="79"/>
        <v>Starter</v>
      </c>
      <c r="P956" t="str">
        <f>TEXT(B956, "mmmm")</f>
        <v>October</v>
      </c>
      <c r="Q956" t="str">
        <f t="shared" si="80"/>
        <v>Q4</v>
      </c>
      <c r="R956" t="str">
        <f>IFERROR(VLOOKUP(TRIM(CLEAN(G956)),Sheet14!$A$2:$B$19,2,FALSE),"Not Mapped")</f>
        <v>West</v>
      </c>
    </row>
    <row r="957" spans="1:18">
      <c r="A957" t="str">
        <f t="shared" si="78"/>
        <v>EOS0956</v>
      </c>
      <c r="B957" s="35">
        <v>45957</v>
      </c>
      <c r="C957" s="4" t="s">
        <v>267</v>
      </c>
      <c r="D957" s="1" t="str">
        <f t="shared" ref="D957:D969" si="82">TRIM(CLEAN(SUBSTITUTE(C957,CHAR(160),"")))</f>
        <v>FB</v>
      </c>
      <c r="E957" s="5" t="s">
        <v>1502</v>
      </c>
      <c r="F957" s="1" t="s">
        <v>1503</v>
      </c>
      <c r="G957" s="1" t="s">
        <v>224</v>
      </c>
      <c r="H957" s="1" t="s">
        <v>69</v>
      </c>
      <c r="I957" s="1">
        <v>130000</v>
      </c>
      <c r="J957" s="45">
        <v>107955</v>
      </c>
      <c r="K957" s="1" t="str">
        <f>TRIM(Cleaned_CRM_Data!H957)</f>
        <v>Follow up</v>
      </c>
      <c r="L957" t="str">
        <f>IFERROR(VLOOKUP(K957, Status_Mapping!A:B, 2,), "Not Found")</f>
        <v>Follow Up</v>
      </c>
      <c r="N957" s="29" t="str">
        <f>IF(M957="","",M957-B957)</f>
        <v/>
      </c>
      <c r="O957" s="1" t="str">
        <f t="shared" si="79"/>
        <v>Starter</v>
      </c>
      <c r="P957" t="str">
        <f>TEXT(B957, "mmmm")</f>
        <v>October</v>
      </c>
      <c r="Q957" t="str">
        <f t="shared" si="80"/>
        <v>Q4</v>
      </c>
      <c r="R957" t="str">
        <f>IFERROR(VLOOKUP(TRIM(CLEAN(G957)),Sheet14!$A$2:$B$19,2,FALSE),"Not Mapped")</f>
        <v>West</v>
      </c>
    </row>
    <row r="958" spans="1:18">
      <c r="A958" t="str">
        <f t="shared" si="78"/>
        <v>EOS0957</v>
      </c>
      <c r="B958" s="35">
        <v>45958</v>
      </c>
      <c r="C958" s="1" t="s">
        <v>267</v>
      </c>
      <c r="D958" s="1" t="str">
        <f t="shared" si="82"/>
        <v>FB</v>
      </c>
      <c r="E958" s="5" t="s">
        <v>1504</v>
      </c>
      <c r="F958" s="1" t="s">
        <v>1505</v>
      </c>
      <c r="G958" s="1" t="s">
        <v>223</v>
      </c>
      <c r="H958" s="1" t="s">
        <v>149</v>
      </c>
      <c r="I958" s="1">
        <v>108000</v>
      </c>
      <c r="J958" s="45">
        <v>107956</v>
      </c>
      <c r="K958" s="1" t="str">
        <f>TRIM(Cleaned_CRM_Data!H958)</f>
        <v>Rejected</v>
      </c>
      <c r="L958" t="str">
        <f>IFERROR(VLOOKUP(K958, Status_Mapping!A:B, 2,), "Not Found")</f>
        <v>Rejected</v>
      </c>
      <c r="N958" s="29" t="str">
        <f>IF(M958="","",M958-B958)</f>
        <v/>
      </c>
      <c r="O958" s="1" t="str">
        <f t="shared" si="79"/>
        <v>Starter</v>
      </c>
      <c r="P958" t="str">
        <f>TEXT(B958, "mmmm")</f>
        <v>October</v>
      </c>
      <c r="Q958" t="str">
        <f t="shared" si="80"/>
        <v>Q4</v>
      </c>
      <c r="R958" t="str">
        <f>IFERROR(VLOOKUP(TRIM(CLEAN(G958)),Sheet14!$A$2:$B$19,2,FALSE),"Not Mapped")</f>
        <v>West</v>
      </c>
    </row>
    <row r="959" spans="1:18">
      <c r="A959" t="str">
        <f t="shared" si="78"/>
        <v>EOS0958</v>
      </c>
      <c r="B959" s="35">
        <v>45958</v>
      </c>
      <c r="C959" s="4" t="s">
        <v>267</v>
      </c>
      <c r="D959" s="1" t="str">
        <f t="shared" si="82"/>
        <v>FB</v>
      </c>
      <c r="E959" s="5" t="s">
        <v>1506</v>
      </c>
      <c r="F959" s="1" t="s">
        <v>304</v>
      </c>
      <c r="G959" s="1" t="s">
        <v>224</v>
      </c>
      <c r="H959" s="1" t="s">
        <v>69</v>
      </c>
      <c r="I959" s="1">
        <v>177000</v>
      </c>
      <c r="J959" s="45">
        <v>107957</v>
      </c>
      <c r="K959" s="1" t="str">
        <f>TRIM(Cleaned_CRM_Data!H959)</f>
        <v>Follow up</v>
      </c>
      <c r="L959" t="str">
        <f>IFERROR(VLOOKUP(K959, Status_Mapping!A:B, 2,), "Not Found")</f>
        <v>Follow Up</v>
      </c>
      <c r="N959" s="29" t="str">
        <f>IF(M959="","",M959-B959)</f>
        <v/>
      </c>
      <c r="O959" s="1" t="str">
        <f t="shared" si="79"/>
        <v>Growth</v>
      </c>
      <c r="P959" t="str">
        <f>TEXT(B959, "mmmm")</f>
        <v>October</v>
      </c>
      <c r="Q959" t="str">
        <f t="shared" si="80"/>
        <v>Q4</v>
      </c>
      <c r="R959" t="str">
        <f>IFERROR(VLOOKUP(TRIM(CLEAN(G959)),Sheet14!$A$2:$B$19,2,FALSE),"Not Mapped")</f>
        <v>West</v>
      </c>
    </row>
    <row r="960" spans="1:18">
      <c r="A960" t="str">
        <f t="shared" si="78"/>
        <v>EOS0959</v>
      </c>
      <c r="B960" s="35">
        <v>45958</v>
      </c>
      <c r="C960" s="4" t="s">
        <v>267</v>
      </c>
      <c r="D960" s="1" t="str">
        <f t="shared" si="82"/>
        <v>FB</v>
      </c>
      <c r="E960" s="5" t="s">
        <v>1507</v>
      </c>
      <c r="F960" s="7" t="s">
        <v>1508</v>
      </c>
      <c r="G960" s="1" t="s">
        <v>1210</v>
      </c>
      <c r="H960" s="1" t="s">
        <v>69</v>
      </c>
      <c r="I960" s="1">
        <v>177000</v>
      </c>
      <c r="J960" s="45">
        <v>107958</v>
      </c>
      <c r="K960" s="1" t="str">
        <f>TRIM(Cleaned_CRM_Data!H960)</f>
        <v>Follow up</v>
      </c>
      <c r="L960" t="str">
        <f>IFERROR(VLOOKUP(K960, Status_Mapping!A:B, 2,), "Not Found")</f>
        <v>Follow Up</v>
      </c>
      <c r="N960" s="29" t="str">
        <f>IF(M960="","",M960-B960)</f>
        <v/>
      </c>
      <c r="O960" s="1" t="str">
        <f t="shared" si="79"/>
        <v>Growth</v>
      </c>
      <c r="P960" t="str">
        <f>TEXT(B960, "mmmm")</f>
        <v>October</v>
      </c>
      <c r="Q960" t="str">
        <f t="shared" si="80"/>
        <v>Q4</v>
      </c>
      <c r="R960" t="str">
        <f>IFERROR(VLOOKUP(TRIM(CLEAN(G960)),Sheet14!$A$2:$B$19,2,FALSE),"Not Mapped")</f>
        <v>North</v>
      </c>
    </row>
    <row r="961" spans="1:18">
      <c r="A961" t="str">
        <f t="shared" si="78"/>
        <v>EOS0960</v>
      </c>
      <c r="B961" s="35">
        <v>45958</v>
      </c>
      <c r="C961" s="4" t="s">
        <v>267</v>
      </c>
      <c r="D961" s="1" t="str">
        <f t="shared" si="82"/>
        <v>FB</v>
      </c>
      <c r="E961" s="5" t="s">
        <v>1509</v>
      </c>
      <c r="F961" s="1"/>
      <c r="G961" s="1" t="s">
        <v>224</v>
      </c>
      <c r="H961" s="1" t="s">
        <v>69</v>
      </c>
      <c r="I961" s="1">
        <v>177000</v>
      </c>
      <c r="J961" s="45">
        <v>107959</v>
      </c>
      <c r="K961" s="1" t="str">
        <f>TRIM(Cleaned_CRM_Data!H961)</f>
        <v>Follow up</v>
      </c>
      <c r="L961" t="str">
        <f>IFERROR(VLOOKUP(K961, Status_Mapping!A:B, 2,), "Not Found")</f>
        <v>Follow Up</v>
      </c>
      <c r="N961" s="29" t="str">
        <f>IF(M961="","",M961-B961)</f>
        <v/>
      </c>
      <c r="O961" s="1" t="str">
        <f t="shared" si="79"/>
        <v>Growth</v>
      </c>
      <c r="P961" t="str">
        <f>TEXT(B961, "mmmm")</f>
        <v>October</v>
      </c>
      <c r="Q961" t="str">
        <f t="shared" si="80"/>
        <v>Q4</v>
      </c>
      <c r="R961" t="str">
        <f>IFERROR(VLOOKUP(TRIM(CLEAN(G961)),Sheet14!$A$2:$B$19,2,FALSE),"Not Mapped")</f>
        <v>West</v>
      </c>
    </row>
    <row r="962" spans="1:18">
      <c r="A962" t="str">
        <f t="shared" si="78"/>
        <v>EOS0961</v>
      </c>
      <c r="B962" s="35">
        <v>45959</v>
      </c>
      <c r="C962" s="4" t="s">
        <v>267</v>
      </c>
      <c r="D962" s="1" t="str">
        <f t="shared" si="82"/>
        <v>FB</v>
      </c>
      <c r="E962" s="5" t="s">
        <v>1510</v>
      </c>
      <c r="F962" s="1" t="s">
        <v>275</v>
      </c>
      <c r="G962" s="1" t="s">
        <v>224</v>
      </c>
      <c r="H962" s="1" t="s">
        <v>69</v>
      </c>
      <c r="I962" s="1">
        <v>108000</v>
      </c>
      <c r="J962" s="45">
        <v>107960</v>
      </c>
      <c r="K962" s="1" t="str">
        <f>TRIM(Cleaned_CRM_Data!H962)</f>
        <v>Follow up</v>
      </c>
      <c r="L962" t="str">
        <f>IFERROR(VLOOKUP(K962, Status_Mapping!A:B, 2,), "Not Found")</f>
        <v>Follow Up</v>
      </c>
      <c r="N962" s="29" t="str">
        <f>IF(M962="","",M962-B962)</f>
        <v/>
      </c>
      <c r="O962" s="1" t="str">
        <f t="shared" si="79"/>
        <v>Starter</v>
      </c>
      <c r="P962" t="str">
        <f>TEXT(B962, "mmmm")</f>
        <v>October</v>
      </c>
      <c r="Q962" t="str">
        <f t="shared" si="80"/>
        <v>Q4</v>
      </c>
      <c r="R962" t="str">
        <f>IFERROR(VLOOKUP(TRIM(CLEAN(G962)),Sheet14!$A$2:$B$19,2,FALSE),"Not Mapped")</f>
        <v>West</v>
      </c>
    </row>
    <row r="963" spans="1:18">
      <c r="A963" t="str">
        <f t="shared" ref="A963:A1026" si="83">"EOS"&amp;TEXT(ROW()-1,"0000")</f>
        <v>EOS0962</v>
      </c>
      <c r="B963" s="35">
        <v>45959</v>
      </c>
      <c r="C963" s="4" t="s">
        <v>267</v>
      </c>
      <c r="D963" s="1" t="str">
        <f t="shared" si="82"/>
        <v>FB</v>
      </c>
      <c r="E963" s="5" t="s">
        <v>1511</v>
      </c>
      <c r="F963" s="1" t="s">
        <v>275</v>
      </c>
      <c r="G963" s="1" t="s">
        <v>224</v>
      </c>
      <c r="H963" s="1" t="s">
        <v>69</v>
      </c>
      <c r="I963" s="1">
        <v>130000</v>
      </c>
      <c r="J963" s="45">
        <v>107961</v>
      </c>
      <c r="K963" s="1" t="str">
        <f>TRIM(Cleaned_CRM_Data!H963)</f>
        <v>Follow up</v>
      </c>
      <c r="L963" t="str">
        <f>IFERROR(VLOOKUP(K963, Status_Mapping!A:B, 2,), "Not Found")</f>
        <v>Follow Up</v>
      </c>
      <c r="N963" s="29" t="str">
        <f>IF(M963="","",M963-B963)</f>
        <v/>
      </c>
      <c r="O963" s="1" t="str">
        <f t="shared" ref="O963:O1026" si="84">IF(OR(I963=108000,I963=130000),"Starter",IF(I963=177000,"Growth","Premium"))</f>
        <v>Starter</v>
      </c>
      <c r="P963" t="str">
        <f>TEXT(B963, "mmmm")</f>
        <v>October</v>
      </c>
      <c r="Q963" t="str">
        <f t="shared" ref="Q963:Q1026" si="85">"Q"&amp;ROUNDUP(MONTH(B963)/3,0)</f>
        <v>Q4</v>
      </c>
      <c r="R963" t="str">
        <f>IFERROR(VLOOKUP(TRIM(CLEAN(G963)),Sheet14!$A$2:$B$19,2,FALSE),"Not Mapped")</f>
        <v>West</v>
      </c>
    </row>
    <row r="964" spans="1:18">
      <c r="A964" t="str">
        <f t="shared" si="83"/>
        <v>EOS0963</v>
      </c>
      <c r="B964" s="35">
        <v>45961</v>
      </c>
      <c r="C964" s="4" t="s">
        <v>267</v>
      </c>
      <c r="D964" s="1" t="str">
        <f t="shared" si="82"/>
        <v>FB</v>
      </c>
      <c r="E964" s="5" t="s">
        <v>1512</v>
      </c>
      <c r="F964" s="1"/>
      <c r="G964" s="1" t="s">
        <v>224</v>
      </c>
      <c r="H964" s="1" t="s">
        <v>69</v>
      </c>
      <c r="I964" s="1">
        <v>130000</v>
      </c>
      <c r="J964" s="45">
        <v>107962</v>
      </c>
      <c r="K964" s="1" t="str">
        <f>TRIM(Cleaned_CRM_Data!H964)</f>
        <v>Follow up</v>
      </c>
      <c r="L964" t="str">
        <f>IFERROR(VLOOKUP(K964, Status_Mapping!A:B, 2,), "Not Found")</f>
        <v>Follow Up</v>
      </c>
      <c r="N964" s="29" t="str">
        <f>IF(M964="","",M964-B964)</f>
        <v/>
      </c>
      <c r="O964" s="1" t="str">
        <f t="shared" si="84"/>
        <v>Starter</v>
      </c>
      <c r="P964" t="str">
        <f>TEXT(B964, "mmmm")</f>
        <v>October</v>
      </c>
      <c r="Q964" t="str">
        <f t="shared" si="85"/>
        <v>Q4</v>
      </c>
      <c r="R964" t="str">
        <f>IFERROR(VLOOKUP(TRIM(CLEAN(G964)),Sheet14!$A$2:$B$19,2,FALSE),"Not Mapped")</f>
        <v>West</v>
      </c>
    </row>
    <row r="965" spans="1:18">
      <c r="A965" t="str">
        <f t="shared" si="83"/>
        <v>EOS0964</v>
      </c>
      <c r="B965" s="35">
        <v>45961</v>
      </c>
      <c r="C965" s="4" t="s">
        <v>267</v>
      </c>
      <c r="D965" s="1" t="str">
        <f t="shared" si="82"/>
        <v>FB</v>
      </c>
      <c r="E965" s="5" t="s">
        <v>1513</v>
      </c>
      <c r="F965" s="1" t="s">
        <v>1514</v>
      </c>
      <c r="G965" s="1" t="s">
        <v>1210</v>
      </c>
      <c r="H965" s="1" t="s">
        <v>69</v>
      </c>
      <c r="I965" s="1">
        <v>177000</v>
      </c>
      <c r="J965" s="45">
        <v>107963</v>
      </c>
      <c r="K965" s="1" t="str">
        <f>TRIM(Cleaned_CRM_Data!H965)</f>
        <v>Follow up</v>
      </c>
      <c r="L965" t="str">
        <f>IFERROR(VLOOKUP(K965, Status_Mapping!A:B, 2,), "Not Found")</f>
        <v>Follow Up</v>
      </c>
      <c r="N965" s="29" t="str">
        <f>IF(M965="","",M965-B965)</f>
        <v/>
      </c>
      <c r="O965" s="1" t="str">
        <f t="shared" si="84"/>
        <v>Growth</v>
      </c>
      <c r="P965" t="str">
        <f>TEXT(B965, "mmmm")</f>
        <v>October</v>
      </c>
      <c r="Q965" t="str">
        <f t="shared" si="85"/>
        <v>Q4</v>
      </c>
      <c r="R965" t="str">
        <f>IFERROR(VLOOKUP(TRIM(CLEAN(G965)),Sheet14!$A$2:$B$19,2,FALSE),"Not Mapped")</f>
        <v>North</v>
      </c>
    </row>
    <row r="966" spans="1:18">
      <c r="A966" t="str">
        <f t="shared" si="83"/>
        <v>EOS0965</v>
      </c>
      <c r="B966" s="35">
        <v>45961</v>
      </c>
      <c r="C966" s="4" t="s">
        <v>267</v>
      </c>
      <c r="D966" s="1" t="str">
        <f t="shared" si="82"/>
        <v>FB</v>
      </c>
      <c r="E966" s="5" t="s">
        <v>1515</v>
      </c>
      <c r="F966" s="1" t="s">
        <v>300</v>
      </c>
      <c r="G966" s="1" t="s">
        <v>224</v>
      </c>
      <c r="H966" s="1" t="s">
        <v>69</v>
      </c>
      <c r="I966" s="1">
        <v>130000</v>
      </c>
      <c r="J966" s="45">
        <v>107964</v>
      </c>
      <c r="K966" s="1" t="str">
        <f>TRIM(Cleaned_CRM_Data!H966)</f>
        <v>Follow up</v>
      </c>
      <c r="L966" t="str">
        <f>IFERROR(VLOOKUP(K966, Status_Mapping!A:B, 2,), "Not Found")</f>
        <v>Follow Up</v>
      </c>
      <c r="N966" s="29" t="str">
        <f>IF(M966="","",M966-B966)</f>
        <v/>
      </c>
      <c r="O966" s="1" t="str">
        <f t="shared" si="84"/>
        <v>Starter</v>
      </c>
      <c r="P966" t="str">
        <f>TEXT(B966, "mmmm")</f>
        <v>October</v>
      </c>
      <c r="Q966" t="str">
        <f t="shared" si="85"/>
        <v>Q4</v>
      </c>
      <c r="R966" t="str">
        <f>IFERROR(VLOOKUP(TRIM(CLEAN(G966)),Sheet14!$A$2:$B$19,2,FALSE),"Not Mapped")</f>
        <v>West</v>
      </c>
    </row>
    <row r="967" spans="1:18">
      <c r="A967" t="str">
        <f t="shared" si="83"/>
        <v>EOS0966</v>
      </c>
      <c r="B967" s="35">
        <v>45962</v>
      </c>
      <c r="C967" s="4" t="s">
        <v>267</v>
      </c>
      <c r="D967" s="1" t="str">
        <f t="shared" si="82"/>
        <v>FB</v>
      </c>
      <c r="E967" s="5" t="s">
        <v>1516</v>
      </c>
      <c r="F967" s="1" t="s">
        <v>412</v>
      </c>
      <c r="G967" s="1" t="s">
        <v>224</v>
      </c>
      <c r="H967" s="1" t="s">
        <v>69</v>
      </c>
      <c r="I967" s="1">
        <v>130000</v>
      </c>
      <c r="J967" s="45">
        <v>107965</v>
      </c>
      <c r="K967" s="1" t="str">
        <f>TRIM(Cleaned_CRM_Data!H967)</f>
        <v>Follow up</v>
      </c>
      <c r="L967" t="str">
        <f>IFERROR(VLOOKUP(K967, Status_Mapping!A:B, 2,), "Not Found")</f>
        <v>Follow Up</v>
      </c>
      <c r="N967" s="29" t="str">
        <f>IF(M967="","",M967-B967)</f>
        <v/>
      </c>
      <c r="O967" s="1" t="str">
        <f t="shared" si="84"/>
        <v>Starter</v>
      </c>
      <c r="P967" t="str">
        <f>TEXT(B967, "mmmm")</f>
        <v>November</v>
      </c>
      <c r="Q967" t="str">
        <f t="shared" si="85"/>
        <v>Q4</v>
      </c>
      <c r="R967" t="str">
        <f>IFERROR(VLOOKUP(TRIM(CLEAN(G967)),Sheet14!$A$2:$B$19,2,FALSE),"Not Mapped")</f>
        <v>West</v>
      </c>
    </row>
    <row r="968" spans="1:18">
      <c r="A968" t="str">
        <f t="shared" si="83"/>
        <v>EOS0967</v>
      </c>
      <c r="B968" s="35">
        <v>45962</v>
      </c>
      <c r="C968" s="4" t="s">
        <v>267</v>
      </c>
      <c r="D968" s="1" t="str">
        <f t="shared" si="82"/>
        <v>FB</v>
      </c>
      <c r="E968" s="5" t="s">
        <v>1517</v>
      </c>
      <c r="F968" s="1"/>
      <c r="G968" s="1" t="s">
        <v>224</v>
      </c>
      <c r="H968" s="1" t="s">
        <v>69</v>
      </c>
      <c r="I968" s="1">
        <v>130000</v>
      </c>
      <c r="J968" s="45">
        <v>107966</v>
      </c>
      <c r="K968" s="1" t="str">
        <f>TRIM(Cleaned_CRM_Data!H968)</f>
        <v>Follow up</v>
      </c>
      <c r="L968" t="str">
        <f>IFERROR(VLOOKUP(K968, Status_Mapping!A:B, 2,), "Not Found")</f>
        <v>Follow Up</v>
      </c>
      <c r="N968" s="29" t="str">
        <f>IF(M968="","",M968-B968)</f>
        <v/>
      </c>
      <c r="O968" s="1" t="str">
        <f t="shared" si="84"/>
        <v>Starter</v>
      </c>
      <c r="P968" t="str">
        <f>TEXT(B968, "mmmm")</f>
        <v>November</v>
      </c>
      <c r="Q968" t="str">
        <f t="shared" si="85"/>
        <v>Q4</v>
      </c>
      <c r="R968" t="str">
        <f>IFERROR(VLOOKUP(TRIM(CLEAN(G968)),Sheet14!$A$2:$B$19,2,FALSE),"Not Mapped")</f>
        <v>West</v>
      </c>
    </row>
    <row r="969" spans="1:18">
      <c r="A969" t="str">
        <f t="shared" si="83"/>
        <v>EOS0968</v>
      </c>
      <c r="B969" s="35">
        <v>45964</v>
      </c>
      <c r="C969" s="4" t="s">
        <v>267</v>
      </c>
      <c r="D969" s="1" t="str">
        <f t="shared" si="82"/>
        <v>FB</v>
      </c>
      <c r="E969" s="5" t="s">
        <v>1518</v>
      </c>
      <c r="F969" s="1" t="s">
        <v>358</v>
      </c>
      <c r="G969" s="1" t="s">
        <v>224</v>
      </c>
      <c r="H969" s="1" t="s">
        <v>69</v>
      </c>
      <c r="I969" s="1">
        <v>130000</v>
      </c>
      <c r="J969" s="45">
        <v>107967</v>
      </c>
      <c r="K969" s="1" t="str">
        <f>TRIM(Cleaned_CRM_Data!H969)</f>
        <v>Follow up</v>
      </c>
      <c r="L969" t="str">
        <f>IFERROR(VLOOKUP(K969, Status_Mapping!A:B, 2,), "Not Found")</f>
        <v>Follow Up</v>
      </c>
      <c r="N969" s="29" t="str">
        <f>IF(M969="","",M969-B969)</f>
        <v/>
      </c>
      <c r="O969" s="1" t="str">
        <f t="shared" si="84"/>
        <v>Starter</v>
      </c>
      <c r="P969" t="str">
        <f>TEXT(B969, "mmmm")</f>
        <v>November</v>
      </c>
      <c r="Q969" t="str">
        <f t="shared" si="85"/>
        <v>Q4</v>
      </c>
      <c r="R969" t="str">
        <f>IFERROR(VLOOKUP(TRIM(CLEAN(G969)),Sheet14!$A$2:$B$19,2,FALSE),"Not Mapped")</f>
        <v>West</v>
      </c>
    </row>
    <row r="970" spans="1:18">
      <c r="A970" t="str">
        <f t="shared" si="83"/>
        <v>EOS0969</v>
      </c>
      <c r="B970" s="35">
        <v>45964</v>
      </c>
      <c r="C970" s="1" t="s">
        <v>911</v>
      </c>
      <c r="D970" s="1"/>
      <c r="E970" s="5" t="s">
        <v>1519</v>
      </c>
      <c r="F970" s="1"/>
      <c r="G970" s="1" t="s">
        <v>1195</v>
      </c>
      <c r="H970" s="1" t="s">
        <v>149</v>
      </c>
      <c r="I970" s="1">
        <v>108000</v>
      </c>
      <c r="J970" s="45">
        <v>107968</v>
      </c>
      <c r="K970" s="1" t="str">
        <f>TRIM(Cleaned_CRM_Data!H970)</f>
        <v>Rejected</v>
      </c>
      <c r="L970" t="str">
        <f>IFERROR(VLOOKUP(K970, Status_Mapping!A:B, 2,), "Not Found")</f>
        <v>Rejected</v>
      </c>
      <c r="N970" s="29" t="str">
        <f>IF(M970="","",M970-B970)</f>
        <v/>
      </c>
      <c r="O970" s="1" t="str">
        <f t="shared" si="84"/>
        <v>Starter</v>
      </c>
      <c r="P970" t="str">
        <f>TEXT(B970, "mmmm")</f>
        <v>November</v>
      </c>
      <c r="Q970" t="str">
        <f t="shared" si="85"/>
        <v>Q4</v>
      </c>
      <c r="R970" t="str">
        <f>IFERROR(VLOOKUP(TRIM(CLEAN(G970)),Sheet14!$A$2:$B$19,2,FALSE),"Not Mapped")</f>
        <v>West</v>
      </c>
    </row>
    <row r="971" spans="1:18">
      <c r="A971" t="str">
        <f t="shared" si="83"/>
        <v>EOS0970</v>
      </c>
      <c r="B971" s="35">
        <v>45964</v>
      </c>
      <c r="C971" s="4" t="s">
        <v>267</v>
      </c>
      <c r="D971" s="1" t="str">
        <f t="shared" ref="D971:D1025" si="86">TRIM(CLEAN(SUBSTITUTE(C971,CHAR(160),"")))</f>
        <v>FB</v>
      </c>
      <c r="E971" s="5" t="s">
        <v>1520</v>
      </c>
      <c r="F971" s="1"/>
      <c r="G971" s="1" t="s">
        <v>224</v>
      </c>
      <c r="H971" s="1" t="s">
        <v>69</v>
      </c>
      <c r="I971" s="1">
        <v>130000</v>
      </c>
      <c r="J971" s="45">
        <v>107969</v>
      </c>
      <c r="K971" s="1" t="str">
        <f>TRIM(Cleaned_CRM_Data!H971)</f>
        <v>Follow up</v>
      </c>
      <c r="L971" t="str">
        <f>IFERROR(VLOOKUP(K971, Status_Mapping!A:B, 2,), "Not Found")</f>
        <v>Follow Up</v>
      </c>
      <c r="N971" s="29" t="str">
        <f>IF(M971="","",M971-B971)</f>
        <v/>
      </c>
      <c r="O971" s="1" t="str">
        <f t="shared" si="84"/>
        <v>Starter</v>
      </c>
      <c r="P971" t="str">
        <f>TEXT(B971, "mmmm")</f>
        <v>November</v>
      </c>
      <c r="Q971" t="str">
        <f t="shared" si="85"/>
        <v>Q4</v>
      </c>
      <c r="R971" t="str">
        <f>IFERROR(VLOOKUP(TRIM(CLEAN(G971)),Sheet14!$A$2:$B$19,2,FALSE),"Not Mapped")</f>
        <v>West</v>
      </c>
    </row>
    <row r="972" spans="1:18">
      <c r="A972" t="str">
        <f t="shared" si="83"/>
        <v>EOS0971</v>
      </c>
      <c r="B972" s="35">
        <v>45964</v>
      </c>
      <c r="C972" s="4" t="s">
        <v>267</v>
      </c>
      <c r="D972" s="1" t="str">
        <f t="shared" si="86"/>
        <v>FB</v>
      </c>
      <c r="E972" s="5" t="s">
        <v>1521</v>
      </c>
      <c r="F972" s="1"/>
      <c r="G972" s="1" t="s">
        <v>224</v>
      </c>
      <c r="H972" s="1" t="s">
        <v>69</v>
      </c>
      <c r="I972" s="1">
        <v>130000</v>
      </c>
      <c r="J972" s="45">
        <v>107970</v>
      </c>
      <c r="K972" s="1" t="str">
        <f>TRIM(Cleaned_CRM_Data!H972)</f>
        <v>Follow up</v>
      </c>
      <c r="L972" t="str">
        <f>IFERROR(VLOOKUP(K972, Status_Mapping!A:B, 2,), "Not Found")</f>
        <v>Follow Up</v>
      </c>
      <c r="N972" s="29" t="str">
        <f>IF(M972="","",M972-B972)</f>
        <v/>
      </c>
      <c r="O972" s="1" t="str">
        <f t="shared" si="84"/>
        <v>Starter</v>
      </c>
      <c r="P972" t="str">
        <f>TEXT(B972, "mmmm")</f>
        <v>November</v>
      </c>
      <c r="Q972" t="str">
        <f t="shared" si="85"/>
        <v>Q4</v>
      </c>
      <c r="R972" t="str">
        <f>IFERROR(VLOOKUP(TRIM(CLEAN(G972)),Sheet14!$A$2:$B$19,2,FALSE),"Not Mapped")</f>
        <v>West</v>
      </c>
    </row>
    <row r="973" spans="1:18">
      <c r="A973" t="str">
        <f t="shared" si="83"/>
        <v>EOS0972</v>
      </c>
      <c r="B973" s="35">
        <v>45964</v>
      </c>
      <c r="C973" s="4" t="s">
        <v>267</v>
      </c>
      <c r="D973" s="1" t="str">
        <f t="shared" si="86"/>
        <v>FB</v>
      </c>
      <c r="E973" s="5" t="s">
        <v>1408</v>
      </c>
      <c r="F973" s="1"/>
      <c r="G973" s="1" t="s">
        <v>224</v>
      </c>
      <c r="H973" s="1" t="s">
        <v>69</v>
      </c>
      <c r="I973" s="1">
        <v>108000</v>
      </c>
      <c r="J973" s="45">
        <v>107971</v>
      </c>
      <c r="K973" s="1" t="str">
        <f>TRIM(Cleaned_CRM_Data!H973)</f>
        <v>Follow up</v>
      </c>
      <c r="L973" t="str">
        <f>IFERROR(VLOOKUP(K973, Status_Mapping!A:B, 2,), "Not Found")</f>
        <v>Follow Up</v>
      </c>
      <c r="N973" s="29" t="str">
        <f>IF(M973="","",M973-B973)</f>
        <v/>
      </c>
      <c r="O973" s="1" t="str">
        <f t="shared" si="84"/>
        <v>Starter</v>
      </c>
      <c r="P973" t="str">
        <f>TEXT(B973, "mmmm")</f>
        <v>November</v>
      </c>
      <c r="Q973" t="str">
        <f t="shared" si="85"/>
        <v>Q4</v>
      </c>
      <c r="R973" t="str">
        <f>IFERROR(VLOOKUP(TRIM(CLEAN(G973)),Sheet14!$A$2:$B$19,2,FALSE),"Not Mapped")</f>
        <v>West</v>
      </c>
    </row>
    <row r="974" spans="1:18">
      <c r="A974" t="str">
        <f t="shared" si="83"/>
        <v>EOS0973</v>
      </c>
      <c r="B974" s="35">
        <v>45965</v>
      </c>
      <c r="C974" s="4" t="s">
        <v>267</v>
      </c>
      <c r="D974" s="1" t="str">
        <f t="shared" si="86"/>
        <v>FB</v>
      </c>
      <c r="E974" s="5" t="s">
        <v>1522</v>
      </c>
      <c r="F974" s="1" t="s">
        <v>300</v>
      </c>
      <c r="G974" s="1" t="s">
        <v>224</v>
      </c>
      <c r="H974" s="1" t="s">
        <v>69</v>
      </c>
      <c r="I974" s="1">
        <v>130000</v>
      </c>
      <c r="J974" s="45">
        <v>107972</v>
      </c>
      <c r="K974" s="1" t="str">
        <f>TRIM(Cleaned_CRM_Data!H974)</f>
        <v>Follow up</v>
      </c>
      <c r="L974" t="str">
        <f>IFERROR(VLOOKUP(K974, Status_Mapping!A:B, 2,), "Not Found")</f>
        <v>Follow Up</v>
      </c>
      <c r="N974" s="29" t="str">
        <f>IF(M974="","",M974-B974)</f>
        <v/>
      </c>
      <c r="O974" s="1" t="str">
        <f t="shared" si="84"/>
        <v>Starter</v>
      </c>
      <c r="P974" t="str">
        <f>TEXT(B974, "mmmm")</f>
        <v>November</v>
      </c>
      <c r="Q974" t="str">
        <f t="shared" si="85"/>
        <v>Q4</v>
      </c>
      <c r="R974" t="str">
        <f>IFERROR(VLOOKUP(TRIM(CLEAN(G974)),Sheet14!$A$2:$B$19,2,FALSE),"Not Mapped")</f>
        <v>West</v>
      </c>
    </row>
    <row r="975" spans="1:18">
      <c r="A975" t="str">
        <f t="shared" si="83"/>
        <v>EOS0974</v>
      </c>
      <c r="B975" s="35">
        <v>45965</v>
      </c>
      <c r="C975" s="4" t="s">
        <v>267</v>
      </c>
      <c r="D975" s="1" t="str">
        <f t="shared" si="86"/>
        <v>FB</v>
      </c>
      <c r="E975" s="5" t="s">
        <v>1523</v>
      </c>
      <c r="F975" s="1" t="s">
        <v>271</v>
      </c>
      <c r="G975" s="1" t="s">
        <v>224</v>
      </c>
      <c r="H975" s="1" t="s">
        <v>69</v>
      </c>
      <c r="I975" s="1">
        <v>108000</v>
      </c>
      <c r="J975" s="45">
        <v>107973</v>
      </c>
      <c r="K975" s="1" t="str">
        <f>TRIM(Cleaned_CRM_Data!H975)</f>
        <v>Follow up</v>
      </c>
      <c r="L975" t="str">
        <f>IFERROR(VLOOKUP(K975, Status_Mapping!A:B, 2,), "Not Found")</f>
        <v>Follow Up</v>
      </c>
      <c r="N975" s="29" t="str">
        <f>IF(M975="","",M975-B975)</f>
        <v/>
      </c>
      <c r="O975" s="1" t="str">
        <f t="shared" si="84"/>
        <v>Starter</v>
      </c>
      <c r="P975" t="str">
        <f>TEXT(B975, "mmmm")</f>
        <v>November</v>
      </c>
      <c r="Q975" t="str">
        <f t="shared" si="85"/>
        <v>Q4</v>
      </c>
      <c r="R975" t="str">
        <f>IFERROR(VLOOKUP(TRIM(CLEAN(G975)),Sheet14!$A$2:$B$19,2,FALSE),"Not Mapped")</f>
        <v>West</v>
      </c>
    </row>
    <row r="976" spans="1:18">
      <c r="A976" t="str">
        <f t="shared" si="83"/>
        <v>EOS0975</v>
      </c>
      <c r="B976" s="35">
        <v>45965</v>
      </c>
      <c r="C976" s="1" t="s">
        <v>267</v>
      </c>
      <c r="D976" s="1" t="str">
        <f t="shared" si="86"/>
        <v>FB</v>
      </c>
      <c r="E976" s="5" t="s">
        <v>1524</v>
      </c>
      <c r="F976" s="1"/>
      <c r="G976" s="1" t="s">
        <v>223</v>
      </c>
      <c r="H976" s="1" t="s">
        <v>149</v>
      </c>
      <c r="I976" s="1">
        <v>130000</v>
      </c>
      <c r="J976" s="45">
        <v>107974</v>
      </c>
      <c r="K976" s="1" t="str">
        <f>TRIM(Cleaned_CRM_Data!H976)</f>
        <v>Rejected</v>
      </c>
      <c r="L976" t="str">
        <f>IFERROR(VLOOKUP(K976, Status_Mapping!A:B, 2,), "Not Found")</f>
        <v>Rejected</v>
      </c>
      <c r="N976" s="29" t="str">
        <f>IF(M976="","",M976-B976)</f>
        <v/>
      </c>
      <c r="O976" s="1" t="str">
        <f t="shared" si="84"/>
        <v>Starter</v>
      </c>
      <c r="P976" t="str">
        <f>TEXT(B976, "mmmm")</f>
        <v>November</v>
      </c>
      <c r="Q976" t="str">
        <f t="shared" si="85"/>
        <v>Q4</v>
      </c>
      <c r="R976" t="str">
        <f>IFERROR(VLOOKUP(TRIM(CLEAN(G976)),Sheet14!$A$2:$B$19,2,FALSE),"Not Mapped")</f>
        <v>West</v>
      </c>
    </row>
    <row r="977" spans="1:18">
      <c r="A977" t="str">
        <f t="shared" si="83"/>
        <v>EOS0976</v>
      </c>
      <c r="B977" s="35">
        <v>45966</v>
      </c>
      <c r="C977" s="4" t="s">
        <v>267</v>
      </c>
      <c r="D977" s="1" t="str">
        <f t="shared" si="86"/>
        <v>FB</v>
      </c>
      <c r="E977" s="5" t="s">
        <v>1525</v>
      </c>
      <c r="F977" s="1"/>
      <c r="G977" s="1" t="s">
        <v>224</v>
      </c>
      <c r="H977" s="1" t="s">
        <v>69</v>
      </c>
      <c r="I977" s="1">
        <v>108000</v>
      </c>
      <c r="J977" s="45">
        <v>107975</v>
      </c>
      <c r="K977" s="1" t="str">
        <f>TRIM(Cleaned_CRM_Data!H977)</f>
        <v>Follow up</v>
      </c>
      <c r="L977" t="str">
        <f>IFERROR(VLOOKUP(K977, Status_Mapping!A:B, 2,), "Not Found")</f>
        <v>Follow Up</v>
      </c>
      <c r="N977" s="29" t="str">
        <f>IF(M977="","",M977-B977)</f>
        <v/>
      </c>
      <c r="O977" s="1" t="str">
        <f t="shared" si="84"/>
        <v>Starter</v>
      </c>
      <c r="P977" t="str">
        <f>TEXT(B977, "mmmm")</f>
        <v>November</v>
      </c>
      <c r="Q977" t="str">
        <f t="shared" si="85"/>
        <v>Q4</v>
      </c>
      <c r="R977" t="str">
        <f>IFERROR(VLOOKUP(TRIM(CLEAN(G977)),Sheet14!$A$2:$B$19,2,FALSE),"Not Mapped")</f>
        <v>West</v>
      </c>
    </row>
    <row r="978" spans="1:18">
      <c r="A978" t="str">
        <f t="shared" si="83"/>
        <v>EOS0977</v>
      </c>
      <c r="B978" s="35">
        <v>45966</v>
      </c>
      <c r="C978" s="4" t="s">
        <v>267</v>
      </c>
      <c r="D978" s="1" t="str">
        <f t="shared" si="86"/>
        <v>FB</v>
      </c>
      <c r="E978" s="5" t="s">
        <v>1526</v>
      </c>
      <c r="F978" s="1"/>
      <c r="G978" s="1" t="s">
        <v>223</v>
      </c>
      <c r="H978" s="1" t="s">
        <v>69</v>
      </c>
      <c r="I978" s="1">
        <v>130000</v>
      </c>
      <c r="J978" s="45">
        <v>107976</v>
      </c>
      <c r="K978" s="1" t="str">
        <f>TRIM(Cleaned_CRM_Data!H978)</f>
        <v>Follow up</v>
      </c>
      <c r="L978" t="str">
        <f>IFERROR(VLOOKUP(K978, Status_Mapping!A:B, 2,), "Not Found")</f>
        <v>Follow Up</v>
      </c>
      <c r="N978" s="29" t="str">
        <f>IF(M978="","",M978-B978)</f>
        <v/>
      </c>
      <c r="O978" s="1" t="str">
        <f t="shared" si="84"/>
        <v>Starter</v>
      </c>
      <c r="P978" t="str">
        <f>TEXT(B978, "mmmm")</f>
        <v>November</v>
      </c>
      <c r="Q978" t="str">
        <f t="shared" si="85"/>
        <v>Q4</v>
      </c>
      <c r="R978" t="str">
        <f>IFERROR(VLOOKUP(TRIM(CLEAN(G978)),Sheet14!$A$2:$B$19,2,FALSE),"Not Mapped")</f>
        <v>West</v>
      </c>
    </row>
    <row r="979" spans="1:18">
      <c r="A979" t="str">
        <f t="shared" si="83"/>
        <v>EOS0978</v>
      </c>
      <c r="B979" s="35">
        <v>45966</v>
      </c>
      <c r="C979" s="4" t="s">
        <v>267</v>
      </c>
      <c r="D979" s="1" t="str">
        <f t="shared" si="86"/>
        <v>FB</v>
      </c>
      <c r="E979" s="5" t="s">
        <v>1527</v>
      </c>
      <c r="F979" s="1" t="s">
        <v>860</v>
      </c>
      <c r="G979" s="1" t="s">
        <v>224</v>
      </c>
      <c r="H979" s="1" t="s">
        <v>69</v>
      </c>
      <c r="I979" s="1">
        <v>177000</v>
      </c>
      <c r="J979" s="45">
        <v>107977</v>
      </c>
      <c r="K979" s="1" t="str">
        <f>TRIM(Cleaned_CRM_Data!H979)</f>
        <v>Follow up</v>
      </c>
      <c r="L979" t="str">
        <f>IFERROR(VLOOKUP(K979, Status_Mapping!A:B, 2,), "Not Found")</f>
        <v>Follow Up</v>
      </c>
      <c r="N979" s="29" t="str">
        <f>IF(M979="","",M979-B979)</f>
        <v/>
      </c>
      <c r="O979" s="1" t="str">
        <f t="shared" si="84"/>
        <v>Growth</v>
      </c>
      <c r="P979" t="str">
        <f>TEXT(B979, "mmmm")</f>
        <v>November</v>
      </c>
      <c r="Q979" t="str">
        <f t="shared" si="85"/>
        <v>Q4</v>
      </c>
      <c r="R979" t="str">
        <f>IFERROR(VLOOKUP(TRIM(CLEAN(G979)),Sheet14!$A$2:$B$19,2,FALSE),"Not Mapped")</f>
        <v>West</v>
      </c>
    </row>
    <row r="980" spans="1:18">
      <c r="A980" t="str">
        <f t="shared" si="83"/>
        <v>EOS0979</v>
      </c>
      <c r="B980" s="35">
        <v>45966</v>
      </c>
      <c r="C980" s="4" t="s">
        <v>267</v>
      </c>
      <c r="D980" s="1" t="str">
        <f t="shared" si="86"/>
        <v>FB</v>
      </c>
      <c r="E980" s="5" t="s">
        <v>1528</v>
      </c>
      <c r="F980" s="1"/>
      <c r="G980" s="1" t="s">
        <v>223</v>
      </c>
      <c r="H980" s="1" t="s">
        <v>69</v>
      </c>
      <c r="I980" s="1">
        <v>108000</v>
      </c>
      <c r="J980" s="45">
        <v>107978</v>
      </c>
      <c r="K980" s="1" t="str">
        <f>TRIM(Cleaned_CRM_Data!H980)</f>
        <v>Follow up</v>
      </c>
      <c r="L980" t="str">
        <f>IFERROR(VLOOKUP(K980, Status_Mapping!A:B, 2,), "Not Found")</f>
        <v>Follow Up</v>
      </c>
      <c r="N980" s="29" t="str">
        <f>IF(M980="","",M980-B980)</f>
        <v/>
      </c>
      <c r="O980" s="1" t="str">
        <f t="shared" si="84"/>
        <v>Starter</v>
      </c>
      <c r="P980" t="str">
        <f>TEXT(B980, "mmmm")</f>
        <v>November</v>
      </c>
      <c r="Q980" t="str">
        <f t="shared" si="85"/>
        <v>Q4</v>
      </c>
      <c r="R980" t="str">
        <f>IFERROR(VLOOKUP(TRIM(CLEAN(G980)),Sheet14!$A$2:$B$19,2,FALSE),"Not Mapped")</f>
        <v>West</v>
      </c>
    </row>
    <row r="981" spans="1:18">
      <c r="A981" t="str">
        <f t="shared" si="83"/>
        <v>EOS0980</v>
      </c>
      <c r="B981" s="35">
        <v>45966</v>
      </c>
      <c r="C981" s="4" t="s">
        <v>267</v>
      </c>
      <c r="D981" s="1" t="str">
        <f t="shared" si="86"/>
        <v>FB</v>
      </c>
      <c r="E981" s="5" t="s">
        <v>1529</v>
      </c>
      <c r="F981" s="1"/>
      <c r="G981" s="1" t="s">
        <v>223</v>
      </c>
      <c r="H981" s="1" t="s">
        <v>69</v>
      </c>
      <c r="I981" s="1">
        <v>108000</v>
      </c>
      <c r="J981" s="45">
        <v>107979</v>
      </c>
      <c r="K981" s="1" t="str">
        <f>TRIM(Cleaned_CRM_Data!H981)</f>
        <v>Follow up</v>
      </c>
      <c r="L981" t="str">
        <f>IFERROR(VLOOKUP(K981, Status_Mapping!A:B, 2,), "Not Found")</f>
        <v>Follow Up</v>
      </c>
      <c r="N981" s="29" t="str">
        <f>IF(M981="","",M981-B981)</f>
        <v/>
      </c>
      <c r="O981" s="1" t="str">
        <f t="shared" si="84"/>
        <v>Starter</v>
      </c>
      <c r="P981" t="str">
        <f>TEXT(B981, "mmmm")</f>
        <v>November</v>
      </c>
      <c r="Q981" t="str">
        <f t="shared" si="85"/>
        <v>Q4</v>
      </c>
      <c r="R981" t="str">
        <f>IFERROR(VLOOKUP(TRIM(CLEAN(G981)),Sheet14!$A$2:$B$19,2,FALSE),"Not Mapped")</f>
        <v>West</v>
      </c>
    </row>
    <row r="982" spans="1:18">
      <c r="A982" t="str">
        <f t="shared" si="83"/>
        <v>EOS0981</v>
      </c>
      <c r="B982" s="35">
        <v>45966</v>
      </c>
      <c r="C982" s="4" t="s">
        <v>267</v>
      </c>
      <c r="D982" s="1" t="str">
        <f t="shared" si="86"/>
        <v>FB</v>
      </c>
      <c r="E982" s="5" t="s">
        <v>886</v>
      </c>
      <c r="F982" s="1"/>
      <c r="G982" s="1" t="s">
        <v>223</v>
      </c>
      <c r="H982" s="1" t="s">
        <v>69</v>
      </c>
      <c r="I982" s="1">
        <v>108000</v>
      </c>
      <c r="J982" s="45">
        <v>107980</v>
      </c>
      <c r="K982" s="1" t="str">
        <f>TRIM(Cleaned_CRM_Data!H982)</f>
        <v>Follow up</v>
      </c>
      <c r="L982" t="str">
        <f>IFERROR(VLOOKUP(K982, Status_Mapping!A:B, 2,), "Not Found")</f>
        <v>Follow Up</v>
      </c>
      <c r="N982" s="29" t="str">
        <f>IF(M982="","",M982-B982)</f>
        <v/>
      </c>
      <c r="O982" s="1" t="str">
        <f t="shared" si="84"/>
        <v>Starter</v>
      </c>
      <c r="P982" t="str">
        <f>TEXT(B982, "mmmm")</f>
        <v>November</v>
      </c>
      <c r="Q982" t="str">
        <f t="shared" si="85"/>
        <v>Q4</v>
      </c>
      <c r="R982" t="str">
        <f>IFERROR(VLOOKUP(TRIM(CLEAN(G982)),Sheet14!$A$2:$B$19,2,FALSE),"Not Mapped")</f>
        <v>West</v>
      </c>
    </row>
    <row r="983" spans="1:18">
      <c r="A983" t="str">
        <f t="shared" si="83"/>
        <v>EOS0982</v>
      </c>
      <c r="B983" s="35">
        <v>45966</v>
      </c>
      <c r="C983" s="4" t="s">
        <v>267</v>
      </c>
      <c r="D983" s="1" t="str">
        <f t="shared" si="86"/>
        <v>FB</v>
      </c>
      <c r="E983" s="5" t="s">
        <v>1408</v>
      </c>
      <c r="F983" s="1"/>
      <c r="G983" s="1" t="s">
        <v>223</v>
      </c>
      <c r="H983" s="1" t="s">
        <v>69</v>
      </c>
      <c r="I983" s="1">
        <v>177000</v>
      </c>
      <c r="J983" s="45">
        <v>107981</v>
      </c>
      <c r="K983" s="1" t="str">
        <f>TRIM(Cleaned_CRM_Data!H983)</f>
        <v>Follow up</v>
      </c>
      <c r="L983" t="str">
        <f>IFERROR(VLOOKUP(K983, Status_Mapping!A:B, 2,), "Not Found")</f>
        <v>Follow Up</v>
      </c>
      <c r="N983" s="29" t="str">
        <f>IF(M983="","",M983-B983)</f>
        <v/>
      </c>
      <c r="O983" s="1" t="str">
        <f t="shared" si="84"/>
        <v>Growth</v>
      </c>
      <c r="P983" t="str">
        <f>TEXT(B983, "mmmm")</f>
        <v>November</v>
      </c>
      <c r="Q983" t="str">
        <f t="shared" si="85"/>
        <v>Q4</v>
      </c>
      <c r="R983" t="str">
        <f>IFERROR(VLOOKUP(TRIM(CLEAN(G983)),Sheet14!$A$2:$B$19,2,FALSE),"Not Mapped")</f>
        <v>West</v>
      </c>
    </row>
    <row r="984" spans="1:18">
      <c r="A984" t="str">
        <f t="shared" si="83"/>
        <v>EOS0983</v>
      </c>
      <c r="B984" s="35">
        <v>45967</v>
      </c>
      <c r="C984" s="4" t="s">
        <v>267</v>
      </c>
      <c r="D984" s="1" t="str">
        <f t="shared" si="86"/>
        <v>FB</v>
      </c>
      <c r="E984" s="5" t="s">
        <v>1530</v>
      </c>
      <c r="F984" s="1" t="s">
        <v>275</v>
      </c>
      <c r="G984" s="1" t="s">
        <v>224</v>
      </c>
      <c r="H984" s="1" t="s">
        <v>69</v>
      </c>
      <c r="I984" s="1">
        <v>108000</v>
      </c>
      <c r="J984" s="45">
        <v>107982</v>
      </c>
      <c r="K984" s="1" t="str">
        <f>TRIM(Cleaned_CRM_Data!H984)</f>
        <v>Follow up</v>
      </c>
      <c r="L984" t="str">
        <f>IFERROR(VLOOKUP(K984, Status_Mapping!A:B, 2,), "Not Found")</f>
        <v>Follow Up</v>
      </c>
      <c r="N984" s="29" t="str">
        <f>IF(M984="","",M984-B984)</f>
        <v/>
      </c>
      <c r="O984" s="1" t="str">
        <f t="shared" si="84"/>
        <v>Starter</v>
      </c>
      <c r="P984" t="str">
        <f>TEXT(B984, "mmmm")</f>
        <v>November</v>
      </c>
      <c r="Q984" t="str">
        <f t="shared" si="85"/>
        <v>Q4</v>
      </c>
      <c r="R984" t="str">
        <f>IFERROR(VLOOKUP(TRIM(CLEAN(G984)),Sheet14!$A$2:$B$19,2,FALSE),"Not Mapped")</f>
        <v>West</v>
      </c>
    </row>
    <row r="985" spans="1:18">
      <c r="A985" t="str">
        <f t="shared" si="83"/>
        <v>EOS0984</v>
      </c>
      <c r="B985" s="35">
        <v>45967</v>
      </c>
      <c r="C985" s="1" t="s">
        <v>267</v>
      </c>
      <c r="D985" s="1" t="str">
        <f t="shared" si="86"/>
        <v>FB</v>
      </c>
      <c r="E985" s="5" t="s">
        <v>1531</v>
      </c>
      <c r="F985" s="5" t="s">
        <v>390</v>
      </c>
      <c r="G985" s="1" t="s">
        <v>223</v>
      </c>
      <c r="H985" s="1" t="s">
        <v>149</v>
      </c>
      <c r="I985" s="1">
        <v>108000</v>
      </c>
      <c r="J985" s="45">
        <v>107983</v>
      </c>
      <c r="K985" s="1" t="str">
        <f>TRIM(Cleaned_CRM_Data!H985)</f>
        <v>Rejected</v>
      </c>
      <c r="L985" t="str">
        <f>IFERROR(VLOOKUP(K985, Status_Mapping!A:B, 2,), "Not Found")</f>
        <v>Rejected</v>
      </c>
      <c r="N985" s="29" t="str">
        <f>IF(M985="","",M985-B985)</f>
        <v/>
      </c>
      <c r="O985" s="1" t="str">
        <f t="shared" si="84"/>
        <v>Starter</v>
      </c>
      <c r="P985" t="str">
        <f>TEXT(B985, "mmmm")</f>
        <v>November</v>
      </c>
      <c r="Q985" t="str">
        <f t="shared" si="85"/>
        <v>Q4</v>
      </c>
      <c r="R985" t="str">
        <f>IFERROR(VLOOKUP(TRIM(CLEAN(G985)),Sheet14!$A$2:$B$19,2,FALSE),"Not Mapped")</f>
        <v>West</v>
      </c>
    </row>
    <row r="986" spans="1:18">
      <c r="A986" t="str">
        <f t="shared" si="83"/>
        <v>EOS0985</v>
      </c>
      <c r="B986" s="35">
        <v>45967</v>
      </c>
      <c r="C986" s="4" t="s">
        <v>267</v>
      </c>
      <c r="D986" s="1" t="str">
        <f t="shared" si="86"/>
        <v>FB</v>
      </c>
      <c r="E986" s="5" t="s">
        <v>1532</v>
      </c>
      <c r="F986" s="1" t="s">
        <v>1533</v>
      </c>
      <c r="G986" s="1" t="s">
        <v>224</v>
      </c>
      <c r="H986" s="1" t="s">
        <v>69</v>
      </c>
      <c r="I986" s="1">
        <v>108000</v>
      </c>
      <c r="J986" s="45">
        <v>107984</v>
      </c>
      <c r="K986" s="1" t="str">
        <f>TRIM(Cleaned_CRM_Data!H986)</f>
        <v>Follow up</v>
      </c>
      <c r="L986" t="str">
        <f>IFERROR(VLOOKUP(K986, Status_Mapping!A:B, 2,), "Not Found")</f>
        <v>Follow Up</v>
      </c>
      <c r="N986" s="29" t="str">
        <f>IF(M986="","",M986-B986)</f>
        <v/>
      </c>
      <c r="O986" s="1" t="str">
        <f t="shared" si="84"/>
        <v>Starter</v>
      </c>
      <c r="P986" t="str">
        <f>TEXT(B986, "mmmm")</f>
        <v>November</v>
      </c>
      <c r="Q986" t="str">
        <f t="shared" si="85"/>
        <v>Q4</v>
      </c>
      <c r="R986" t="str">
        <f>IFERROR(VLOOKUP(TRIM(CLEAN(G986)),Sheet14!$A$2:$B$19,2,FALSE),"Not Mapped")</f>
        <v>West</v>
      </c>
    </row>
    <row r="987" spans="1:18">
      <c r="A987" t="str">
        <f t="shared" si="83"/>
        <v>EOS0986</v>
      </c>
      <c r="B987" s="35">
        <v>45967</v>
      </c>
      <c r="C987" s="4" t="s">
        <v>267</v>
      </c>
      <c r="D987" s="1" t="str">
        <f t="shared" si="86"/>
        <v>FB</v>
      </c>
      <c r="E987" s="5" t="s">
        <v>1534</v>
      </c>
      <c r="F987" s="1" t="s">
        <v>412</v>
      </c>
      <c r="G987" s="1" t="s">
        <v>224</v>
      </c>
      <c r="H987" s="1" t="s">
        <v>69</v>
      </c>
      <c r="I987" s="1">
        <v>108000</v>
      </c>
      <c r="J987" s="45">
        <v>107985</v>
      </c>
      <c r="K987" s="1" t="str">
        <f>TRIM(Cleaned_CRM_Data!H987)</f>
        <v>Follow up</v>
      </c>
      <c r="L987" t="str">
        <f>IFERROR(VLOOKUP(K987, Status_Mapping!A:B, 2,), "Not Found")</f>
        <v>Follow Up</v>
      </c>
      <c r="N987" s="29" t="str">
        <f>IF(M987="","",M987-B987)</f>
        <v/>
      </c>
      <c r="O987" s="1" t="str">
        <f t="shared" si="84"/>
        <v>Starter</v>
      </c>
      <c r="P987" t="str">
        <f>TEXT(B987, "mmmm")</f>
        <v>November</v>
      </c>
      <c r="Q987" t="str">
        <f t="shared" si="85"/>
        <v>Q4</v>
      </c>
      <c r="R987" t="str">
        <f>IFERROR(VLOOKUP(TRIM(CLEAN(G987)),Sheet14!$A$2:$B$19,2,FALSE),"Not Mapped")</f>
        <v>West</v>
      </c>
    </row>
    <row r="988" spans="1:18">
      <c r="A988" t="str">
        <f t="shared" si="83"/>
        <v>EOS0987</v>
      </c>
      <c r="B988" s="35">
        <v>45967</v>
      </c>
      <c r="C988" s="4" t="s">
        <v>267</v>
      </c>
      <c r="D988" s="1" t="str">
        <f t="shared" si="86"/>
        <v>FB</v>
      </c>
      <c r="E988" s="5" t="s">
        <v>1535</v>
      </c>
      <c r="F988" s="1" t="s">
        <v>1536</v>
      </c>
      <c r="G988" s="1" t="s">
        <v>224</v>
      </c>
      <c r="H988" s="1" t="s">
        <v>69</v>
      </c>
      <c r="I988" s="1">
        <v>130000</v>
      </c>
      <c r="J988" s="45">
        <v>107986</v>
      </c>
      <c r="K988" s="1" t="str">
        <f>TRIM(Cleaned_CRM_Data!H988)</f>
        <v>Follow up</v>
      </c>
      <c r="L988" t="str">
        <f>IFERROR(VLOOKUP(K988, Status_Mapping!A:B, 2,), "Not Found")</f>
        <v>Follow Up</v>
      </c>
      <c r="N988" s="29" t="str">
        <f>IF(M988="","",M988-B988)</f>
        <v/>
      </c>
      <c r="O988" s="1" t="str">
        <f t="shared" si="84"/>
        <v>Starter</v>
      </c>
      <c r="P988" t="str">
        <f>TEXT(B988, "mmmm")</f>
        <v>November</v>
      </c>
      <c r="Q988" t="str">
        <f t="shared" si="85"/>
        <v>Q4</v>
      </c>
      <c r="R988" t="str">
        <f>IFERROR(VLOOKUP(TRIM(CLEAN(G988)),Sheet14!$A$2:$B$19,2,FALSE),"Not Mapped")</f>
        <v>West</v>
      </c>
    </row>
    <row r="989" spans="1:18">
      <c r="A989" t="str">
        <f t="shared" si="83"/>
        <v>EOS0988</v>
      </c>
      <c r="B989" s="35">
        <v>45968</v>
      </c>
      <c r="C989" s="4" t="s">
        <v>267</v>
      </c>
      <c r="D989" s="1" t="str">
        <f t="shared" si="86"/>
        <v>FB</v>
      </c>
      <c r="E989" s="5" t="s">
        <v>1537</v>
      </c>
      <c r="F989" s="1" t="s">
        <v>860</v>
      </c>
      <c r="G989" s="1" t="s">
        <v>224</v>
      </c>
      <c r="H989" s="1" t="s">
        <v>69</v>
      </c>
      <c r="I989" s="1">
        <v>177000</v>
      </c>
      <c r="J989" s="45">
        <v>107987</v>
      </c>
      <c r="K989" s="1" t="str">
        <f>TRIM(Cleaned_CRM_Data!H989)</f>
        <v>Follow up</v>
      </c>
      <c r="L989" t="str">
        <f>IFERROR(VLOOKUP(K989, Status_Mapping!A:B, 2,), "Not Found")</f>
        <v>Follow Up</v>
      </c>
      <c r="N989" s="29" t="str">
        <f>IF(M989="","",M989-B989)</f>
        <v/>
      </c>
      <c r="O989" s="1" t="str">
        <f t="shared" si="84"/>
        <v>Growth</v>
      </c>
      <c r="P989" t="str">
        <f>TEXT(B989, "mmmm")</f>
        <v>November</v>
      </c>
      <c r="Q989" t="str">
        <f t="shared" si="85"/>
        <v>Q4</v>
      </c>
      <c r="R989" t="str">
        <f>IFERROR(VLOOKUP(TRIM(CLEAN(G989)),Sheet14!$A$2:$B$19,2,FALSE),"Not Mapped")</f>
        <v>West</v>
      </c>
    </row>
    <row r="990" spans="1:18">
      <c r="A990" t="str">
        <f t="shared" si="83"/>
        <v>EOS0989</v>
      </c>
      <c r="B990" s="35">
        <v>45968</v>
      </c>
      <c r="C990" s="4" t="s">
        <v>267</v>
      </c>
      <c r="D990" s="1" t="str">
        <f t="shared" si="86"/>
        <v>FB</v>
      </c>
      <c r="E990" s="5" t="s">
        <v>1538</v>
      </c>
      <c r="F990" s="1" t="s">
        <v>350</v>
      </c>
      <c r="G990" s="1" t="s">
        <v>223</v>
      </c>
      <c r="H990" s="1" t="s">
        <v>69</v>
      </c>
      <c r="I990" s="1">
        <v>108000</v>
      </c>
      <c r="J990" s="45">
        <v>107988</v>
      </c>
      <c r="K990" s="1" t="str">
        <f>TRIM(Cleaned_CRM_Data!H990)</f>
        <v>Follow up</v>
      </c>
      <c r="L990" t="str">
        <f>IFERROR(VLOOKUP(K990, Status_Mapping!A:B, 2,), "Not Found")</f>
        <v>Follow Up</v>
      </c>
      <c r="N990" s="29" t="str">
        <f>IF(M990="","",M990-B990)</f>
        <v/>
      </c>
      <c r="O990" s="1" t="str">
        <f t="shared" si="84"/>
        <v>Starter</v>
      </c>
      <c r="P990" t="str">
        <f>TEXT(B990, "mmmm")</f>
        <v>November</v>
      </c>
      <c r="Q990" t="str">
        <f t="shared" si="85"/>
        <v>Q4</v>
      </c>
      <c r="R990" t="str">
        <f>IFERROR(VLOOKUP(TRIM(CLEAN(G990)),Sheet14!$A$2:$B$19,2,FALSE),"Not Mapped")</f>
        <v>West</v>
      </c>
    </row>
    <row r="991" spans="1:18">
      <c r="A991" t="str">
        <f t="shared" si="83"/>
        <v>EOS0990</v>
      </c>
      <c r="B991" s="35">
        <v>45969</v>
      </c>
      <c r="C991" s="4" t="s">
        <v>267</v>
      </c>
      <c r="D991" s="1" t="str">
        <f t="shared" si="86"/>
        <v>FB</v>
      </c>
      <c r="E991" s="5" t="s">
        <v>1539</v>
      </c>
      <c r="F991" s="1" t="s">
        <v>271</v>
      </c>
      <c r="G991" s="1" t="s">
        <v>224</v>
      </c>
      <c r="H991" s="1" t="s">
        <v>69</v>
      </c>
      <c r="I991" s="1">
        <v>130000</v>
      </c>
      <c r="J991" s="45">
        <v>107989</v>
      </c>
      <c r="K991" s="1" t="str">
        <f>TRIM(Cleaned_CRM_Data!H991)</f>
        <v>Follow up</v>
      </c>
      <c r="L991" t="str">
        <f>IFERROR(VLOOKUP(K991, Status_Mapping!A:B, 2,), "Not Found")</f>
        <v>Follow Up</v>
      </c>
      <c r="N991" s="29" t="str">
        <f>IF(M991="","",M991-B991)</f>
        <v/>
      </c>
      <c r="O991" s="1" t="str">
        <f t="shared" si="84"/>
        <v>Starter</v>
      </c>
      <c r="P991" t="str">
        <f>TEXT(B991, "mmmm")</f>
        <v>November</v>
      </c>
      <c r="Q991" t="str">
        <f t="shared" si="85"/>
        <v>Q4</v>
      </c>
      <c r="R991" t="str">
        <f>IFERROR(VLOOKUP(TRIM(CLEAN(G991)),Sheet14!$A$2:$B$19,2,FALSE),"Not Mapped")</f>
        <v>West</v>
      </c>
    </row>
    <row r="992" spans="1:18">
      <c r="A992" t="str">
        <f t="shared" si="83"/>
        <v>EOS0991</v>
      </c>
      <c r="B992" s="35">
        <v>45969</v>
      </c>
      <c r="C992" s="4" t="s">
        <v>267</v>
      </c>
      <c r="D992" s="1" t="str">
        <f t="shared" si="86"/>
        <v>FB</v>
      </c>
      <c r="E992" s="5" t="s">
        <v>1233</v>
      </c>
      <c r="F992" s="1" t="s">
        <v>1234</v>
      </c>
      <c r="G992" s="1" t="s">
        <v>224</v>
      </c>
      <c r="H992" s="1" t="s">
        <v>69</v>
      </c>
      <c r="I992" s="1">
        <v>108000</v>
      </c>
      <c r="J992" s="45">
        <v>107990</v>
      </c>
      <c r="K992" s="1" t="str">
        <f>TRIM(Cleaned_CRM_Data!H992)</f>
        <v>Follow up</v>
      </c>
      <c r="L992" t="str">
        <f>IFERROR(VLOOKUP(K992, Status_Mapping!A:B, 2,), "Not Found")</f>
        <v>Follow Up</v>
      </c>
      <c r="N992" s="29" t="str">
        <f>IF(M992="","",M992-B992)</f>
        <v/>
      </c>
      <c r="O992" s="1" t="str">
        <f t="shared" si="84"/>
        <v>Starter</v>
      </c>
      <c r="P992" t="str">
        <f>TEXT(B992, "mmmm")</f>
        <v>November</v>
      </c>
      <c r="Q992" t="str">
        <f t="shared" si="85"/>
        <v>Q4</v>
      </c>
      <c r="R992" t="str">
        <f>IFERROR(VLOOKUP(TRIM(CLEAN(G992)),Sheet14!$A$2:$B$19,2,FALSE),"Not Mapped")</f>
        <v>West</v>
      </c>
    </row>
    <row r="993" spans="1:18">
      <c r="A993" t="str">
        <f t="shared" si="83"/>
        <v>EOS0992</v>
      </c>
      <c r="B993" s="35">
        <v>45969</v>
      </c>
      <c r="C993" s="4" t="s">
        <v>267</v>
      </c>
      <c r="D993" s="1" t="str">
        <f t="shared" si="86"/>
        <v>FB</v>
      </c>
      <c r="E993" s="5" t="s">
        <v>1540</v>
      </c>
      <c r="F993" s="1" t="s">
        <v>1541</v>
      </c>
      <c r="G993" s="1" t="s">
        <v>224</v>
      </c>
      <c r="H993" s="1" t="s">
        <v>69</v>
      </c>
      <c r="I993" s="1">
        <v>108000</v>
      </c>
      <c r="J993" s="45">
        <v>107991</v>
      </c>
      <c r="K993" s="1" t="str">
        <f>TRIM(Cleaned_CRM_Data!H993)</f>
        <v>Follow up</v>
      </c>
      <c r="L993" t="str">
        <f>IFERROR(VLOOKUP(K993, Status_Mapping!A:B, 2,), "Not Found")</f>
        <v>Follow Up</v>
      </c>
      <c r="N993" s="29" t="str">
        <f>IF(M993="","",M993-B993)</f>
        <v/>
      </c>
      <c r="O993" s="1" t="str">
        <f t="shared" si="84"/>
        <v>Starter</v>
      </c>
      <c r="P993" t="str">
        <f>TEXT(B993, "mmmm")</f>
        <v>November</v>
      </c>
      <c r="Q993" t="str">
        <f t="shared" si="85"/>
        <v>Q4</v>
      </c>
      <c r="R993" t="str">
        <f>IFERROR(VLOOKUP(TRIM(CLEAN(G993)),Sheet14!$A$2:$B$19,2,FALSE),"Not Mapped")</f>
        <v>West</v>
      </c>
    </row>
    <row r="994" spans="1:18">
      <c r="A994" t="str">
        <f t="shared" si="83"/>
        <v>EOS0993</v>
      </c>
      <c r="B994" s="35">
        <v>45969</v>
      </c>
      <c r="C994" s="1" t="s">
        <v>267</v>
      </c>
      <c r="D994" s="1" t="str">
        <f t="shared" si="86"/>
        <v>FB</v>
      </c>
      <c r="E994" s="5" t="s">
        <v>1542</v>
      </c>
      <c r="F994" s="1" t="s">
        <v>275</v>
      </c>
      <c r="G994" s="1" t="s">
        <v>223</v>
      </c>
      <c r="H994" s="1" t="s">
        <v>149</v>
      </c>
      <c r="I994" s="1">
        <v>108000</v>
      </c>
      <c r="J994" s="45">
        <v>107992</v>
      </c>
      <c r="K994" s="1" t="str">
        <f>TRIM(Cleaned_CRM_Data!H994)</f>
        <v>Rejected</v>
      </c>
      <c r="L994" t="str">
        <f>IFERROR(VLOOKUP(K994, Status_Mapping!A:B, 2,), "Not Found")</f>
        <v>Rejected</v>
      </c>
      <c r="N994" s="29" t="str">
        <f>IF(M994="","",M994-B994)</f>
        <v/>
      </c>
      <c r="O994" s="1" t="str">
        <f t="shared" si="84"/>
        <v>Starter</v>
      </c>
      <c r="P994" t="str">
        <f>TEXT(B994, "mmmm")</f>
        <v>November</v>
      </c>
      <c r="Q994" t="str">
        <f t="shared" si="85"/>
        <v>Q4</v>
      </c>
      <c r="R994" t="str">
        <f>IFERROR(VLOOKUP(TRIM(CLEAN(G994)),Sheet14!$A$2:$B$19,2,FALSE),"Not Mapped")</f>
        <v>West</v>
      </c>
    </row>
    <row r="995" spans="1:18">
      <c r="A995" t="str">
        <f t="shared" si="83"/>
        <v>EOS0994</v>
      </c>
      <c r="B995" s="35">
        <v>45971</v>
      </c>
      <c r="C995" s="1" t="s">
        <v>267</v>
      </c>
      <c r="D995" s="1" t="str">
        <f t="shared" si="86"/>
        <v>FB</v>
      </c>
      <c r="E995" s="5" t="s">
        <v>1543</v>
      </c>
      <c r="F995" s="5" t="s">
        <v>1544</v>
      </c>
      <c r="G995" s="1" t="s">
        <v>223</v>
      </c>
      <c r="H995" s="1" t="s">
        <v>149</v>
      </c>
      <c r="I995" s="1">
        <v>108000</v>
      </c>
      <c r="J995" s="45">
        <v>107993</v>
      </c>
      <c r="K995" s="1" t="str">
        <f>TRIM(Cleaned_CRM_Data!H995)</f>
        <v>Rejected</v>
      </c>
      <c r="L995" t="str">
        <f>IFERROR(VLOOKUP(K995, Status_Mapping!A:B, 2,), "Not Found")</f>
        <v>Rejected</v>
      </c>
      <c r="N995" s="29" t="str">
        <f>IF(M995="","",M995-B995)</f>
        <v/>
      </c>
      <c r="O995" s="1" t="str">
        <f t="shared" si="84"/>
        <v>Starter</v>
      </c>
      <c r="P995" t="str">
        <f>TEXT(B995, "mmmm")</f>
        <v>November</v>
      </c>
      <c r="Q995" t="str">
        <f t="shared" si="85"/>
        <v>Q4</v>
      </c>
      <c r="R995" t="str">
        <f>IFERROR(VLOOKUP(TRIM(CLEAN(G995)),Sheet14!$A$2:$B$19,2,FALSE),"Not Mapped")</f>
        <v>West</v>
      </c>
    </row>
    <row r="996" spans="1:18">
      <c r="A996" t="str">
        <f t="shared" si="83"/>
        <v>EOS0995</v>
      </c>
      <c r="B996" s="35">
        <v>45971</v>
      </c>
      <c r="C996" s="4" t="s">
        <v>267</v>
      </c>
      <c r="D996" s="1" t="str">
        <f t="shared" si="86"/>
        <v>FB</v>
      </c>
      <c r="E996" s="5" t="s">
        <v>1545</v>
      </c>
      <c r="F996" s="5" t="s">
        <v>1546</v>
      </c>
      <c r="G996" s="1" t="s">
        <v>224</v>
      </c>
      <c r="H996" s="1" t="s">
        <v>69</v>
      </c>
      <c r="I996" s="1">
        <v>130000</v>
      </c>
      <c r="J996" s="45">
        <v>107994</v>
      </c>
      <c r="K996" s="1" t="str">
        <f>TRIM(Cleaned_CRM_Data!H996)</f>
        <v>Follow up</v>
      </c>
      <c r="L996" t="str">
        <f>IFERROR(VLOOKUP(K996, Status_Mapping!A:B, 2,), "Not Found")</f>
        <v>Follow Up</v>
      </c>
      <c r="N996" s="29" t="str">
        <f>IF(M996="","",M996-B996)</f>
        <v/>
      </c>
      <c r="O996" s="1" t="str">
        <f t="shared" si="84"/>
        <v>Starter</v>
      </c>
      <c r="P996" t="str">
        <f>TEXT(B996, "mmmm")</f>
        <v>November</v>
      </c>
      <c r="Q996" t="str">
        <f t="shared" si="85"/>
        <v>Q4</v>
      </c>
      <c r="R996" t="str">
        <f>IFERROR(VLOOKUP(TRIM(CLEAN(G996)),Sheet14!$A$2:$B$19,2,FALSE),"Not Mapped")</f>
        <v>West</v>
      </c>
    </row>
    <row r="997" spans="1:18">
      <c r="A997" t="str">
        <f t="shared" si="83"/>
        <v>EOS0996</v>
      </c>
      <c r="B997" s="35">
        <v>45971</v>
      </c>
      <c r="C997" s="4" t="s">
        <v>267</v>
      </c>
      <c r="D997" s="1" t="str">
        <f t="shared" si="86"/>
        <v>FB</v>
      </c>
      <c r="E997" s="5" t="s">
        <v>1547</v>
      </c>
      <c r="F997" s="1" t="s">
        <v>275</v>
      </c>
      <c r="G997" s="1" t="s">
        <v>224</v>
      </c>
      <c r="H997" s="1" t="s">
        <v>69</v>
      </c>
      <c r="I997" s="1">
        <v>177000</v>
      </c>
      <c r="J997" s="45">
        <v>107995</v>
      </c>
      <c r="K997" s="1" t="str">
        <f>TRIM(Cleaned_CRM_Data!H997)</f>
        <v>Follow up</v>
      </c>
      <c r="L997" t="str">
        <f>IFERROR(VLOOKUP(K997, Status_Mapping!A:B, 2,), "Not Found")</f>
        <v>Follow Up</v>
      </c>
      <c r="N997" s="29" t="str">
        <f>IF(M997="","",M997-B997)</f>
        <v/>
      </c>
      <c r="O997" s="1" t="str">
        <f t="shared" si="84"/>
        <v>Growth</v>
      </c>
      <c r="P997" t="str">
        <f>TEXT(B997, "mmmm")</f>
        <v>November</v>
      </c>
      <c r="Q997" t="str">
        <f t="shared" si="85"/>
        <v>Q4</v>
      </c>
      <c r="R997" t="str">
        <f>IFERROR(VLOOKUP(TRIM(CLEAN(G997)),Sheet14!$A$2:$B$19,2,FALSE),"Not Mapped")</f>
        <v>West</v>
      </c>
    </row>
    <row r="998" spans="1:18">
      <c r="A998" t="str">
        <f t="shared" si="83"/>
        <v>EOS0997</v>
      </c>
      <c r="B998" s="35">
        <v>45971</v>
      </c>
      <c r="C998" s="4" t="s">
        <v>267</v>
      </c>
      <c r="D998" s="1" t="str">
        <f t="shared" si="86"/>
        <v>FB</v>
      </c>
      <c r="E998" s="5" t="s">
        <v>1548</v>
      </c>
      <c r="F998" s="1" t="s">
        <v>645</v>
      </c>
      <c r="G998" s="1" t="s">
        <v>224</v>
      </c>
      <c r="H998" s="1" t="s">
        <v>69</v>
      </c>
      <c r="I998" s="1">
        <v>108000</v>
      </c>
      <c r="J998" s="45">
        <v>107996</v>
      </c>
      <c r="K998" s="1" t="str">
        <f>TRIM(Cleaned_CRM_Data!H998)</f>
        <v>Follow up</v>
      </c>
      <c r="L998" t="str">
        <f>IFERROR(VLOOKUP(K998, Status_Mapping!A:B, 2,), "Not Found")</f>
        <v>Follow Up</v>
      </c>
      <c r="N998" s="29" t="str">
        <f>IF(M998="","",M998-B998)</f>
        <v/>
      </c>
      <c r="O998" s="1" t="str">
        <f t="shared" si="84"/>
        <v>Starter</v>
      </c>
      <c r="P998" t="str">
        <f>TEXT(B998, "mmmm")</f>
        <v>November</v>
      </c>
      <c r="Q998" t="str">
        <f t="shared" si="85"/>
        <v>Q4</v>
      </c>
      <c r="R998" t="str">
        <f>IFERROR(VLOOKUP(TRIM(CLEAN(G998)),Sheet14!$A$2:$B$19,2,FALSE),"Not Mapped")</f>
        <v>West</v>
      </c>
    </row>
    <row r="999" spans="1:18">
      <c r="A999" t="str">
        <f t="shared" si="83"/>
        <v>EOS0998</v>
      </c>
      <c r="B999" s="35">
        <v>45971</v>
      </c>
      <c r="C999" s="4" t="s">
        <v>267</v>
      </c>
      <c r="D999" s="1" t="str">
        <f t="shared" si="86"/>
        <v>FB</v>
      </c>
      <c r="E999" s="5" t="s">
        <v>1549</v>
      </c>
      <c r="F999" s="1" t="s">
        <v>300</v>
      </c>
      <c r="G999" s="1" t="s">
        <v>224</v>
      </c>
      <c r="H999" s="1" t="s">
        <v>69</v>
      </c>
      <c r="I999" s="1">
        <v>108000</v>
      </c>
      <c r="J999" s="45">
        <v>107997</v>
      </c>
      <c r="K999" s="1" t="str">
        <f>TRIM(Cleaned_CRM_Data!H999)</f>
        <v>Follow up</v>
      </c>
      <c r="L999" t="str">
        <f>IFERROR(VLOOKUP(K999, Status_Mapping!A:B, 2,), "Not Found")</f>
        <v>Follow Up</v>
      </c>
      <c r="N999" s="29" t="str">
        <f>IF(M999="","",M999-B999)</f>
        <v/>
      </c>
      <c r="O999" s="1" t="str">
        <f t="shared" si="84"/>
        <v>Starter</v>
      </c>
      <c r="P999" t="str">
        <f>TEXT(B999, "mmmm")</f>
        <v>November</v>
      </c>
      <c r="Q999" t="str">
        <f t="shared" si="85"/>
        <v>Q4</v>
      </c>
      <c r="R999" t="str">
        <f>IFERROR(VLOOKUP(TRIM(CLEAN(G999)),Sheet14!$A$2:$B$19,2,FALSE),"Not Mapped")</f>
        <v>West</v>
      </c>
    </row>
    <row r="1000" spans="1:18">
      <c r="A1000" t="str">
        <f t="shared" si="83"/>
        <v>EOS0999</v>
      </c>
      <c r="B1000" s="35">
        <v>45971</v>
      </c>
      <c r="C1000" s="4" t="s">
        <v>267</v>
      </c>
      <c r="D1000" s="1" t="str">
        <f t="shared" si="86"/>
        <v>FB</v>
      </c>
      <c r="E1000" s="5" t="s">
        <v>1550</v>
      </c>
      <c r="F1000" s="1" t="s">
        <v>1551</v>
      </c>
      <c r="G1000" s="1" t="s">
        <v>224</v>
      </c>
      <c r="H1000" s="1" t="s">
        <v>69</v>
      </c>
      <c r="I1000" s="1">
        <v>108000</v>
      </c>
      <c r="J1000" s="45">
        <v>107998</v>
      </c>
      <c r="K1000" s="1" t="str">
        <f>TRIM(Cleaned_CRM_Data!H1000)</f>
        <v>Follow up</v>
      </c>
      <c r="L1000" t="str">
        <f>IFERROR(VLOOKUP(K1000, Status_Mapping!A:B, 2,), "Not Found")</f>
        <v>Follow Up</v>
      </c>
      <c r="N1000" s="29" t="str">
        <f>IF(M1000="","",M1000-B1000)</f>
        <v/>
      </c>
      <c r="O1000" s="1" t="str">
        <f t="shared" si="84"/>
        <v>Starter</v>
      </c>
      <c r="P1000" t="str">
        <f>TEXT(B1000, "mmmm")</f>
        <v>November</v>
      </c>
      <c r="Q1000" t="str">
        <f t="shared" si="85"/>
        <v>Q4</v>
      </c>
      <c r="R1000" t="str">
        <f>IFERROR(VLOOKUP(TRIM(CLEAN(G1000)),Sheet14!$A$2:$B$19,2,FALSE),"Not Mapped")</f>
        <v>West</v>
      </c>
    </row>
    <row r="1001" spans="1:18">
      <c r="A1001" t="str">
        <f t="shared" si="83"/>
        <v>EOS1000</v>
      </c>
      <c r="B1001" s="35">
        <v>45972</v>
      </c>
      <c r="C1001" s="4" t="s">
        <v>267</v>
      </c>
      <c r="D1001" s="1" t="str">
        <f t="shared" si="86"/>
        <v>FB</v>
      </c>
      <c r="E1001" s="1" t="s">
        <v>1552</v>
      </c>
      <c r="F1001" s="1" t="s">
        <v>661</v>
      </c>
      <c r="G1001" s="1" t="s">
        <v>224</v>
      </c>
      <c r="H1001" s="1" t="s">
        <v>69</v>
      </c>
      <c r="I1001" s="1">
        <v>108000</v>
      </c>
      <c r="J1001" s="45">
        <v>107999</v>
      </c>
      <c r="K1001" s="1" t="str">
        <f>TRIM(Cleaned_CRM_Data!H1001)</f>
        <v>Follow up</v>
      </c>
      <c r="L1001" t="str">
        <f>IFERROR(VLOOKUP(K1001, Status_Mapping!A:B, 2,), "Not Found")</f>
        <v>Follow Up</v>
      </c>
      <c r="N1001" s="29" t="str">
        <f>IF(M1001="","",M1001-B1001)</f>
        <v/>
      </c>
      <c r="O1001" s="1" t="str">
        <f t="shared" si="84"/>
        <v>Starter</v>
      </c>
      <c r="P1001" t="str">
        <f>TEXT(B1001, "mmmm")</f>
        <v>November</v>
      </c>
      <c r="Q1001" t="str">
        <f t="shared" si="85"/>
        <v>Q4</v>
      </c>
      <c r="R1001" t="str">
        <f>IFERROR(VLOOKUP(TRIM(CLEAN(G1001)),Sheet14!$A$2:$B$19,2,FALSE),"Not Mapped")</f>
        <v>West</v>
      </c>
    </row>
    <row r="1002" spans="1:18">
      <c r="A1002" t="str">
        <f t="shared" si="83"/>
        <v>EOS1001</v>
      </c>
      <c r="B1002" s="35">
        <v>45863</v>
      </c>
      <c r="C1002" s="4" t="s">
        <v>267</v>
      </c>
      <c r="D1002" s="1" t="str">
        <f t="shared" si="86"/>
        <v>FB</v>
      </c>
      <c r="E1002" s="5" t="s">
        <v>1553</v>
      </c>
      <c r="F1002" s="1" t="s">
        <v>275</v>
      </c>
      <c r="G1002" s="1" t="s">
        <v>224</v>
      </c>
      <c r="H1002" s="1" t="s">
        <v>69</v>
      </c>
      <c r="I1002" s="1">
        <v>177000</v>
      </c>
      <c r="J1002" s="45">
        <v>1071000</v>
      </c>
      <c r="K1002" s="1" t="str">
        <f>TRIM(Cleaned_CRM_Data!H1002)</f>
        <v>Follow up</v>
      </c>
      <c r="L1002" t="str">
        <f>IFERROR(VLOOKUP(K1002, Status_Mapping!A:B, 2,), "Not Found")</f>
        <v>Follow Up</v>
      </c>
      <c r="M1002" s="32">
        <v>45871</v>
      </c>
      <c r="N1002" s="29">
        <f>IF(M1002="","",M1002-B1002)</f>
        <v>8</v>
      </c>
      <c r="O1002" s="1" t="str">
        <f t="shared" si="84"/>
        <v>Growth</v>
      </c>
      <c r="P1002" t="str">
        <f>TEXT(B1002, "mmmm")</f>
        <v>July</v>
      </c>
      <c r="Q1002" t="str">
        <f t="shared" si="85"/>
        <v>Q3</v>
      </c>
      <c r="R1002" t="str">
        <f>IFERROR(VLOOKUP(TRIM(CLEAN(G1002)),Sheet14!$A$2:$B$19,2,FALSE),"Not Mapped")</f>
        <v>West</v>
      </c>
    </row>
    <row r="1003" spans="1:18">
      <c r="A1003" t="str">
        <f t="shared" si="83"/>
        <v>EOS1002</v>
      </c>
      <c r="B1003" s="35">
        <v>45972</v>
      </c>
      <c r="C1003" s="4" t="s">
        <v>267</v>
      </c>
      <c r="D1003" s="1" t="str">
        <f t="shared" si="86"/>
        <v>FB</v>
      </c>
      <c r="E1003" s="5" t="s">
        <v>1554</v>
      </c>
      <c r="F1003" s="1" t="s">
        <v>304</v>
      </c>
      <c r="G1003" s="1" t="s">
        <v>224</v>
      </c>
      <c r="H1003" s="1" t="s">
        <v>69</v>
      </c>
      <c r="I1003" s="1">
        <v>108000</v>
      </c>
      <c r="J1003" s="45">
        <v>1071001</v>
      </c>
      <c r="K1003" s="1" t="str">
        <f>TRIM(Cleaned_CRM_Data!H1003)</f>
        <v>Follow up</v>
      </c>
      <c r="L1003" t="str">
        <f>IFERROR(VLOOKUP(K1003, Status_Mapping!A:B, 2,), "Not Found")</f>
        <v>Follow Up</v>
      </c>
      <c r="N1003" s="29" t="str">
        <f>IF(M1003="","",M1003-B1003)</f>
        <v/>
      </c>
      <c r="O1003" s="1" t="str">
        <f t="shared" si="84"/>
        <v>Starter</v>
      </c>
      <c r="P1003" t="str">
        <f>TEXT(B1003, "mmmm")</f>
        <v>November</v>
      </c>
      <c r="Q1003" t="str">
        <f t="shared" si="85"/>
        <v>Q4</v>
      </c>
      <c r="R1003" t="str">
        <f>IFERROR(VLOOKUP(TRIM(CLEAN(G1003)),Sheet14!$A$2:$B$19,2,FALSE),"Not Mapped")</f>
        <v>West</v>
      </c>
    </row>
    <row r="1004" spans="1:18">
      <c r="A1004" t="str">
        <f t="shared" si="83"/>
        <v>EOS1003</v>
      </c>
      <c r="B1004" s="35">
        <v>45972</v>
      </c>
      <c r="C1004" s="4" t="s">
        <v>267</v>
      </c>
      <c r="D1004" s="1" t="str">
        <f t="shared" si="86"/>
        <v>FB</v>
      </c>
      <c r="E1004" s="5" t="s">
        <v>1555</v>
      </c>
      <c r="F1004" s="1" t="s">
        <v>1556</v>
      </c>
      <c r="G1004" s="1" t="s">
        <v>224</v>
      </c>
      <c r="H1004" s="1" t="s">
        <v>69</v>
      </c>
      <c r="I1004" s="1">
        <v>130000</v>
      </c>
      <c r="J1004" s="45">
        <v>1071002</v>
      </c>
      <c r="K1004" s="1" t="str">
        <f>TRIM(Cleaned_CRM_Data!H1004)</f>
        <v>Follow up</v>
      </c>
      <c r="L1004" t="str">
        <f>IFERROR(VLOOKUP(K1004, Status_Mapping!A:B, 2,), "Not Found")</f>
        <v>Follow Up</v>
      </c>
      <c r="N1004" s="29" t="str">
        <f>IF(M1004="","",M1004-B1004)</f>
        <v/>
      </c>
      <c r="O1004" s="1" t="str">
        <f t="shared" si="84"/>
        <v>Starter</v>
      </c>
      <c r="P1004" t="str">
        <f>TEXT(B1004, "mmmm")</f>
        <v>November</v>
      </c>
      <c r="Q1004" t="str">
        <f t="shared" si="85"/>
        <v>Q4</v>
      </c>
      <c r="R1004" t="str">
        <f>IFERROR(VLOOKUP(TRIM(CLEAN(G1004)),Sheet14!$A$2:$B$19,2,FALSE),"Not Mapped")</f>
        <v>West</v>
      </c>
    </row>
    <row r="1005" spans="1:18">
      <c r="A1005" t="str">
        <f t="shared" si="83"/>
        <v>EOS1004</v>
      </c>
      <c r="B1005" s="35">
        <v>45972</v>
      </c>
      <c r="C1005" s="4" t="s">
        <v>267</v>
      </c>
      <c r="D1005" s="1" t="str">
        <f t="shared" si="86"/>
        <v>FB</v>
      </c>
      <c r="E1005" s="5" t="s">
        <v>1557</v>
      </c>
      <c r="F1005" s="1" t="s">
        <v>300</v>
      </c>
      <c r="G1005" s="1" t="s">
        <v>224</v>
      </c>
      <c r="H1005" s="1" t="s">
        <v>69</v>
      </c>
      <c r="I1005" s="1">
        <v>108000</v>
      </c>
      <c r="J1005" s="45">
        <v>1071003</v>
      </c>
      <c r="K1005" s="1" t="str">
        <f>TRIM(Cleaned_CRM_Data!H1005)</f>
        <v>Follow up</v>
      </c>
      <c r="L1005" t="str">
        <f>IFERROR(VLOOKUP(K1005, Status_Mapping!A:B, 2,), "Not Found")</f>
        <v>Follow Up</v>
      </c>
      <c r="N1005" s="29" t="str">
        <f>IF(M1005="","",M1005-B1005)</f>
        <v/>
      </c>
      <c r="O1005" s="1" t="str">
        <f t="shared" si="84"/>
        <v>Starter</v>
      </c>
      <c r="P1005" t="str">
        <f>TEXT(B1005, "mmmm")</f>
        <v>November</v>
      </c>
      <c r="Q1005" t="str">
        <f t="shared" si="85"/>
        <v>Q4</v>
      </c>
      <c r="R1005" t="str">
        <f>IFERROR(VLOOKUP(TRIM(CLEAN(G1005)),Sheet14!$A$2:$B$19,2,FALSE),"Not Mapped")</f>
        <v>West</v>
      </c>
    </row>
    <row r="1006" spans="1:18">
      <c r="A1006" t="str">
        <f t="shared" si="83"/>
        <v>EOS1005</v>
      </c>
      <c r="B1006" s="35">
        <v>45972</v>
      </c>
      <c r="C1006" s="4" t="s">
        <v>267</v>
      </c>
      <c r="D1006" s="1" t="str">
        <f t="shared" si="86"/>
        <v>FB</v>
      </c>
      <c r="E1006" s="5" t="s">
        <v>1558</v>
      </c>
      <c r="F1006" s="1" t="s">
        <v>860</v>
      </c>
      <c r="G1006" s="1" t="s">
        <v>224</v>
      </c>
      <c r="H1006" s="1" t="s">
        <v>69</v>
      </c>
      <c r="I1006" s="1">
        <v>177000</v>
      </c>
      <c r="J1006" s="45">
        <v>1071004</v>
      </c>
      <c r="K1006" s="1" t="str">
        <f>TRIM(Cleaned_CRM_Data!H1006)</f>
        <v>Follow up</v>
      </c>
      <c r="L1006" t="str">
        <f>IFERROR(VLOOKUP(K1006, Status_Mapping!A:B, 2,), "Not Found")</f>
        <v>Follow Up</v>
      </c>
      <c r="N1006" s="29" t="str">
        <f>IF(M1006="","",M1006-B1006)</f>
        <v/>
      </c>
      <c r="O1006" s="1" t="str">
        <f t="shared" si="84"/>
        <v>Growth</v>
      </c>
      <c r="P1006" t="str">
        <f>TEXT(B1006, "mmmm")</f>
        <v>November</v>
      </c>
      <c r="Q1006" t="str">
        <f t="shared" si="85"/>
        <v>Q4</v>
      </c>
      <c r="R1006" t="str">
        <f>IFERROR(VLOOKUP(TRIM(CLEAN(G1006)),Sheet14!$A$2:$B$19,2,FALSE),"Not Mapped")</f>
        <v>West</v>
      </c>
    </row>
    <row r="1007" spans="1:18">
      <c r="A1007" t="str">
        <f t="shared" si="83"/>
        <v>EOS1006</v>
      </c>
      <c r="B1007" s="35">
        <v>45972</v>
      </c>
      <c r="C1007" s="4" t="s">
        <v>267</v>
      </c>
      <c r="D1007" s="1" t="str">
        <f t="shared" si="86"/>
        <v>FB</v>
      </c>
      <c r="E1007" s="5" t="s">
        <v>1559</v>
      </c>
      <c r="F1007" s="1"/>
      <c r="G1007" s="1" t="s">
        <v>224</v>
      </c>
      <c r="H1007" s="1" t="s">
        <v>69</v>
      </c>
      <c r="I1007" s="1">
        <v>130000</v>
      </c>
      <c r="J1007" s="45">
        <v>1071005</v>
      </c>
      <c r="K1007" s="1" t="str">
        <f>TRIM(Cleaned_CRM_Data!H1007)</f>
        <v>Follow up</v>
      </c>
      <c r="L1007" t="str">
        <f>IFERROR(VLOOKUP(K1007, Status_Mapping!A:B, 2,), "Not Found")</f>
        <v>Follow Up</v>
      </c>
      <c r="N1007" s="29" t="str">
        <f>IF(M1007="","",M1007-B1007)</f>
        <v/>
      </c>
      <c r="O1007" s="1" t="str">
        <f t="shared" si="84"/>
        <v>Starter</v>
      </c>
      <c r="P1007" t="str">
        <f>TEXT(B1007, "mmmm")</f>
        <v>November</v>
      </c>
      <c r="Q1007" t="str">
        <f t="shared" si="85"/>
        <v>Q4</v>
      </c>
      <c r="R1007" t="str">
        <f>IFERROR(VLOOKUP(TRIM(CLEAN(G1007)),Sheet14!$A$2:$B$19,2,FALSE),"Not Mapped")</f>
        <v>West</v>
      </c>
    </row>
    <row r="1008" spans="1:18">
      <c r="A1008" t="str">
        <f t="shared" si="83"/>
        <v>EOS1007</v>
      </c>
      <c r="B1008" s="35">
        <v>45817</v>
      </c>
      <c r="C1008" s="4" t="s">
        <v>267</v>
      </c>
      <c r="D1008" s="1" t="str">
        <f t="shared" si="86"/>
        <v>FB</v>
      </c>
      <c r="E1008" s="5" t="s">
        <v>1560</v>
      </c>
      <c r="F1008" s="5" t="s">
        <v>304</v>
      </c>
      <c r="G1008" s="1" t="s">
        <v>224</v>
      </c>
      <c r="H1008" s="1" t="s">
        <v>69</v>
      </c>
      <c r="I1008" s="1">
        <v>130000</v>
      </c>
      <c r="J1008" s="45">
        <v>1071006</v>
      </c>
      <c r="K1008" s="1" t="str">
        <f>TRIM(Cleaned_CRM_Data!H1008)</f>
        <v>Follow up</v>
      </c>
      <c r="L1008" t="str">
        <f>IFERROR(VLOOKUP(K1008, Status_Mapping!A:B, 2,), "Not Found")</f>
        <v>Follow Up</v>
      </c>
      <c r="N1008" s="29" t="str">
        <f>IF(M1008="","",M1008-B1008)</f>
        <v/>
      </c>
      <c r="O1008" s="1" t="str">
        <f t="shared" si="84"/>
        <v>Starter</v>
      </c>
      <c r="P1008" t="str">
        <f>TEXT(B1008, "mmmm")</f>
        <v>June</v>
      </c>
      <c r="Q1008" t="str">
        <f t="shared" si="85"/>
        <v>Q2</v>
      </c>
      <c r="R1008" t="str">
        <f>IFERROR(VLOOKUP(TRIM(CLEAN(G1008)),Sheet14!$A$2:$B$19,2,FALSE),"Not Mapped")</f>
        <v>West</v>
      </c>
    </row>
    <row r="1009" spans="1:18">
      <c r="A1009" t="str">
        <f t="shared" si="83"/>
        <v>EOS1008</v>
      </c>
      <c r="B1009" s="35">
        <v>45973</v>
      </c>
      <c r="C1009" s="1" t="s">
        <v>267</v>
      </c>
      <c r="D1009" s="1" t="str">
        <f t="shared" si="86"/>
        <v>FB</v>
      </c>
      <c r="E1009" s="5" t="s">
        <v>1561</v>
      </c>
      <c r="F1009" s="1" t="s">
        <v>275</v>
      </c>
      <c r="G1009" s="1" t="s">
        <v>223</v>
      </c>
      <c r="H1009" s="1" t="s">
        <v>149</v>
      </c>
      <c r="I1009" s="1">
        <v>130000</v>
      </c>
      <c r="J1009" s="45">
        <v>1071007</v>
      </c>
      <c r="K1009" s="1" t="str">
        <f>TRIM(Cleaned_CRM_Data!H1009)</f>
        <v>Rejected</v>
      </c>
      <c r="L1009" t="str">
        <f>IFERROR(VLOOKUP(K1009, Status_Mapping!A:B, 2,), "Not Found")</f>
        <v>Rejected</v>
      </c>
      <c r="N1009" s="29" t="str">
        <f>IF(M1009="","",M1009-B1009)</f>
        <v/>
      </c>
      <c r="O1009" s="1" t="str">
        <f t="shared" si="84"/>
        <v>Starter</v>
      </c>
      <c r="P1009" t="str">
        <f>TEXT(B1009, "mmmm")</f>
        <v>November</v>
      </c>
      <c r="Q1009" t="str">
        <f t="shared" si="85"/>
        <v>Q4</v>
      </c>
      <c r="R1009" t="str">
        <f>IFERROR(VLOOKUP(TRIM(CLEAN(G1009)),Sheet14!$A$2:$B$19,2,FALSE),"Not Mapped")</f>
        <v>West</v>
      </c>
    </row>
    <row r="1010" spans="1:18">
      <c r="A1010" t="str">
        <f t="shared" si="83"/>
        <v>EOS1009</v>
      </c>
      <c r="B1010" s="35">
        <v>45973</v>
      </c>
      <c r="C1010" s="1" t="s">
        <v>267</v>
      </c>
      <c r="D1010" s="1" t="str">
        <f t="shared" si="86"/>
        <v>FB</v>
      </c>
      <c r="E1010" s="5" t="s">
        <v>1562</v>
      </c>
      <c r="F1010" s="1" t="s">
        <v>1563</v>
      </c>
      <c r="G1010" s="1" t="s">
        <v>223</v>
      </c>
      <c r="H1010" s="1" t="s">
        <v>149</v>
      </c>
      <c r="I1010" s="1">
        <v>130000</v>
      </c>
      <c r="J1010" s="45">
        <v>1071008</v>
      </c>
      <c r="K1010" s="1" t="str">
        <f>TRIM(Cleaned_CRM_Data!H1010)</f>
        <v>Rejected</v>
      </c>
      <c r="L1010" t="str">
        <f>IFERROR(VLOOKUP(K1010, Status_Mapping!A:B, 2,), "Not Found")</f>
        <v>Rejected</v>
      </c>
      <c r="N1010" s="29" t="str">
        <f>IF(M1010="","",M1010-B1010)</f>
        <v/>
      </c>
      <c r="O1010" s="1" t="str">
        <f t="shared" si="84"/>
        <v>Starter</v>
      </c>
      <c r="P1010" t="str">
        <f>TEXT(B1010, "mmmm")</f>
        <v>November</v>
      </c>
      <c r="Q1010" t="str">
        <f t="shared" si="85"/>
        <v>Q4</v>
      </c>
      <c r="R1010" t="str">
        <f>IFERROR(VLOOKUP(TRIM(CLEAN(G1010)),Sheet14!$A$2:$B$19,2,FALSE),"Not Mapped")</f>
        <v>West</v>
      </c>
    </row>
    <row r="1011" spans="1:18">
      <c r="A1011" t="str">
        <f t="shared" si="83"/>
        <v>EOS1010</v>
      </c>
      <c r="B1011" s="35">
        <v>45973</v>
      </c>
      <c r="C1011" s="4" t="s">
        <v>267</v>
      </c>
      <c r="D1011" s="1" t="str">
        <f t="shared" si="86"/>
        <v>FB</v>
      </c>
      <c r="E1011" s="5" t="s">
        <v>1564</v>
      </c>
      <c r="F1011" s="5" t="s">
        <v>304</v>
      </c>
      <c r="G1011" s="1" t="s">
        <v>224</v>
      </c>
      <c r="H1011" s="1" t="s">
        <v>69</v>
      </c>
      <c r="I1011" s="1">
        <v>130000</v>
      </c>
      <c r="J1011" s="45">
        <v>1071009</v>
      </c>
      <c r="K1011" s="1" t="str">
        <f>TRIM(Cleaned_CRM_Data!H1011)</f>
        <v>Follow up</v>
      </c>
      <c r="L1011" t="str">
        <f>IFERROR(VLOOKUP(K1011, Status_Mapping!A:B, 2,), "Not Found")</f>
        <v>Follow Up</v>
      </c>
      <c r="N1011" s="29" t="str">
        <f>IF(M1011="","",M1011-B1011)</f>
        <v/>
      </c>
      <c r="O1011" s="1" t="str">
        <f t="shared" si="84"/>
        <v>Starter</v>
      </c>
      <c r="P1011" t="str">
        <f>TEXT(B1011, "mmmm")</f>
        <v>November</v>
      </c>
      <c r="Q1011" t="str">
        <f t="shared" si="85"/>
        <v>Q4</v>
      </c>
      <c r="R1011" t="str">
        <f>IFERROR(VLOOKUP(TRIM(CLEAN(G1011)),Sheet14!$A$2:$B$19,2,FALSE),"Not Mapped")</f>
        <v>West</v>
      </c>
    </row>
    <row r="1012" spans="1:18">
      <c r="A1012" t="str">
        <f t="shared" si="83"/>
        <v>EOS1011</v>
      </c>
      <c r="B1012" s="35">
        <v>45973</v>
      </c>
      <c r="C1012" s="4" t="s">
        <v>267</v>
      </c>
      <c r="D1012" s="1" t="str">
        <f t="shared" si="86"/>
        <v>FB</v>
      </c>
      <c r="E1012" s="5" t="s">
        <v>1565</v>
      </c>
      <c r="F1012" s="1" t="s">
        <v>275</v>
      </c>
      <c r="G1012" s="1" t="s">
        <v>224</v>
      </c>
      <c r="H1012" s="1" t="s">
        <v>69</v>
      </c>
      <c r="I1012" s="1">
        <v>130000</v>
      </c>
      <c r="J1012" s="45">
        <v>1071010</v>
      </c>
      <c r="K1012" s="1" t="str">
        <f>TRIM(Cleaned_CRM_Data!H1012)</f>
        <v>Follow up</v>
      </c>
      <c r="L1012" t="str">
        <f>IFERROR(VLOOKUP(K1012, Status_Mapping!A:B, 2,), "Not Found")</f>
        <v>Follow Up</v>
      </c>
      <c r="N1012" s="29" t="str">
        <f>IF(M1012="","",M1012-B1012)</f>
        <v/>
      </c>
      <c r="O1012" s="1" t="str">
        <f t="shared" si="84"/>
        <v>Starter</v>
      </c>
      <c r="P1012" t="str">
        <f>TEXT(B1012, "mmmm")</f>
        <v>November</v>
      </c>
      <c r="Q1012" t="str">
        <f t="shared" si="85"/>
        <v>Q4</v>
      </c>
      <c r="R1012" t="str">
        <f>IFERROR(VLOOKUP(TRIM(CLEAN(G1012)),Sheet14!$A$2:$B$19,2,FALSE),"Not Mapped")</f>
        <v>West</v>
      </c>
    </row>
    <row r="1013" spans="1:18">
      <c r="A1013" t="str">
        <f t="shared" si="83"/>
        <v>EOS1012</v>
      </c>
      <c r="B1013" s="35">
        <v>45974</v>
      </c>
      <c r="C1013" s="4" t="s">
        <v>267</v>
      </c>
      <c r="D1013" s="1" t="str">
        <f t="shared" si="86"/>
        <v>FB</v>
      </c>
      <c r="E1013" s="5" t="s">
        <v>1566</v>
      </c>
      <c r="F1013" s="1"/>
      <c r="G1013" s="1" t="s">
        <v>224</v>
      </c>
      <c r="H1013" s="1" t="s">
        <v>69</v>
      </c>
      <c r="I1013" s="1">
        <v>177000</v>
      </c>
      <c r="J1013" s="45">
        <v>1071011</v>
      </c>
      <c r="K1013" s="1" t="str">
        <f>TRIM(Cleaned_CRM_Data!H1013)</f>
        <v>Follow up</v>
      </c>
      <c r="L1013" t="str">
        <f>IFERROR(VLOOKUP(K1013, Status_Mapping!A:B, 2,), "Not Found")</f>
        <v>Follow Up</v>
      </c>
      <c r="N1013" s="29" t="str">
        <f>IF(M1013="","",M1013-B1013)</f>
        <v/>
      </c>
      <c r="O1013" s="1" t="str">
        <f t="shared" si="84"/>
        <v>Growth</v>
      </c>
      <c r="P1013" t="str">
        <f>TEXT(B1013, "mmmm")</f>
        <v>November</v>
      </c>
      <c r="Q1013" t="str">
        <f t="shared" si="85"/>
        <v>Q4</v>
      </c>
      <c r="R1013" t="str">
        <f>IFERROR(VLOOKUP(TRIM(CLEAN(G1013)),Sheet14!$A$2:$B$19,2,FALSE),"Not Mapped")</f>
        <v>West</v>
      </c>
    </row>
    <row r="1014" spans="1:18">
      <c r="A1014" t="str">
        <f t="shared" si="83"/>
        <v>EOS1013</v>
      </c>
      <c r="B1014" s="35">
        <v>45974</v>
      </c>
      <c r="C1014" s="4" t="s">
        <v>267</v>
      </c>
      <c r="D1014" s="1" t="str">
        <f t="shared" si="86"/>
        <v>FB</v>
      </c>
      <c r="E1014" s="1" t="s">
        <v>1567</v>
      </c>
      <c r="F1014" s="1" t="s">
        <v>321</v>
      </c>
      <c r="G1014" s="1" t="s">
        <v>224</v>
      </c>
      <c r="H1014" s="1" t="s">
        <v>69</v>
      </c>
      <c r="I1014" s="1">
        <v>108000</v>
      </c>
      <c r="J1014" s="45">
        <v>1071012</v>
      </c>
      <c r="K1014" s="1" t="str">
        <f>TRIM(Cleaned_CRM_Data!H1014)</f>
        <v>Follow up</v>
      </c>
      <c r="L1014" t="str">
        <f>IFERROR(VLOOKUP(K1014, Status_Mapping!A:B, 2,), "Not Found")</f>
        <v>Follow Up</v>
      </c>
      <c r="N1014" s="29" t="str">
        <f>IF(M1014="","",M1014-B1014)</f>
        <v/>
      </c>
      <c r="O1014" s="1" t="str">
        <f t="shared" si="84"/>
        <v>Starter</v>
      </c>
      <c r="P1014" t="str">
        <f>TEXT(B1014, "mmmm")</f>
        <v>November</v>
      </c>
      <c r="Q1014" t="str">
        <f t="shared" si="85"/>
        <v>Q4</v>
      </c>
      <c r="R1014" t="str">
        <f>IFERROR(VLOOKUP(TRIM(CLEAN(G1014)),Sheet14!$A$2:$B$19,2,FALSE),"Not Mapped")</f>
        <v>West</v>
      </c>
    </row>
    <row r="1015" spans="1:18">
      <c r="A1015" t="str">
        <f t="shared" si="83"/>
        <v>EOS1014</v>
      </c>
      <c r="B1015" s="35">
        <v>45974</v>
      </c>
      <c r="C1015" s="4" t="s">
        <v>267</v>
      </c>
      <c r="D1015" s="1" t="str">
        <f t="shared" si="86"/>
        <v>FB</v>
      </c>
      <c r="E1015" s="5" t="s">
        <v>1568</v>
      </c>
      <c r="F1015" s="1"/>
      <c r="G1015" s="1" t="s">
        <v>224</v>
      </c>
      <c r="H1015" s="1" t="s">
        <v>69</v>
      </c>
      <c r="I1015" s="1">
        <v>108000</v>
      </c>
      <c r="J1015" s="45">
        <v>1071013</v>
      </c>
      <c r="K1015" s="1" t="str">
        <f>TRIM(Cleaned_CRM_Data!H1015)</f>
        <v>Follow up</v>
      </c>
      <c r="L1015" t="str">
        <f>IFERROR(VLOOKUP(K1015, Status_Mapping!A:B, 2,), "Not Found")</f>
        <v>Follow Up</v>
      </c>
      <c r="N1015" s="29" t="str">
        <f>IF(M1015="","",M1015-B1015)</f>
        <v/>
      </c>
      <c r="O1015" s="1" t="str">
        <f t="shared" si="84"/>
        <v>Starter</v>
      </c>
      <c r="P1015" t="str">
        <f>TEXT(B1015, "mmmm")</f>
        <v>November</v>
      </c>
      <c r="Q1015" t="str">
        <f t="shared" si="85"/>
        <v>Q4</v>
      </c>
      <c r="R1015" t="str">
        <f>IFERROR(VLOOKUP(TRIM(CLEAN(G1015)),Sheet14!$A$2:$B$19,2,FALSE),"Not Mapped")</f>
        <v>West</v>
      </c>
    </row>
    <row r="1016" spans="1:18">
      <c r="A1016" t="str">
        <f t="shared" si="83"/>
        <v>EOS1015</v>
      </c>
      <c r="B1016" s="35">
        <v>45974</v>
      </c>
      <c r="C1016" s="4" t="s">
        <v>267</v>
      </c>
      <c r="D1016" s="1" t="str">
        <f t="shared" si="86"/>
        <v>FB</v>
      </c>
      <c r="E1016" s="5" t="s">
        <v>1569</v>
      </c>
      <c r="F1016" s="1"/>
      <c r="G1016" s="1" t="s">
        <v>224</v>
      </c>
      <c r="H1016" s="1" t="s">
        <v>69</v>
      </c>
      <c r="I1016" s="1">
        <v>108000</v>
      </c>
      <c r="J1016" s="45">
        <v>1071014</v>
      </c>
      <c r="K1016" s="1" t="str">
        <f>TRIM(Cleaned_CRM_Data!H1016)</f>
        <v>Follow up</v>
      </c>
      <c r="L1016" t="str">
        <f>IFERROR(VLOOKUP(K1016, Status_Mapping!A:B, 2,), "Not Found")</f>
        <v>Follow Up</v>
      </c>
      <c r="N1016" s="29" t="str">
        <f>IF(M1016="","",M1016-B1016)</f>
        <v/>
      </c>
      <c r="O1016" s="1" t="str">
        <f t="shared" si="84"/>
        <v>Starter</v>
      </c>
      <c r="P1016" t="str">
        <f>TEXT(B1016, "mmmm")</f>
        <v>November</v>
      </c>
      <c r="Q1016" t="str">
        <f t="shared" si="85"/>
        <v>Q4</v>
      </c>
      <c r="R1016" t="str">
        <f>IFERROR(VLOOKUP(TRIM(CLEAN(G1016)),Sheet14!$A$2:$B$19,2,FALSE),"Not Mapped")</f>
        <v>West</v>
      </c>
    </row>
    <row r="1017" spans="1:18">
      <c r="A1017" t="str">
        <f t="shared" si="83"/>
        <v>EOS1016</v>
      </c>
      <c r="B1017" s="35">
        <v>45974</v>
      </c>
      <c r="C1017" s="4" t="s">
        <v>267</v>
      </c>
      <c r="D1017" s="1" t="str">
        <f t="shared" si="86"/>
        <v>FB</v>
      </c>
      <c r="E1017" s="1"/>
      <c r="F1017" s="1"/>
      <c r="G1017" s="1" t="s">
        <v>224</v>
      </c>
      <c r="H1017" s="1" t="s">
        <v>69</v>
      </c>
      <c r="I1017" s="1">
        <v>108000</v>
      </c>
      <c r="J1017" s="45">
        <v>1071015</v>
      </c>
      <c r="K1017" s="1" t="str">
        <f>TRIM(Cleaned_CRM_Data!H1017)</f>
        <v>Follow up</v>
      </c>
      <c r="L1017" t="str">
        <f>IFERROR(VLOOKUP(K1017, Status_Mapping!A:B, 2,), "Not Found")</f>
        <v>Follow Up</v>
      </c>
      <c r="N1017" s="29" t="str">
        <f>IF(M1017="","",M1017-B1017)</f>
        <v/>
      </c>
      <c r="O1017" s="1" t="str">
        <f t="shared" si="84"/>
        <v>Starter</v>
      </c>
      <c r="P1017" t="str">
        <f>TEXT(B1017, "mmmm")</f>
        <v>November</v>
      </c>
      <c r="Q1017" t="str">
        <f t="shared" si="85"/>
        <v>Q4</v>
      </c>
      <c r="R1017" t="str">
        <f>IFERROR(VLOOKUP(TRIM(CLEAN(G1017)),Sheet14!$A$2:$B$19,2,FALSE),"Not Mapped")</f>
        <v>West</v>
      </c>
    </row>
    <row r="1018" spans="1:18">
      <c r="A1018" t="str">
        <f t="shared" si="83"/>
        <v>EOS1017</v>
      </c>
      <c r="B1018" s="35">
        <v>45975</v>
      </c>
      <c r="C1018" s="1" t="s">
        <v>267</v>
      </c>
      <c r="D1018" s="1" t="str">
        <f t="shared" si="86"/>
        <v>FB</v>
      </c>
      <c r="E1018" s="5" t="s">
        <v>1570</v>
      </c>
      <c r="F1018" s="1" t="s">
        <v>296</v>
      </c>
      <c r="G1018" s="1" t="s">
        <v>223</v>
      </c>
      <c r="H1018" s="1" t="s">
        <v>149</v>
      </c>
      <c r="I1018" s="1">
        <v>130000</v>
      </c>
      <c r="J1018" s="45">
        <v>1071016</v>
      </c>
      <c r="K1018" s="1" t="str">
        <f>TRIM(Cleaned_CRM_Data!H1018)</f>
        <v>Rejected</v>
      </c>
      <c r="L1018" t="str">
        <f>IFERROR(VLOOKUP(K1018, Status_Mapping!A:B, 2,), "Not Found")</f>
        <v>Rejected</v>
      </c>
      <c r="N1018" s="29" t="str">
        <f>IF(M1018="","",M1018-B1018)</f>
        <v/>
      </c>
      <c r="O1018" s="1" t="str">
        <f t="shared" si="84"/>
        <v>Starter</v>
      </c>
      <c r="P1018" t="str">
        <f>TEXT(B1018, "mmmm")</f>
        <v>November</v>
      </c>
      <c r="Q1018" t="str">
        <f t="shared" si="85"/>
        <v>Q4</v>
      </c>
      <c r="R1018" t="str">
        <f>IFERROR(VLOOKUP(TRIM(CLEAN(G1018)),Sheet14!$A$2:$B$19,2,FALSE),"Not Mapped")</f>
        <v>West</v>
      </c>
    </row>
    <row r="1019" spans="1:18">
      <c r="A1019" t="str">
        <f t="shared" si="83"/>
        <v>EOS1018</v>
      </c>
      <c r="B1019" s="35">
        <v>45975</v>
      </c>
      <c r="C1019" s="1" t="s">
        <v>267</v>
      </c>
      <c r="D1019" s="1" t="str">
        <f t="shared" si="86"/>
        <v>FB</v>
      </c>
      <c r="E1019" s="5" t="s">
        <v>1571</v>
      </c>
      <c r="F1019" s="1"/>
      <c r="G1019" s="1" t="s">
        <v>223</v>
      </c>
      <c r="H1019" s="1" t="s">
        <v>149</v>
      </c>
      <c r="I1019" s="1">
        <v>108000</v>
      </c>
      <c r="J1019" s="45">
        <v>1071017</v>
      </c>
      <c r="K1019" s="1" t="str">
        <f>TRIM(Cleaned_CRM_Data!H1019)</f>
        <v>Rejected</v>
      </c>
      <c r="L1019" t="str">
        <f>IFERROR(VLOOKUP(K1019, Status_Mapping!A:B, 2,), "Not Found")</f>
        <v>Rejected</v>
      </c>
      <c r="N1019" s="29" t="str">
        <f>IF(M1019="","",M1019-B1019)</f>
        <v/>
      </c>
      <c r="O1019" s="1" t="str">
        <f t="shared" si="84"/>
        <v>Starter</v>
      </c>
      <c r="P1019" t="str">
        <f>TEXT(B1019, "mmmm")</f>
        <v>November</v>
      </c>
      <c r="Q1019" t="str">
        <f t="shared" si="85"/>
        <v>Q4</v>
      </c>
      <c r="R1019" t="str">
        <f>IFERROR(VLOOKUP(TRIM(CLEAN(G1019)),Sheet14!$A$2:$B$19,2,FALSE),"Not Mapped")</f>
        <v>West</v>
      </c>
    </row>
    <row r="1020" spans="1:18">
      <c r="A1020" t="str">
        <f t="shared" si="83"/>
        <v>EOS1019</v>
      </c>
      <c r="B1020" s="35">
        <v>45975</v>
      </c>
      <c r="C1020" s="4" t="s">
        <v>267</v>
      </c>
      <c r="D1020" s="1" t="str">
        <f t="shared" si="86"/>
        <v>FB</v>
      </c>
      <c r="E1020" s="5" t="s">
        <v>1572</v>
      </c>
      <c r="F1020" s="1"/>
      <c r="G1020" s="1" t="s">
        <v>224</v>
      </c>
      <c r="H1020" s="1" t="s">
        <v>69</v>
      </c>
      <c r="I1020" s="1">
        <v>130000</v>
      </c>
      <c r="J1020" s="45">
        <v>1071018</v>
      </c>
      <c r="K1020" s="1" t="str">
        <f>TRIM(Cleaned_CRM_Data!H1020)</f>
        <v>Follow up</v>
      </c>
      <c r="L1020" t="str">
        <f>IFERROR(VLOOKUP(K1020, Status_Mapping!A:B, 2,), "Not Found")</f>
        <v>Follow Up</v>
      </c>
      <c r="N1020" s="29" t="str">
        <f>IF(M1020="","",M1020-B1020)</f>
        <v/>
      </c>
      <c r="O1020" s="1" t="str">
        <f t="shared" si="84"/>
        <v>Starter</v>
      </c>
      <c r="P1020" t="str">
        <f>TEXT(B1020, "mmmm")</f>
        <v>November</v>
      </c>
      <c r="Q1020" t="str">
        <f t="shared" si="85"/>
        <v>Q4</v>
      </c>
      <c r="R1020" t="str">
        <f>IFERROR(VLOOKUP(TRIM(CLEAN(G1020)),Sheet14!$A$2:$B$19,2,FALSE),"Not Mapped")</f>
        <v>West</v>
      </c>
    </row>
    <row r="1021" spans="1:18">
      <c r="A1021" t="str">
        <f t="shared" si="83"/>
        <v>EOS1020</v>
      </c>
      <c r="B1021" s="35">
        <v>45975</v>
      </c>
      <c r="C1021" s="4" t="s">
        <v>267</v>
      </c>
      <c r="D1021" s="1" t="str">
        <f t="shared" si="86"/>
        <v>FB</v>
      </c>
      <c r="E1021" s="5" t="s">
        <v>1573</v>
      </c>
      <c r="F1021" s="1"/>
      <c r="G1021" s="1" t="s">
        <v>224</v>
      </c>
      <c r="H1021" s="1" t="s">
        <v>69</v>
      </c>
      <c r="I1021" s="1">
        <v>130000</v>
      </c>
      <c r="J1021" s="45">
        <v>1071019</v>
      </c>
      <c r="K1021" s="1" t="str">
        <f>TRIM(Cleaned_CRM_Data!H1021)</f>
        <v>Follow up</v>
      </c>
      <c r="L1021" t="str">
        <f>IFERROR(VLOOKUP(K1021, Status_Mapping!A:B, 2,), "Not Found")</f>
        <v>Follow Up</v>
      </c>
      <c r="N1021" s="29" t="str">
        <f>IF(M1021="","",M1021-B1021)</f>
        <v/>
      </c>
      <c r="O1021" s="1" t="str">
        <f t="shared" si="84"/>
        <v>Starter</v>
      </c>
      <c r="P1021" t="str">
        <f>TEXT(B1021, "mmmm")</f>
        <v>November</v>
      </c>
      <c r="Q1021" t="str">
        <f t="shared" si="85"/>
        <v>Q4</v>
      </c>
      <c r="R1021" t="str">
        <f>IFERROR(VLOOKUP(TRIM(CLEAN(G1021)),Sheet14!$A$2:$B$19,2,FALSE),"Not Mapped")</f>
        <v>West</v>
      </c>
    </row>
    <row r="1022" spans="1:18">
      <c r="A1022" t="str">
        <f t="shared" si="83"/>
        <v>EOS1021</v>
      </c>
      <c r="B1022" s="35">
        <v>45975</v>
      </c>
      <c r="C1022" s="4" t="s">
        <v>267</v>
      </c>
      <c r="D1022" s="1" t="str">
        <f t="shared" si="86"/>
        <v>FB</v>
      </c>
      <c r="E1022" s="5" t="s">
        <v>1574</v>
      </c>
      <c r="F1022" s="1"/>
      <c r="G1022" s="1" t="s">
        <v>224</v>
      </c>
      <c r="H1022" s="1" t="s">
        <v>69</v>
      </c>
      <c r="I1022" s="1">
        <v>130000</v>
      </c>
      <c r="J1022" s="45">
        <v>1071020</v>
      </c>
      <c r="K1022" s="1" t="str">
        <f>TRIM(Cleaned_CRM_Data!H1022)</f>
        <v>Follow up</v>
      </c>
      <c r="L1022" t="str">
        <f>IFERROR(VLOOKUP(K1022, Status_Mapping!A:B, 2,), "Not Found")</f>
        <v>Follow Up</v>
      </c>
      <c r="N1022" s="29" t="str">
        <f>IF(M1022="","",M1022-B1022)</f>
        <v/>
      </c>
      <c r="O1022" s="1" t="str">
        <f t="shared" si="84"/>
        <v>Starter</v>
      </c>
      <c r="P1022" t="str">
        <f>TEXT(B1022, "mmmm")</f>
        <v>November</v>
      </c>
      <c r="Q1022" t="str">
        <f t="shared" si="85"/>
        <v>Q4</v>
      </c>
      <c r="R1022" t="str">
        <f>IFERROR(VLOOKUP(TRIM(CLEAN(G1022)),Sheet14!$A$2:$B$19,2,FALSE),"Not Mapped")</f>
        <v>West</v>
      </c>
    </row>
    <row r="1023" spans="1:18">
      <c r="A1023" t="str">
        <f t="shared" si="83"/>
        <v>EOS1022</v>
      </c>
      <c r="B1023" s="35">
        <v>45975</v>
      </c>
      <c r="C1023" s="4" t="s">
        <v>267</v>
      </c>
      <c r="D1023" s="1" t="str">
        <f t="shared" si="86"/>
        <v>FB</v>
      </c>
      <c r="E1023" s="5" t="s">
        <v>1575</v>
      </c>
      <c r="F1023" s="1"/>
      <c r="G1023" s="1" t="s">
        <v>224</v>
      </c>
      <c r="H1023" s="1" t="s">
        <v>69</v>
      </c>
      <c r="I1023" s="1">
        <v>130000</v>
      </c>
      <c r="J1023" s="45">
        <v>1071021</v>
      </c>
      <c r="K1023" s="1" t="str">
        <f>TRIM(Cleaned_CRM_Data!H1023)</f>
        <v>Follow up</v>
      </c>
      <c r="L1023" t="str">
        <f>IFERROR(VLOOKUP(K1023, Status_Mapping!A:B, 2,), "Not Found")</f>
        <v>Follow Up</v>
      </c>
      <c r="N1023" s="29" t="str">
        <f>IF(M1023="","",M1023-B1023)</f>
        <v/>
      </c>
      <c r="O1023" s="1" t="str">
        <f t="shared" si="84"/>
        <v>Starter</v>
      </c>
      <c r="P1023" t="str">
        <f>TEXT(B1023, "mmmm")</f>
        <v>November</v>
      </c>
      <c r="Q1023" t="str">
        <f t="shared" si="85"/>
        <v>Q4</v>
      </c>
      <c r="R1023" t="str">
        <f>IFERROR(VLOOKUP(TRIM(CLEAN(G1023)),Sheet14!$A$2:$B$19,2,FALSE),"Not Mapped")</f>
        <v>West</v>
      </c>
    </row>
    <row r="1024" spans="1:18">
      <c r="A1024" t="str">
        <f t="shared" si="83"/>
        <v>EOS1023</v>
      </c>
      <c r="B1024" s="35">
        <v>45975</v>
      </c>
      <c r="C1024" s="4" t="s">
        <v>267</v>
      </c>
      <c r="D1024" s="1" t="str">
        <f t="shared" si="86"/>
        <v>FB</v>
      </c>
      <c r="E1024" s="5" t="s">
        <v>1576</v>
      </c>
      <c r="F1024" s="1"/>
      <c r="G1024" s="1" t="s">
        <v>224</v>
      </c>
      <c r="H1024" s="1" t="s">
        <v>69</v>
      </c>
      <c r="I1024" s="1">
        <v>130000</v>
      </c>
      <c r="J1024" s="45">
        <v>1071022</v>
      </c>
      <c r="K1024" s="1" t="str">
        <f>TRIM(Cleaned_CRM_Data!H1024)</f>
        <v>Follow up</v>
      </c>
      <c r="L1024" t="str">
        <f>IFERROR(VLOOKUP(K1024, Status_Mapping!A:B, 2,), "Not Found")</f>
        <v>Follow Up</v>
      </c>
      <c r="N1024" s="29" t="str">
        <f>IF(M1024="","",M1024-B1024)</f>
        <v/>
      </c>
      <c r="O1024" s="1" t="str">
        <f t="shared" si="84"/>
        <v>Starter</v>
      </c>
      <c r="P1024" t="str">
        <f>TEXT(B1024, "mmmm")</f>
        <v>November</v>
      </c>
      <c r="Q1024" t="str">
        <f t="shared" si="85"/>
        <v>Q4</v>
      </c>
      <c r="R1024" t="str">
        <f>IFERROR(VLOOKUP(TRIM(CLEAN(G1024)),Sheet14!$A$2:$B$19,2,FALSE),"Not Mapped")</f>
        <v>West</v>
      </c>
    </row>
    <row r="1025" spans="1:18">
      <c r="A1025" t="str">
        <f t="shared" si="83"/>
        <v>EOS1024</v>
      </c>
      <c r="B1025" s="35">
        <v>45975</v>
      </c>
      <c r="C1025" s="4" t="s">
        <v>267</v>
      </c>
      <c r="D1025" s="1" t="str">
        <f t="shared" si="86"/>
        <v>FB</v>
      </c>
      <c r="E1025" s="5" t="s">
        <v>1577</v>
      </c>
      <c r="F1025" s="1"/>
      <c r="G1025" s="1" t="s">
        <v>224</v>
      </c>
      <c r="H1025" s="1" t="s">
        <v>69</v>
      </c>
      <c r="I1025" s="1">
        <v>108000</v>
      </c>
      <c r="J1025" s="45">
        <v>1071023</v>
      </c>
      <c r="K1025" s="1" t="str">
        <f>TRIM(Cleaned_CRM_Data!H1025)</f>
        <v>Follow up</v>
      </c>
      <c r="L1025" t="str">
        <f>IFERROR(VLOOKUP(K1025, Status_Mapping!A:B, 2,), "Not Found")</f>
        <v>Follow Up</v>
      </c>
      <c r="N1025" s="29" t="str">
        <f>IF(M1025="","",M1025-B1025)</f>
        <v/>
      </c>
      <c r="O1025" s="1" t="str">
        <f t="shared" si="84"/>
        <v>Starter</v>
      </c>
      <c r="P1025" t="str">
        <f>TEXT(B1025, "mmmm")</f>
        <v>November</v>
      </c>
      <c r="Q1025" t="str">
        <f t="shared" si="85"/>
        <v>Q4</v>
      </c>
      <c r="R1025" t="str">
        <f>IFERROR(VLOOKUP(TRIM(CLEAN(G1025)),Sheet14!$A$2:$B$19,2,FALSE),"Not Mapped")</f>
        <v>West</v>
      </c>
    </row>
    <row r="1026" spans="1:18">
      <c r="A1026" t="str">
        <f t="shared" si="83"/>
        <v>EOS1025</v>
      </c>
      <c r="B1026" s="36">
        <v>45976</v>
      </c>
      <c r="C1026" s="2" t="s">
        <v>911</v>
      </c>
      <c r="D1026" s="2"/>
      <c r="E1026" s="2" t="s">
        <v>1578</v>
      </c>
      <c r="F1026" s="1" t="s">
        <v>1579</v>
      </c>
      <c r="G1026" s="1" t="s">
        <v>224</v>
      </c>
      <c r="H1026" s="1" t="s">
        <v>40</v>
      </c>
      <c r="I1026" s="1">
        <v>130000</v>
      </c>
      <c r="J1026" s="45">
        <v>1071024</v>
      </c>
      <c r="K1026" s="1" t="str">
        <f>TRIM(Cleaned_CRM_Data!H1026)</f>
        <v>Deal</v>
      </c>
      <c r="L1026" t="str">
        <f>IFERROR(VLOOKUP(K1026, Status_Mapping!A:B, 2,), "Not Found")</f>
        <v>Converted</v>
      </c>
      <c r="M1026" s="32">
        <v>45991</v>
      </c>
      <c r="N1026" s="29">
        <f>IF(M1026="","",M1026-B1026)</f>
        <v>15</v>
      </c>
      <c r="O1026" s="1" t="str">
        <f t="shared" si="84"/>
        <v>Starter</v>
      </c>
      <c r="P1026" t="str">
        <f>TEXT(B1026, "mmmm")</f>
        <v>November</v>
      </c>
      <c r="Q1026" t="str">
        <f t="shared" si="85"/>
        <v>Q4</v>
      </c>
      <c r="R1026" t="str">
        <f>IFERROR(VLOOKUP(TRIM(CLEAN(G1026)),Sheet14!$A$2:$B$19,2,FALSE),"Not Mapped")</f>
        <v>West</v>
      </c>
    </row>
    <row r="1027" spans="1:18">
      <c r="A1027" t="str">
        <f t="shared" ref="A1027:A1090" si="87">"EOS"&amp;TEXT(ROW()-1,"0000")</f>
        <v>EOS1026</v>
      </c>
      <c r="B1027" s="35">
        <v>45975</v>
      </c>
      <c r="C1027" s="4" t="s">
        <v>267</v>
      </c>
      <c r="D1027" s="1" t="str">
        <f t="shared" ref="D1027:D1090" si="88">TRIM(CLEAN(SUBSTITUTE(C1027,CHAR(160),"")))</f>
        <v>FB</v>
      </c>
      <c r="E1027" s="5" t="s">
        <v>1580</v>
      </c>
      <c r="F1027" s="1"/>
      <c r="G1027" s="1" t="s">
        <v>224</v>
      </c>
      <c r="H1027" s="1" t="s">
        <v>69</v>
      </c>
      <c r="I1027" s="1">
        <v>130000</v>
      </c>
      <c r="J1027" s="45">
        <v>1071025</v>
      </c>
      <c r="K1027" s="1" t="str">
        <f>TRIM(Cleaned_CRM_Data!H1027)</f>
        <v>Follow up</v>
      </c>
      <c r="L1027" t="str">
        <f>IFERROR(VLOOKUP(K1027, Status_Mapping!A:B, 2,), "Not Found")</f>
        <v>Follow Up</v>
      </c>
      <c r="N1027" s="29" t="str">
        <f>IF(M1027="","",M1027-B1027)</f>
        <v/>
      </c>
      <c r="O1027" s="1" t="str">
        <f t="shared" ref="O1027:O1090" si="89">IF(OR(I1027=108000,I1027=130000),"Starter",IF(I1027=177000,"Growth","Premium"))</f>
        <v>Starter</v>
      </c>
      <c r="P1027" t="str">
        <f>TEXT(B1027, "mmmm")</f>
        <v>November</v>
      </c>
      <c r="Q1027" t="str">
        <f t="shared" ref="Q1027:Q1090" si="90">"Q"&amp;ROUNDUP(MONTH(B1027)/3,0)</f>
        <v>Q4</v>
      </c>
      <c r="R1027" t="str">
        <f>IFERROR(VLOOKUP(TRIM(CLEAN(G1027)),Sheet14!$A$2:$B$19,2,FALSE),"Not Mapped")</f>
        <v>West</v>
      </c>
    </row>
    <row r="1028" spans="1:18">
      <c r="A1028" t="str">
        <f t="shared" si="87"/>
        <v>EOS1027</v>
      </c>
      <c r="B1028" s="35">
        <v>45976</v>
      </c>
      <c r="C1028" s="4" t="s">
        <v>267</v>
      </c>
      <c r="D1028" s="1" t="str">
        <f t="shared" si="88"/>
        <v>FB</v>
      </c>
      <c r="E1028" s="5" t="s">
        <v>1581</v>
      </c>
      <c r="F1028" s="1"/>
      <c r="G1028" s="1" t="s">
        <v>223</v>
      </c>
      <c r="H1028" s="1" t="s">
        <v>149</v>
      </c>
      <c r="I1028" s="1">
        <v>130000</v>
      </c>
      <c r="J1028" s="45">
        <v>1071026</v>
      </c>
      <c r="K1028" s="1" t="str">
        <f>TRIM(Cleaned_CRM_Data!H1028)</f>
        <v>Rejected</v>
      </c>
      <c r="L1028" t="str">
        <f>IFERROR(VLOOKUP(K1028, Status_Mapping!A:B, 2,), "Not Found")</f>
        <v>Rejected</v>
      </c>
      <c r="N1028" s="29" t="str">
        <f>IF(M1028="","",M1028-B1028)</f>
        <v/>
      </c>
      <c r="O1028" s="1" t="str">
        <f t="shared" si="89"/>
        <v>Starter</v>
      </c>
      <c r="P1028" t="str">
        <f>TEXT(B1028, "mmmm")</f>
        <v>November</v>
      </c>
      <c r="Q1028" t="str">
        <f t="shared" si="90"/>
        <v>Q4</v>
      </c>
      <c r="R1028" t="str">
        <f>IFERROR(VLOOKUP(TRIM(CLEAN(G1028)),Sheet14!$A$2:$B$19,2,FALSE),"Not Mapped")</f>
        <v>West</v>
      </c>
    </row>
    <row r="1029" spans="1:18">
      <c r="A1029" t="str">
        <f t="shared" si="87"/>
        <v>EOS1028</v>
      </c>
      <c r="B1029" s="35">
        <v>45976</v>
      </c>
      <c r="C1029" s="1" t="s">
        <v>267</v>
      </c>
      <c r="D1029" s="1" t="str">
        <f t="shared" si="88"/>
        <v>FB</v>
      </c>
      <c r="E1029" s="5" t="s">
        <v>1582</v>
      </c>
      <c r="F1029" s="1"/>
      <c r="G1029" s="1" t="s">
        <v>224</v>
      </c>
      <c r="H1029" s="1" t="s">
        <v>69</v>
      </c>
      <c r="I1029" s="1">
        <v>108000</v>
      </c>
      <c r="J1029" s="45">
        <v>1071027</v>
      </c>
      <c r="K1029" s="1" t="str">
        <f>TRIM(Cleaned_CRM_Data!H1029)</f>
        <v>Follow up</v>
      </c>
      <c r="L1029" t="str">
        <f>IFERROR(VLOOKUP(K1029, Status_Mapping!A:B, 2,), "Not Found")</f>
        <v>Follow Up</v>
      </c>
      <c r="N1029" s="29" t="str">
        <f>IF(M1029="","",M1029-B1029)</f>
        <v/>
      </c>
      <c r="O1029" s="1" t="str">
        <f t="shared" si="89"/>
        <v>Starter</v>
      </c>
      <c r="P1029" t="str">
        <f>TEXT(B1029, "mmmm")</f>
        <v>November</v>
      </c>
      <c r="Q1029" t="str">
        <f t="shared" si="90"/>
        <v>Q4</v>
      </c>
      <c r="R1029" t="str">
        <f>IFERROR(VLOOKUP(TRIM(CLEAN(G1029)),Sheet14!$A$2:$B$19,2,FALSE),"Not Mapped")</f>
        <v>West</v>
      </c>
    </row>
    <row r="1030" spans="1:18">
      <c r="A1030" t="str">
        <f t="shared" si="87"/>
        <v>EOS1029</v>
      </c>
      <c r="B1030" s="35">
        <v>45976</v>
      </c>
      <c r="C1030" s="4" t="s">
        <v>267</v>
      </c>
      <c r="D1030" s="1" t="str">
        <f t="shared" si="88"/>
        <v>FB</v>
      </c>
      <c r="E1030" s="5" t="s">
        <v>1583</v>
      </c>
      <c r="F1030" s="1"/>
      <c r="G1030" s="1" t="s">
        <v>224</v>
      </c>
      <c r="H1030" s="1" t="s">
        <v>69</v>
      </c>
      <c r="I1030" s="1">
        <v>108000</v>
      </c>
      <c r="J1030" s="45">
        <v>1071028</v>
      </c>
      <c r="K1030" s="1" t="str">
        <f>TRIM(Cleaned_CRM_Data!H1030)</f>
        <v>Follow up</v>
      </c>
      <c r="L1030" t="str">
        <f>IFERROR(VLOOKUP(K1030, Status_Mapping!A:B, 2,), "Not Found")</f>
        <v>Follow Up</v>
      </c>
      <c r="N1030" s="29" t="str">
        <f>IF(M1030="","",M1030-B1030)</f>
        <v/>
      </c>
      <c r="O1030" s="1" t="str">
        <f t="shared" si="89"/>
        <v>Starter</v>
      </c>
      <c r="P1030" t="str">
        <f>TEXT(B1030, "mmmm")</f>
        <v>November</v>
      </c>
      <c r="Q1030" t="str">
        <f t="shared" si="90"/>
        <v>Q4</v>
      </c>
      <c r="R1030" t="str">
        <f>IFERROR(VLOOKUP(TRIM(CLEAN(G1030)),Sheet14!$A$2:$B$19,2,FALSE),"Not Mapped")</f>
        <v>West</v>
      </c>
    </row>
    <row r="1031" spans="1:18">
      <c r="A1031" t="str">
        <f t="shared" si="87"/>
        <v>EOS1030</v>
      </c>
      <c r="B1031" s="35">
        <v>45976</v>
      </c>
      <c r="C1031" s="4" t="s">
        <v>267</v>
      </c>
      <c r="D1031" s="1" t="str">
        <f t="shared" si="88"/>
        <v>FB</v>
      </c>
      <c r="E1031" s="5" t="s">
        <v>1584</v>
      </c>
      <c r="F1031" s="1"/>
      <c r="G1031" s="1" t="s">
        <v>224</v>
      </c>
      <c r="H1031" s="1" t="s">
        <v>69</v>
      </c>
      <c r="I1031" s="1">
        <v>108000</v>
      </c>
      <c r="J1031" s="45">
        <v>1071029</v>
      </c>
      <c r="K1031" s="1" t="str">
        <f>TRIM(Cleaned_CRM_Data!H1031)</f>
        <v>Follow up</v>
      </c>
      <c r="L1031" t="str">
        <f>IFERROR(VLOOKUP(K1031, Status_Mapping!A:B, 2,), "Not Found")</f>
        <v>Follow Up</v>
      </c>
      <c r="N1031" s="29" t="str">
        <f>IF(M1031="","",M1031-B1031)</f>
        <v/>
      </c>
      <c r="O1031" s="1" t="str">
        <f t="shared" si="89"/>
        <v>Starter</v>
      </c>
      <c r="P1031" t="str">
        <f>TEXT(B1031, "mmmm")</f>
        <v>November</v>
      </c>
      <c r="Q1031" t="str">
        <f t="shared" si="90"/>
        <v>Q4</v>
      </c>
      <c r="R1031" t="str">
        <f>IFERROR(VLOOKUP(TRIM(CLEAN(G1031)),Sheet14!$A$2:$B$19,2,FALSE),"Not Mapped")</f>
        <v>West</v>
      </c>
    </row>
    <row r="1032" spans="1:18">
      <c r="A1032" t="str">
        <f t="shared" si="87"/>
        <v>EOS1031</v>
      </c>
      <c r="B1032" s="35">
        <v>45976</v>
      </c>
      <c r="C1032" s="4" t="s">
        <v>267</v>
      </c>
      <c r="D1032" s="1" t="str">
        <f t="shared" si="88"/>
        <v>FB</v>
      </c>
      <c r="E1032" s="5" t="s">
        <v>1585</v>
      </c>
      <c r="F1032" s="1"/>
      <c r="G1032" s="1" t="s">
        <v>224</v>
      </c>
      <c r="H1032" s="1" t="s">
        <v>69</v>
      </c>
      <c r="I1032" s="1">
        <v>130000</v>
      </c>
      <c r="J1032" s="45">
        <v>1071030</v>
      </c>
      <c r="K1032" s="1" t="str">
        <f>TRIM(Cleaned_CRM_Data!H1032)</f>
        <v>Follow up</v>
      </c>
      <c r="L1032" t="str">
        <f>IFERROR(VLOOKUP(K1032, Status_Mapping!A:B, 2,), "Not Found")</f>
        <v>Follow Up</v>
      </c>
      <c r="N1032" s="29" t="str">
        <f>IF(M1032="","",M1032-B1032)</f>
        <v/>
      </c>
      <c r="O1032" s="1" t="str">
        <f t="shared" si="89"/>
        <v>Starter</v>
      </c>
      <c r="P1032" t="str">
        <f>TEXT(B1032, "mmmm")</f>
        <v>November</v>
      </c>
      <c r="Q1032" t="str">
        <f t="shared" si="90"/>
        <v>Q4</v>
      </c>
      <c r="R1032" t="str">
        <f>IFERROR(VLOOKUP(TRIM(CLEAN(G1032)),Sheet14!$A$2:$B$19,2,FALSE),"Not Mapped")</f>
        <v>West</v>
      </c>
    </row>
    <row r="1033" spans="1:18">
      <c r="A1033" t="str">
        <f t="shared" si="87"/>
        <v>EOS1032</v>
      </c>
      <c r="B1033" s="35">
        <v>45976</v>
      </c>
      <c r="C1033" s="4" t="s">
        <v>267</v>
      </c>
      <c r="D1033" s="1" t="str">
        <f t="shared" si="88"/>
        <v>FB</v>
      </c>
      <c r="E1033" s="5" t="s">
        <v>1586</v>
      </c>
      <c r="F1033" s="1"/>
      <c r="G1033" s="1" t="s">
        <v>224</v>
      </c>
      <c r="H1033" s="1" t="s">
        <v>69</v>
      </c>
      <c r="I1033" s="1">
        <v>108000</v>
      </c>
      <c r="J1033" s="45">
        <v>1071031</v>
      </c>
      <c r="K1033" s="1" t="str">
        <f>TRIM(Cleaned_CRM_Data!H1033)</f>
        <v>Follow up</v>
      </c>
      <c r="L1033" t="str">
        <f>IFERROR(VLOOKUP(K1033, Status_Mapping!A:B, 2,), "Not Found")</f>
        <v>Follow Up</v>
      </c>
      <c r="N1033" s="29" t="str">
        <f>IF(M1033="","",M1033-B1033)</f>
        <v/>
      </c>
      <c r="O1033" s="1" t="str">
        <f t="shared" si="89"/>
        <v>Starter</v>
      </c>
      <c r="P1033" t="str">
        <f>TEXT(B1033, "mmmm")</f>
        <v>November</v>
      </c>
      <c r="Q1033" t="str">
        <f t="shared" si="90"/>
        <v>Q4</v>
      </c>
      <c r="R1033" t="str">
        <f>IFERROR(VLOOKUP(TRIM(CLEAN(G1033)),Sheet14!$A$2:$B$19,2,FALSE),"Not Mapped")</f>
        <v>West</v>
      </c>
    </row>
    <row r="1034" spans="1:18">
      <c r="A1034" t="str">
        <f t="shared" si="87"/>
        <v>EOS1033</v>
      </c>
      <c r="B1034" s="35">
        <v>45976</v>
      </c>
      <c r="C1034" s="4" t="s">
        <v>267</v>
      </c>
      <c r="D1034" s="1" t="str">
        <f t="shared" si="88"/>
        <v>FB</v>
      </c>
      <c r="E1034" s="5" t="s">
        <v>1587</v>
      </c>
      <c r="F1034" s="1"/>
      <c r="G1034" s="1" t="s">
        <v>224</v>
      </c>
      <c r="H1034" s="1" t="s">
        <v>69</v>
      </c>
      <c r="I1034" s="1">
        <v>130000</v>
      </c>
      <c r="J1034" s="45">
        <v>1071032</v>
      </c>
      <c r="K1034" s="1" t="str">
        <f>TRIM(Cleaned_CRM_Data!H1034)</f>
        <v>Follow up</v>
      </c>
      <c r="L1034" t="str">
        <f>IFERROR(VLOOKUP(K1034, Status_Mapping!A:B, 2,), "Not Found")</f>
        <v>Follow Up</v>
      </c>
      <c r="N1034" s="29" t="str">
        <f>IF(M1034="","",M1034-B1034)</f>
        <v/>
      </c>
      <c r="O1034" s="1" t="str">
        <f t="shared" si="89"/>
        <v>Starter</v>
      </c>
      <c r="P1034" t="str">
        <f>TEXT(B1034, "mmmm")</f>
        <v>November</v>
      </c>
      <c r="Q1034" t="str">
        <f t="shared" si="90"/>
        <v>Q4</v>
      </c>
      <c r="R1034" t="str">
        <f>IFERROR(VLOOKUP(TRIM(CLEAN(G1034)),Sheet14!$A$2:$B$19,2,FALSE),"Not Mapped")</f>
        <v>West</v>
      </c>
    </row>
    <row r="1035" spans="1:18">
      <c r="A1035" t="str">
        <f t="shared" si="87"/>
        <v>EOS1034</v>
      </c>
      <c r="B1035" s="35">
        <v>45976</v>
      </c>
      <c r="C1035" s="4" t="s">
        <v>267</v>
      </c>
      <c r="D1035" s="1" t="str">
        <f t="shared" si="88"/>
        <v>FB</v>
      </c>
      <c r="E1035" s="1"/>
      <c r="F1035" s="1"/>
      <c r="G1035" s="1" t="s">
        <v>224</v>
      </c>
      <c r="H1035" s="1" t="s">
        <v>69</v>
      </c>
      <c r="I1035" s="1">
        <v>177000</v>
      </c>
      <c r="J1035" s="45">
        <v>1071033</v>
      </c>
      <c r="K1035" s="1" t="str">
        <f>TRIM(Cleaned_CRM_Data!H1035)</f>
        <v>Follow up</v>
      </c>
      <c r="L1035" t="str">
        <f>IFERROR(VLOOKUP(K1035, Status_Mapping!A:B, 2,), "Not Found")</f>
        <v>Follow Up</v>
      </c>
      <c r="N1035" s="29" t="str">
        <f>IF(M1035="","",M1035-B1035)</f>
        <v/>
      </c>
      <c r="O1035" s="1" t="str">
        <f t="shared" si="89"/>
        <v>Growth</v>
      </c>
      <c r="P1035" t="str">
        <f>TEXT(B1035, "mmmm")</f>
        <v>November</v>
      </c>
      <c r="Q1035" t="str">
        <f t="shared" si="90"/>
        <v>Q4</v>
      </c>
      <c r="R1035" t="str">
        <f>IFERROR(VLOOKUP(TRIM(CLEAN(G1035)),Sheet14!$A$2:$B$19,2,FALSE),"Not Mapped")</f>
        <v>West</v>
      </c>
    </row>
    <row r="1036" spans="1:18">
      <c r="A1036" t="str">
        <f t="shared" si="87"/>
        <v>EOS1035</v>
      </c>
      <c r="B1036" s="35">
        <v>45976</v>
      </c>
      <c r="C1036" s="4" t="s">
        <v>267</v>
      </c>
      <c r="D1036" s="1" t="str">
        <f t="shared" si="88"/>
        <v>FB</v>
      </c>
      <c r="E1036" s="5" t="s">
        <v>1588</v>
      </c>
      <c r="F1036" s="1"/>
      <c r="G1036" s="1" t="s">
        <v>224</v>
      </c>
      <c r="H1036" s="1" t="s">
        <v>69</v>
      </c>
      <c r="I1036" s="1">
        <v>108000</v>
      </c>
      <c r="J1036" s="45">
        <v>1071034</v>
      </c>
      <c r="K1036" s="1" t="str">
        <f>TRIM(Cleaned_CRM_Data!H1036)</f>
        <v>Follow up</v>
      </c>
      <c r="L1036" t="str">
        <f>IFERROR(VLOOKUP(K1036, Status_Mapping!A:B, 2,), "Not Found")</f>
        <v>Follow Up</v>
      </c>
      <c r="N1036" s="29" t="str">
        <f>IF(M1036="","",M1036-B1036)</f>
        <v/>
      </c>
      <c r="O1036" s="1" t="str">
        <f t="shared" si="89"/>
        <v>Starter</v>
      </c>
      <c r="P1036" t="str">
        <f>TEXT(B1036, "mmmm")</f>
        <v>November</v>
      </c>
      <c r="Q1036" t="str">
        <f t="shared" si="90"/>
        <v>Q4</v>
      </c>
      <c r="R1036" t="str">
        <f>IFERROR(VLOOKUP(TRIM(CLEAN(G1036)),Sheet14!$A$2:$B$19,2,FALSE),"Not Mapped")</f>
        <v>West</v>
      </c>
    </row>
    <row r="1037" spans="1:18">
      <c r="A1037" t="str">
        <f t="shared" si="87"/>
        <v>EOS1036</v>
      </c>
      <c r="B1037" s="35">
        <v>45976</v>
      </c>
      <c r="C1037" s="4" t="s">
        <v>267</v>
      </c>
      <c r="D1037" s="1" t="str">
        <f t="shared" si="88"/>
        <v>FB</v>
      </c>
      <c r="E1037" s="5" t="s">
        <v>1589</v>
      </c>
      <c r="F1037" s="1"/>
      <c r="G1037" s="1" t="s">
        <v>224</v>
      </c>
      <c r="H1037" s="1" t="s">
        <v>69</v>
      </c>
      <c r="I1037" s="1">
        <v>177000</v>
      </c>
      <c r="J1037" s="45">
        <v>1071035</v>
      </c>
      <c r="K1037" s="1" t="str">
        <f>TRIM(Cleaned_CRM_Data!H1037)</f>
        <v>Follow up</v>
      </c>
      <c r="L1037" t="str">
        <f>IFERROR(VLOOKUP(K1037, Status_Mapping!A:B, 2,), "Not Found")</f>
        <v>Follow Up</v>
      </c>
      <c r="N1037" s="29" t="str">
        <f>IF(M1037="","",M1037-B1037)</f>
        <v/>
      </c>
      <c r="O1037" s="1" t="str">
        <f t="shared" si="89"/>
        <v>Growth</v>
      </c>
      <c r="P1037" t="str">
        <f>TEXT(B1037, "mmmm")</f>
        <v>November</v>
      </c>
      <c r="Q1037" t="str">
        <f t="shared" si="90"/>
        <v>Q4</v>
      </c>
      <c r="R1037" t="str">
        <f>IFERROR(VLOOKUP(TRIM(CLEAN(G1037)),Sheet14!$A$2:$B$19,2,FALSE),"Not Mapped")</f>
        <v>West</v>
      </c>
    </row>
    <row r="1038" spans="1:18">
      <c r="A1038" t="str">
        <f t="shared" si="87"/>
        <v>EOS1037</v>
      </c>
      <c r="B1038" s="35">
        <v>45976</v>
      </c>
      <c r="C1038" s="4" t="s">
        <v>267</v>
      </c>
      <c r="D1038" s="1" t="str">
        <f t="shared" si="88"/>
        <v>FB</v>
      </c>
      <c r="E1038" s="5" t="s">
        <v>1590</v>
      </c>
      <c r="F1038" s="1"/>
      <c r="G1038" s="1" t="s">
        <v>224</v>
      </c>
      <c r="H1038" s="1" t="s">
        <v>69</v>
      </c>
      <c r="I1038" s="1">
        <v>108000</v>
      </c>
      <c r="J1038" s="45">
        <v>1071036</v>
      </c>
      <c r="K1038" s="1" t="str">
        <f>TRIM(Cleaned_CRM_Data!H1038)</f>
        <v>Follow up</v>
      </c>
      <c r="L1038" t="str">
        <f>IFERROR(VLOOKUP(K1038, Status_Mapping!A:B, 2,), "Not Found")</f>
        <v>Follow Up</v>
      </c>
      <c r="N1038" s="29" t="str">
        <f>IF(M1038="","",M1038-B1038)</f>
        <v/>
      </c>
      <c r="O1038" s="1" t="str">
        <f t="shared" si="89"/>
        <v>Starter</v>
      </c>
      <c r="P1038" t="str">
        <f>TEXT(B1038, "mmmm")</f>
        <v>November</v>
      </c>
      <c r="Q1038" t="str">
        <f t="shared" si="90"/>
        <v>Q4</v>
      </c>
      <c r="R1038" t="str">
        <f>IFERROR(VLOOKUP(TRIM(CLEAN(G1038)),Sheet14!$A$2:$B$19,2,FALSE),"Not Mapped")</f>
        <v>West</v>
      </c>
    </row>
    <row r="1039" spans="1:18">
      <c r="A1039" t="str">
        <f t="shared" si="87"/>
        <v>EOS1038</v>
      </c>
      <c r="B1039" s="35">
        <v>45976</v>
      </c>
      <c r="C1039" s="4" t="s">
        <v>267</v>
      </c>
      <c r="D1039" s="1" t="str">
        <f t="shared" si="88"/>
        <v>FB</v>
      </c>
      <c r="E1039" s="5" t="s">
        <v>1591</v>
      </c>
      <c r="F1039" s="1"/>
      <c r="G1039" s="1" t="s">
        <v>224</v>
      </c>
      <c r="H1039" s="1" t="s">
        <v>69</v>
      </c>
      <c r="I1039" s="1">
        <v>108000</v>
      </c>
      <c r="J1039" s="45">
        <v>1071037</v>
      </c>
      <c r="K1039" s="1" t="str">
        <f>TRIM(Cleaned_CRM_Data!H1039)</f>
        <v>Follow up</v>
      </c>
      <c r="L1039" t="str">
        <f>IFERROR(VLOOKUP(K1039, Status_Mapping!A:B, 2,), "Not Found")</f>
        <v>Follow Up</v>
      </c>
      <c r="N1039" s="29" t="str">
        <f>IF(M1039="","",M1039-B1039)</f>
        <v/>
      </c>
      <c r="O1039" s="1" t="str">
        <f t="shared" si="89"/>
        <v>Starter</v>
      </c>
      <c r="P1039" t="str">
        <f>TEXT(B1039, "mmmm")</f>
        <v>November</v>
      </c>
      <c r="Q1039" t="str">
        <f t="shared" si="90"/>
        <v>Q4</v>
      </c>
      <c r="R1039" t="str">
        <f>IFERROR(VLOOKUP(TRIM(CLEAN(G1039)),Sheet14!$A$2:$B$19,2,FALSE),"Not Mapped")</f>
        <v>West</v>
      </c>
    </row>
    <row r="1040" spans="1:18">
      <c r="A1040" t="str">
        <f t="shared" si="87"/>
        <v>EOS1039</v>
      </c>
      <c r="B1040" s="35">
        <v>45976</v>
      </c>
      <c r="C1040" s="4" t="s">
        <v>267</v>
      </c>
      <c r="D1040" s="1" t="str">
        <f t="shared" si="88"/>
        <v>FB</v>
      </c>
      <c r="E1040" s="5" t="s">
        <v>1592</v>
      </c>
      <c r="F1040" s="1" t="s">
        <v>275</v>
      </c>
      <c r="G1040" s="1" t="s">
        <v>224</v>
      </c>
      <c r="H1040" s="1" t="s">
        <v>69</v>
      </c>
      <c r="I1040" s="1">
        <v>108000</v>
      </c>
      <c r="J1040" s="45">
        <v>1071038</v>
      </c>
      <c r="K1040" s="1" t="str">
        <f>TRIM(Cleaned_CRM_Data!H1040)</f>
        <v>Follow up</v>
      </c>
      <c r="L1040" t="str">
        <f>IFERROR(VLOOKUP(K1040, Status_Mapping!A:B, 2,), "Not Found")</f>
        <v>Follow Up</v>
      </c>
      <c r="N1040" s="29" t="str">
        <f>IF(M1040="","",M1040-B1040)</f>
        <v/>
      </c>
      <c r="O1040" s="1" t="str">
        <f t="shared" si="89"/>
        <v>Starter</v>
      </c>
      <c r="P1040" t="str">
        <f>TEXT(B1040, "mmmm")</f>
        <v>November</v>
      </c>
      <c r="Q1040" t="str">
        <f t="shared" si="90"/>
        <v>Q4</v>
      </c>
      <c r="R1040" t="str">
        <f>IFERROR(VLOOKUP(TRIM(CLEAN(G1040)),Sheet14!$A$2:$B$19,2,FALSE),"Not Mapped")</f>
        <v>West</v>
      </c>
    </row>
    <row r="1041" spans="1:18">
      <c r="A1041" t="str">
        <f t="shared" si="87"/>
        <v>EOS1040</v>
      </c>
      <c r="B1041" s="35">
        <v>45992</v>
      </c>
      <c r="C1041" s="4" t="s">
        <v>267</v>
      </c>
      <c r="D1041" s="1" t="str">
        <f t="shared" si="88"/>
        <v>FB</v>
      </c>
      <c r="E1041" s="5" t="s">
        <v>1593</v>
      </c>
      <c r="F1041" s="5" t="s">
        <v>304</v>
      </c>
      <c r="G1041" s="1" t="s">
        <v>224</v>
      </c>
      <c r="H1041" s="1" t="s">
        <v>69</v>
      </c>
      <c r="I1041" s="1">
        <v>108000</v>
      </c>
      <c r="J1041" s="45">
        <v>1071039</v>
      </c>
      <c r="K1041" s="1" t="str">
        <f>TRIM(Cleaned_CRM_Data!H1041)</f>
        <v>Follow up</v>
      </c>
      <c r="L1041" t="str">
        <f>IFERROR(VLOOKUP(K1041, Status_Mapping!A:B, 2,), "Not Found")</f>
        <v>Follow Up</v>
      </c>
      <c r="N1041" s="29" t="str">
        <f>IF(M1041="","",M1041-B1041)</f>
        <v/>
      </c>
      <c r="O1041" s="1" t="str">
        <f t="shared" si="89"/>
        <v>Starter</v>
      </c>
      <c r="P1041" t="str">
        <f>TEXT(B1041, "mmmm")</f>
        <v>December</v>
      </c>
      <c r="Q1041" t="str">
        <f t="shared" si="90"/>
        <v>Q4</v>
      </c>
      <c r="R1041" t="str">
        <f>IFERROR(VLOOKUP(TRIM(CLEAN(G1041)),Sheet14!$A$2:$B$19,2,FALSE),"Not Mapped")</f>
        <v>West</v>
      </c>
    </row>
    <row r="1042" spans="1:18">
      <c r="A1042" t="str">
        <f t="shared" si="87"/>
        <v>EOS1041</v>
      </c>
      <c r="B1042" s="35">
        <v>45992</v>
      </c>
      <c r="C1042" s="4" t="s">
        <v>267</v>
      </c>
      <c r="D1042" s="1" t="str">
        <f t="shared" si="88"/>
        <v>FB</v>
      </c>
      <c r="E1042" s="5" t="s">
        <v>1594</v>
      </c>
      <c r="F1042" s="1" t="s">
        <v>271</v>
      </c>
      <c r="G1042" s="1" t="s">
        <v>224</v>
      </c>
      <c r="H1042" s="1" t="s">
        <v>69</v>
      </c>
      <c r="I1042" s="1">
        <v>108000</v>
      </c>
      <c r="J1042" s="45">
        <v>1071040</v>
      </c>
      <c r="K1042" s="1" t="str">
        <f>TRIM(Cleaned_CRM_Data!H1042)</f>
        <v>Follow up</v>
      </c>
      <c r="L1042" t="str">
        <f>IFERROR(VLOOKUP(K1042, Status_Mapping!A:B, 2,), "Not Found")</f>
        <v>Follow Up</v>
      </c>
      <c r="N1042" s="29" t="str">
        <f>IF(M1042="","",M1042-B1042)</f>
        <v/>
      </c>
      <c r="O1042" s="1" t="str">
        <f t="shared" si="89"/>
        <v>Starter</v>
      </c>
      <c r="P1042" t="str">
        <f>TEXT(B1042, "mmmm")</f>
        <v>December</v>
      </c>
      <c r="Q1042" t="str">
        <f t="shared" si="90"/>
        <v>Q4</v>
      </c>
      <c r="R1042" t="str">
        <f>IFERROR(VLOOKUP(TRIM(CLEAN(G1042)),Sheet14!$A$2:$B$19,2,FALSE),"Not Mapped")</f>
        <v>West</v>
      </c>
    </row>
    <row r="1043" spans="1:18">
      <c r="A1043" t="str">
        <f t="shared" si="87"/>
        <v>EOS1042</v>
      </c>
      <c r="B1043" s="35">
        <v>45992</v>
      </c>
      <c r="C1043" s="4" t="s">
        <v>267</v>
      </c>
      <c r="D1043" s="1" t="str">
        <f t="shared" si="88"/>
        <v>FB</v>
      </c>
      <c r="E1043" s="5" t="s">
        <v>1595</v>
      </c>
      <c r="F1043" s="1" t="s">
        <v>1596</v>
      </c>
      <c r="G1043" s="1" t="s">
        <v>224</v>
      </c>
      <c r="H1043" s="1" t="s">
        <v>69</v>
      </c>
      <c r="I1043" s="1">
        <v>108000</v>
      </c>
      <c r="J1043" s="45">
        <v>1071041</v>
      </c>
      <c r="K1043" s="1" t="str">
        <f>TRIM(Cleaned_CRM_Data!H1043)</f>
        <v>Follow up</v>
      </c>
      <c r="L1043" t="str">
        <f>IFERROR(VLOOKUP(K1043, Status_Mapping!A:B, 2,), "Not Found")</f>
        <v>Follow Up</v>
      </c>
      <c r="N1043" s="29" t="str">
        <f>IF(M1043="","",M1043-B1043)</f>
        <v/>
      </c>
      <c r="O1043" s="1" t="str">
        <f t="shared" si="89"/>
        <v>Starter</v>
      </c>
      <c r="P1043" t="str">
        <f>TEXT(B1043, "mmmm")</f>
        <v>December</v>
      </c>
      <c r="Q1043" t="str">
        <f t="shared" si="90"/>
        <v>Q4</v>
      </c>
      <c r="R1043" t="str">
        <f>IFERROR(VLOOKUP(TRIM(CLEAN(G1043)),Sheet14!$A$2:$B$19,2,FALSE),"Not Mapped")</f>
        <v>West</v>
      </c>
    </row>
    <row r="1044" spans="1:18">
      <c r="A1044" t="str">
        <f t="shared" si="87"/>
        <v>EOS1043</v>
      </c>
      <c r="B1044" s="35">
        <v>45992</v>
      </c>
      <c r="C1044" s="4" t="s">
        <v>267</v>
      </c>
      <c r="D1044" s="1" t="str">
        <f t="shared" si="88"/>
        <v>FB</v>
      </c>
      <c r="E1044" s="5" t="s">
        <v>1597</v>
      </c>
      <c r="F1044" s="1" t="s">
        <v>1598</v>
      </c>
      <c r="G1044" s="1" t="s">
        <v>224</v>
      </c>
      <c r="H1044" s="1" t="s">
        <v>69</v>
      </c>
      <c r="I1044" s="1">
        <v>108000</v>
      </c>
      <c r="J1044" s="45">
        <v>1071042</v>
      </c>
      <c r="K1044" s="1" t="str">
        <f>TRIM(Cleaned_CRM_Data!H1044)</f>
        <v>Follow up</v>
      </c>
      <c r="L1044" t="str">
        <f>IFERROR(VLOOKUP(K1044, Status_Mapping!A:B, 2,), "Not Found")</f>
        <v>Follow Up</v>
      </c>
      <c r="N1044" s="29" t="str">
        <f>IF(M1044="","",M1044-B1044)</f>
        <v/>
      </c>
      <c r="O1044" s="1" t="str">
        <f t="shared" si="89"/>
        <v>Starter</v>
      </c>
      <c r="P1044" t="str">
        <f>TEXT(B1044, "mmmm")</f>
        <v>December</v>
      </c>
      <c r="Q1044" t="str">
        <f t="shared" si="90"/>
        <v>Q4</v>
      </c>
      <c r="R1044" t="str">
        <f>IFERROR(VLOOKUP(TRIM(CLEAN(G1044)),Sheet14!$A$2:$B$19,2,FALSE),"Not Mapped")</f>
        <v>West</v>
      </c>
    </row>
    <row r="1045" spans="1:18">
      <c r="A1045" t="str">
        <f t="shared" si="87"/>
        <v>EOS1044</v>
      </c>
      <c r="B1045" s="35">
        <v>45992</v>
      </c>
      <c r="C1045" s="4" t="s">
        <v>267</v>
      </c>
      <c r="D1045" s="1" t="str">
        <f t="shared" si="88"/>
        <v>FB</v>
      </c>
      <c r="E1045" s="5" t="s">
        <v>1599</v>
      </c>
      <c r="F1045" s="1" t="s">
        <v>1600</v>
      </c>
      <c r="G1045" s="1" t="s">
        <v>224</v>
      </c>
      <c r="H1045" s="1" t="s">
        <v>69</v>
      </c>
      <c r="I1045" s="1">
        <v>108000</v>
      </c>
      <c r="J1045" s="45">
        <v>1071043</v>
      </c>
      <c r="K1045" s="1" t="str">
        <f>TRIM(Cleaned_CRM_Data!H1045)</f>
        <v>Follow up</v>
      </c>
      <c r="L1045" t="str">
        <f>IFERROR(VLOOKUP(K1045, Status_Mapping!A:B, 2,), "Not Found")</f>
        <v>Follow Up</v>
      </c>
      <c r="N1045" s="29" t="str">
        <f>IF(M1045="","",M1045-B1045)</f>
        <v/>
      </c>
      <c r="O1045" s="1" t="str">
        <f t="shared" si="89"/>
        <v>Starter</v>
      </c>
      <c r="P1045" t="str">
        <f>TEXT(B1045, "mmmm")</f>
        <v>December</v>
      </c>
      <c r="Q1045" t="str">
        <f t="shared" si="90"/>
        <v>Q4</v>
      </c>
      <c r="R1045" t="str">
        <f>IFERROR(VLOOKUP(TRIM(CLEAN(G1045)),Sheet14!$A$2:$B$19,2,FALSE),"Not Mapped")</f>
        <v>West</v>
      </c>
    </row>
    <row r="1046" spans="1:18">
      <c r="A1046" t="str">
        <f t="shared" si="87"/>
        <v>EOS1045</v>
      </c>
      <c r="B1046" s="35">
        <v>45992</v>
      </c>
      <c r="C1046" s="4" t="s">
        <v>267</v>
      </c>
      <c r="D1046" s="1" t="str">
        <f t="shared" si="88"/>
        <v>FB</v>
      </c>
      <c r="E1046" s="5" t="s">
        <v>1601</v>
      </c>
      <c r="F1046" s="1" t="s">
        <v>1602</v>
      </c>
      <c r="G1046" s="1" t="s">
        <v>224</v>
      </c>
      <c r="H1046" s="1" t="s">
        <v>69</v>
      </c>
      <c r="I1046" s="1">
        <v>308000</v>
      </c>
      <c r="J1046" s="45">
        <v>1071044</v>
      </c>
      <c r="K1046" s="1" t="str">
        <f>TRIM(Cleaned_CRM_Data!H1046)</f>
        <v>Follow up</v>
      </c>
      <c r="L1046" t="str">
        <f>IFERROR(VLOOKUP(K1046, Status_Mapping!A:B, 2,), "Not Found")</f>
        <v>Follow Up</v>
      </c>
      <c r="N1046" s="29" t="str">
        <f>IF(M1046="","",M1046-B1046)</f>
        <v/>
      </c>
      <c r="O1046" s="1" t="str">
        <f t="shared" si="89"/>
        <v>Premium</v>
      </c>
      <c r="P1046" t="str">
        <f>TEXT(B1046, "mmmm")</f>
        <v>December</v>
      </c>
      <c r="Q1046" t="str">
        <f t="shared" si="90"/>
        <v>Q4</v>
      </c>
      <c r="R1046" t="str">
        <f>IFERROR(VLOOKUP(TRIM(CLEAN(G1046)),Sheet14!$A$2:$B$19,2,FALSE),"Not Mapped")</f>
        <v>West</v>
      </c>
    </row>
    <row r="1047" spans="1:18">
      <c r="A1047" t="str">
        <f t="shared" si="87"/>
        <v>EOS1046</v>
      </c>
      <c r="B1047" s="35">
        <v>45992</v>
      </c>
      <c r="C1047" s="4" t="s">
        <v>267</v>
      </c>
      <c r="D1047" s="1" t="str">
        <f t="shared" si="88"/>
        <v>FB</v>
      </c>
      <c r="E1047" s="5" t="s">
        <v>1603</v>
      </c>
      <c r="F1047" s="1" t="s">
        <v>771</v>
      </c>
      <c r="G1047" s="1" t="s">
        <v>224</v>
      </c>
      <c r="H1047" s="1" t="s">
        <v>69</v>
      </c>
      <c r="I1047" s="1">
        <v>130000</v>
      </c>
      <c r="J1047" s="45">
        <v>1071045</v>
      </c>
      <c r="K1047" s="1" t="str">
        <f>TRIM(Cleaned_CRM_Data!H1047)</f>
        <v>Follow up</v>
      </c>
      <c r="L1047" t="str">
        <f>IFERROR(VLOOKUP(K1047, Status_Mapping!A:B, 2,), "Not Found")</f>
        <v>Follow Up</v>
      </c>
      <c r="N1047" s="29" t="str">
        <f>IF(M1047="","",M1047-B1047)</f>
        <v/>
      </c>
      <c r="O1047" s="1" t="str">
        <f t="shared" si="89"/>
        <v>Starter</v>
      </c>
      <c r="P1047" t="str">
        <f>TEXT(B1047, "mmmm")</f>
        <v>December</v>
      </c>
      <c r="Q1047" t="str">
        <f t="shared" si="90"/>
        <v>Q4</v>
      </c>
      <c r="R1047" t="str">
        <f>IFERROR(VLOOKUP(TRIM(CLEAN(G1047)),Sheet14!$A$2:$B$19,2,FALSE),"Not Mapped")</f>
        <v>West</v>
      </c>
    </row>
    <row r="1048" spans="1:18">
      <c r="A1048" t="str">
        <f t="shared" si="87"/>
        <v>EOS1047</v>
      </c>
      <c r="B1048" s="35">
        <v>45992</v>
      </c>
      <c r="C1048" s="4" t="s">
        <v>267</v>
      </c>
      <c r="D1048" s="1" t="str">
        <f t="shared" si="88"/>
        <v>FB</v>
      </c>
      <c r="E1048" s="5" t="s">
        <v>1604</v>
      </c>
      <c r="F1048" s="1"/>
      <c r="G1048" s="1" t="s">
        <v>224</v>
      </c>
      <c r="H1048" s="1" t="s">
        <v>149</v>
      </c>
      <c r="I1048" s="1">
        <v>108000</v>
      </c>
      <c r="J1048" s="45">
        <v>1071046</v>
      </c>
      <c r="K1048" s="1" t="str">
        <f>TRIM(Cleaned_CRM_Data!H1048)</f>
        <v>Rejected</v>
      </c>
      <c r="L1048" t="str">
        <f>IFERROR(VLOOKUP(K1048, Status_Mapping!A:B, 2,), "Not Found")</f>
        <v>Rejected</v>
      </c>
      <c r="N1048" s="29" t="str">
        <f>IF(M1048="","",M1048-B1048)</f>
        <v/>
      </c>
      <c r="O1048" s="1" t="str">
        <f t="shared" si="89"/>
        <v>Starter</v>
      </c>
      <c r="P1048" t="str">
        <f>TEXT(B1048, "mmmm")</f>
        <v>December</v>
      </c>
      <c r="Q1048" t="str">
        <f t="shared" si="90"/>
        <v>Q4</v>
      </c>
      <c r="R1048" t="str">
        <f>IFERROR(VLOOKUP(TRIM(CLEAN(G1048)),Sheet14!$A$2:$B$19,2,FALSE),"Not Mapped")</f>
        <v>West</v>
      </c>
    </row>
    <row r="1049" spans="1:18">
      <c r="A1049" t="str">
        <f t="shared" si="87"/>
        <v>EOS1048</v>
      </c>
      <c r="B1049" s="35">
        <v>45993</v>
      </c>
      <c r="C1049" s="1" t="s">
        <v>267</v>
      </c>
      <c r="D1049" s="1" t="str">
        <f t="shared" si="88"/>
        <v>FB</v>
      </c>
      <c r="E1049" s="5" t="s">
        <v>1605</v>
      </c>
      <c r="F1049" s="1" t="s">
        <v>275</v>
      </c>
      <c r="G1049" s="1" t="s">
        <v>224</v>
      </c>
      <c r="H1049" s="1" t="s">
        <v>69</v>
      </c>
      <c r="I1049" s="1">
        <v>108000</v>
      </c>
      <c r="J1049" s="45">
        <v>1071047</v>
      </c>
      <c r="K1049" s="1" t="str">
        <f>TRIM(Cleaned_CRM_Data!H1049)</f>
        <v>Follow up</v>
      </c>
      <c r="L1049" t="str">
        <f>IFERROR(VLOOKUP(K1049, Status_Mapping!A:B, 2,), "Not Found")</f>
        <v>Follow Up</v>
      </c>
      <c r="N1049" s="29" t="str">
        <f>IF(M1049="","",M1049-B1049)</f>
        <v/>
      </c>
      <c r="O1049" s="1" t="str">
        <f t="shared" si="89"/>
        <v>Starter</v>
      </c>
      <c r="P1049" t="str">
        <f>TEXT(B1049, "mmmm")</f>
        <v>December</v>
      </c>
      <c r="Q1049" t="str">
        <f t="shared" si="90"/>
        <v>Q4</v>
      </c>
      <c r="R1049" t="str">
        <f>IFERROR(VLOOKUP(TRIM(CLEAN(G1049)),Sheet14!$A$2:$B$19,2,FALSE),"Not Mapped")</f>
        <v>West</v>
      </c>
    </row>
    <row r="1050" spans="1:18">
      <c r="A1050" t="str">
        <f t="shared" si="87"/>
        <v>EOS1049</v>
      </c>
      <c r="B1050" s="35">
        <v>45993</v>
      </c>
      <c r="C1050" s="4" t="s">
        <v>267</v>
      </c>
      <c r="D1050" s="1" t="str">
        <f t="shared" si="88"/>
        <v>FB</v>
      </c>
      <c r="E1050" s="5" t="s">
        <v>1606</v>
      </c>
      <c r="F1050" s="1" t="s">
        <v>321</v>
      </c>
      <c r="G1050" s="1" t="s">
        <v>224</v>
      </c>
      <c r="H1050" s="1" t="s">
        <v>69</v>
      </c>
      <c r="I1050" s="1">
        <v>130000</v>
      </c>
      <c r="J1050" s="45">
        <v>1071048</v>
      </c>
      <c r="K1050" s="1" t="str">
        <f>TRIM(Cleaned_CRM_Data!H1050)</f>
        <v>Follow up</v>
      </c>
      <c r="L1050" t="str">
        <f>IFERROR(VLOOKUP(K1050, Status_Mapping!A:B, 2,), "Not Found")</f>
        <v>Follow Up</v>
      </c>
      <c r="N1050" s="29" t="str">
        <f>IF(M1050="","",M1050-B1050)</f>
        <v/>
      </c>
      <c r="O1050" s="1" t="str">
        <f t="shared" si="89"/>
        <v>Starter</v>
      </c>
      <c r="P1050" t="str">
        <f>TEXT(B1050, "mmmm")</f>
        <v>December</v>
      </c>
      <c r="Q1050" t="str">
        <f t="shared" si="90"/>
        <v>Q4</v>
      </c>
      <c r="R1050" t="str">
        <f>IFERROR(VLOOKUP(TRIM(CLEAN(G1050)),Sheet14!$A$2:$B$19,2,FALSE),"Not Mapped")</f>
        <v>West</v>
      </c>
    </row>
    <row r="1051" spans="1:18">
      <c r="A1051" t="str">
        <f t="shared" si="87"/>
        <v>EOS1050</v>
      </c>
      <c r="B1051" s="35">
        <v>45993</v>
      </c>
      <c r="C1051" s="4" t="s">
        <v>267</v>
      </c>
      <c r="D1051" s="1" t="str">
        <f t="shared" si="88"/>
        <v>FB</v>
      </c>
      <c r="E1051" s="5" t="s">
        <v>1607</v>
      </c>
      <c r="F1051" s="1" t="s">
        <v>275</v>
      </c>
      <c r="G1051" s="1" t="s">
        <v>224</v>
      </c>
      <c r="H1051" s="1" t="s">
        <v>69</v>
      </c>
      <c r="I1051" s="1">
        <v>130000</v>
      </c>
      <c r="J1051" s="45">
        <v>1071049</v>
      </c>
      <c r="K1051" s="1" t="str">
        <f>TRIM(Cleaned_CRM_Data!H1051)</f>
        <v>Follow up</v>
      </c>
      <c r="L1051" t="str">
        <f>IFERROR(VLOOKUP(K1051, Status_Mapping!A:B, 2,), "Not Found")</f>
        <v>Follow Up</v>
      </c>
      <c r="N1051" s="29" t="str">
        <f>IF(M1051="","",M1051-B1051)</f>
        <v/>
      </c>
      <c r="O1051" s="1" t="str">
        <f t="shared" si="89"/>
        <v>Starter</v>
      </c>
      <c r="P1051" t="str">
        <f>TEXT(B1051, "mmmm")</f>
        <v>December</v>
      </c>
      <c r="Q1051" t="str">
        <f t="shared" si="90"/>
        <v>Q4</v>
      </c>
      <c r="R1051" t="str">
        <f>IFERROR(VLOOKUP(TRIM(CLEAN(G1051)),Sheet14!$A$2:$B$19,2,FALSE),"Not Mapped")</f>
        <v>West</v>
      </c>
    </row>
    <row r="1052" spans="1:18">
      <c r="A1052" t="str">
        <f t="shared" si="87"/>
        <v>EOS1051</v>
      </c>
      <c r="B1052" s="35">
        <v>45993</v>
      </c>
      <c r="C1052" s="4" t="s">
        <v>267</v>
      </c>
      <c r="D1052" s="1" t="str">
        <f t="shared" si="88"/>
        <v>FB</v>
      </c>
      <c r="E1052" s="5" t="s">
        <v>1608</v>
      </c>
      <c r="F1052" s="5" t="s">
        <v>304</v>
      </c>
      <c r="G1052" s="1" t="s">
        <v>224</v>
      </c>
      <c r="H1052" s="1" t="s">
        <v>69</v>
      </c>
      <c r="I1052" s="1">
        <v>108000</v>
      </c>
      <c r="J1052" s="45">
        <v>1071050</v>
      </c>
      <c r="K1052" s="1" t="str">
        <f>TRIM(Cleaned_CRM_Data!H1052)</f>
        <v>Follow up</v>
      </c>
      <c r="L1052" t="str">
        <f>IFERROR(VLOOKUP(K1052, Status_Mapping!A:B, 2,), "Not Found")</f>
        <v>Follow Up</v>
      </c>
      <c r="N1052" s="29" t="str">
        <f>IF(M1052="","",M1052-B1052)</f>
        <v/>
      </c>
      <c r="O1052" s="1" t="str">
        <f t="shared" si="89"/>
        <v>Starter</v>
      </c>
      <c r="P1052" t="str">
        <f>TEXT(B1052, "mmmm")</f>
        <v>December</v>
      </c>
      <c r="Q1052" t="str">
        <f t="shared" si="90"/>
        <v>Q4</v>
      </c>
      <c r="R1052" t="str">
        <f>IFERROR(VLOOKUP(TRIM(CLEAN(G1052)),Sheet14!$A$2:$B$19,2,FALSE),"Not Mapped")</f>
        <v>West</v>
      </c>
    </row>
    <row r="1053" spans="1:18">
      <c r="A1053" t="str">
        <f t="shared" si="87"/>
        <v>EOS1052</v>
      </c>
      <c r="B1053" s="35">
        <v>45993</v>
      </c>
      <c r="C1053" s="4" t="s">
        <v>267</v>
      </c>
      <c r="D1053" s="1" t="str">
        <f t="shared" si="88"/>
        <v>FB</v>
      </c>
      <c r="E1053" s="1" t="s">
        <v>1609</v>
      </c>
      <c r="F1053" s="1" t="s">
        <v>333</v>
      </c>
      <c r="G1053" s="1" t="s">
        <v>224</v>
      </c>
      <c r="H1053" s="1" t="s">
        <v>69</v>
      </c>
      <c r="I1053" s="1">
        <v>108000</v>
      </c>
      <c r="J1053" s="45">
        <v>1071051</v>
      </c>
      <c r="K1053" s="1" t="str">
        <f>TRIM(Cleaned_CRM_Data!H1053)</f>
        <v>Follow up</v>
      </c>
      <c r="L1053" t="str">
        <f>IFERROR(VLOOKUP(K1053, Status_Mapping!A:B, 2,), "Not Found")</f>
        <v>Follow Up</v>
      </c>
      <c r="N1053" s="29" t="str">
        <f>IF(M1053="","",M1053-B1053)</f>
        <v/>
      </c>
      <c r="O1053" s="1" t="str">
        <f t="shared" si="89"/>
        <v>Starter</v>
      </c>
      <c r="P1053" t="str">
        <f>TEXT(B1053, "mmmm")</f>
        <v>December</v>
      </c>
      <c r="Q1053" t="str">
        <f t="shared" si="90"/>
        <v>Q4</v>
      </c>
      <c r="R1053" t="str">
        <f>IFERROR(VLOOKUP(TRIM(CLEAN(G1053)),Sheet14!$A$2:$B$19,2,FALSE),"Not Mapped")</f>
        <v>West</v>
      </c>
    </row>
    <row r="1054" spans="1:18">
      <c r="A1054" t="str">
        <f t="shared" si="87"/>
        <v>EOS1053</v>
      </c>
      <c r="B1054" s="35">
        <v>45993</v>
      </c>
      <c r="C1054" s="4" t="s">
        <v>267</v>
      </c>
      <c r="D1054" s="1" t="str">
        <f t="shared" si="88"/>
        <v>FB</v>
      </c>
      <c r="E1054" s="5" t="s">
        <v>1610</v>
      </c>
      <c r="F1054" s="5" t="s">
        <v>397</v>
      </c>
      <c r="G1054" s="1" t="s">
        <v>224</v>
      </c>
      <c r="H1054" s="1" t="s">
        <v>69</v>
      </c>
      <c r="I1054" s="1">
        <v>130000</v>
      </c>
      <c r="J1054" s="45">
        <v>1071052</v>
      </c>
      <c r="K1054" s="1" t="str">
        <f>TRIM(Cleaned_CRM_Data!H1054)</f>
        <v>Follow up</v>
      </c>
      <c r="L1054" t="str">
        <f>IFERROR(VLOOKUP(K1054, Status_Mapping!A:B, 2,), "Not Found")</f>
        <v>Follow Up</v>
      </c>
      <c r="N1054" s="29" t="str">
        <f>IF(M1054="","",M1054-B1054)</f>
        <v/>
      </c>
      <c r="O1054" s="1" t="str">
        <f t="shared" si="89"/>
        <v>Starter</v>
      </c>
      <c r="P1054" t="str">
        <f>TEXT(B1054, "mmmm")</f>
        <v>December</v>
      </c>
      <c r="Q1054" t="str">
        <f t="shared" si="90"/>
        <v>Q4</v>
      </c>
      <c r="R1054" t="str">
        <f>IFERROR(VLOOKUP(TRIM(CLEAN(G1054)),Sheet14!$A$2:$B$19,2,FALSE),"Not Mapped")</f>
        <v>West</v>
      </c>
    </row>
    <row r="1055" spans="1:18">
      <c r="A1055" t="str">
        <f t="shared" si="87"/>
        <v>EOS1054</v>
      </c>
      <c r="B1055" s="35">
        <v>45993</v>
      </c>
      <c r="C1055" s="4" t="s">
        <v>267</v>
      </c>
      <c r="D1055" s="1" t="str">
        <f t="shared" si="88"/>
        <v>FB</v>
      </c>
      <c r="E1055" s="5" t="s">
        <v>1611</v>
      </c>
      <c r="F1055" s="1" t="s">
        <v>271</v>
      </c>
      <c r="G1055" s="1" t="s">
        <v>224</v>
      </c>
      <c r="H1055" s="1" t="s">
        <v>69</v>
      </c>
      <c r="I1055" s="1">
        <v>108000</v>
      </c>
      <c r="J1055" s="45">
        <v>1071053</v>
      </c>
      <c r="K1055" s="1" t="str">
        <f>TRIM(Cleaned_CRM_Data!H1055)</f>
        <v>Follow up</v>
      </c>
      <c r="L1055" t="str">
        <f>IFERROR(VLOOKUP(K1055, Status_Mapping!A:B, 2,), "Not Found")</f>
        <v>Follow Up</v>
      </c>
      <c r="N1055" s="29" t="str">
        <f>IF(M1055="","",M1055-B1055)</f>
        <v/>
      </c>
      <c r="O1055" s="1" t="str">
        <f t="shared" si="89"/>
        <v>Starter</v>
      </c>
      <c r="P1055" t="str">
        <f>TEXT(B1055, "mmmm")</f>
        <v>December</v>
      </c>
      <c r="Q1055" t="str">
        <f t="shared" si="90"/>
        <v>Q4</v>
      </c>
      <c r="R1055" t="str">
        <f>IFERROR(VLOOKUP(TRIM(CLEAN(G1055)),Sheet14!$A$2:$B$19,2,FALSE),"Not Mapped")</f>
        <v>West</v>
      </c>
    </row>
    <row r="1056" spans="1:18">
      <c r="A1056" t="str">
        <f t="shared" si="87"/>
        <v>EOS1055</v>
      </c>
      <c r="B1056" s="35">
        <v>45993</v>
      </c>
      <c r="C1056" s="4" t="s">
        <v>267</v>
      </c>
      <c r="D1056" s="1" t="str">
        <f t="shared" si="88"/>
        <v>FB</v>
      </c>
      <c r="E1056" s="5" t="s">
        <v>1612</v>
      </c>
      <c r="F1056" s="1" t="s">
        <v>275</v>
      </c>
      <c r="G1056" s="1" t="s">
        <v>224</v>
      </c>
      <c r="H1056" s="1" t="s">
        <v>69</v>
      </c>
      <c r="I1056" s="1">
        <v>130000</v>
      </c>
      <c r="J1056" s="45">
        <v>1071054</v>
      </c>
      <c r="K1056" s="1" t="str">
        <f>TRIM(Cleaned_CRM_Data!H1056)</f>
        <v>Follow up</v>
      </c>
      <c r="L1056" t="str">
        <f>IFERROR(VLOOKUP(K1056, Status_Mapping!A:B, 2,), "Not Found")</f>
        <v>Follow Up</v>
      </c>
      <c r="N1056" s="29" t="str">
        <f>IF(M1056="","",M1056-B1056)</f>
        <v/>
      </c>
      <c r="O1056" s="1" t="str">
        <f t="shared" si="89"/>
        <v>Starter</v>
      </c>
      <c r="P1056" t="str">
        <f>TEXT(B1056, "mmmm")</f>
        <v>December</v>
      </c>
      <c r="Q1056" t="str">
        <f t="shared" si="90"/>
        <v>Q4</v>
      </c>
      <c r="R1056" t="str">
        <f>IFERROR(VLOOKUP(TRIM(CLEAN(G1056)),Sheet14!$A$2:$B$19,2,FALSE),"Not Mapped")</f>
        <v>West</v>
      </c>
    </row>
    <row r="1057" spans="1:18">
      <c r="A1057" t="str">
        <f t="shared" si="87"/>
        <v>EOS1056</v>
      </c>
      <c r="B1057" s="35">
        <v>45993</v>
      </c>
      <c r="C1057" s="4" t="s">
        <v>267</v>
      </c>
      <c r="D1057" s="1" t="str">
        <f t="shared" si="88"/>
        <v>FB</v>
      </c>
      <c r="E1057" s="5" t="s">
        <v>1613</v>
      </c>
      <c r="F1057" s="1" t="s">
        <v>1614</v>
      </c>
      <c r="G1057" s="1" t="s">
        <v>224</v>
      </c>
      <c r="H1057" s="1" t="s">
        <v>69</v>
      </c>
      <c r="I1057" s="1">
        <v>130000</v>
      </c>
      <c r="J1057" s="45">
        <v>1071055</v>
      </c>
      <c r="K1057" s="1" t="str">
        <f>TRIM(Cleaned_CRM_Data!H1057)</f>
        <v>Follow up</v>
      </c>
      <c r="L1057" t="str">
        <f>IFERROR(VLOOKUP(K1057, Status_Mapping!A:B, 2,), "Not Found")</f>
        <v>Follow Up</v>
      </c>
      <c r="N1057" s="29" t="str">
        <f>IF(M1057="","",M1057-B1057)</f>
        <v/>
      </c>
      <c r="O1057" s="1" t="str">
        <f t="shared" si="89"/>
        <v>Starter</v>
      </c>
      <c r="P1057" t="str">
        <f>TEXT(B1057, "mmmm")</f>
        <v>December</v>
      </c>
      <c r="Q1057" t="str">
        <f t="shared" si="90"/>
        <v>Q4</v>
      </c>
      <c r="R1057" t="str">
        <f>IFERROR(VLOOKUP(TRIM(CLEAN(G1057)),Sheet14!$A$2:$B$19,2,FALSE),"Not Mapped")</f>
        <v>West</v>
      </c>
    </row>
    <row r="1058" spans="1:18">
      <c r="A1058" t="str">
        <f t="shared" si="87"/>
        <v>EOS1057</v>
      </c>
      <c r="B1058" s="35">
        <v>45993</v>
      </c>
      <c r="C1058" s="4" t="s">
        <v>267</v>
      </c>
      <c r="D1058" s="1" t="str">
        <f t="shared" si="88"/>
        <v>FB</v>
      </c>
      <c r="E1058" s="5" t="s">
        <v>1615</v>
      </c>
      <c r="F1058" s="1" t="s">
        <v>412</v>
      </c>
      <c r="G1058" s="1" t="s">
        <v>224</v>
      </c>
      <c r="H1058" s="1" t="s">
        <v>149</v>
      </c>
      <c r="I1058" s="1">
        <v>130000</v>
      </c>
      <c r="J1058" s="45">
        <v>1071056</v>
      </c>
      <c r="K1058" s="1" t="str">
        <f>TRIM(Cleaned_CRM_Data!H1058)</f>
        <v>Rejected</v>
      </c>
      <c r="L1058" t="str">
        <f>IFERROR(VLOOKUP(K1058, Status_Mapping!A:B, 2,), "Not Found")</f>
        <v>Rejected</v>
      </c>
      <c r="N1058" s="29" t="str">
        <f>IF(M1058="","",M1058-B1058)</f>
        <v/>
      </c>
      <c r="O1058" s="1" t="str">
        <f t="shared" si="89"/>
        <v>Starter</v>
      </c>
      <c r="P1058" t="str">
        <f>TEXT(B1058, "mmmm")</f>
        <v>December</v>
      </c>
      <c r="Q1058" t="str">
        <f t="shared" si="90"/>
        <v>Q4</v>
      </c>
      <c r="R1058" t="str">
        <f>IFERROR(VLOOKUP(TRIM(CLEAN(G1058)),Sheet14!$A$2:$B$19,2,FALSE),"Not Mapped")</f>
        <v>West</v>
      </c>
    </row>
    <row r="1059" spans="1:18">
      <c r="A1059" t="str">
        <f t="shared" si="87"/>
        <v>EOS1058</v>
      </c>
      <c r="B1059" s="35">
        <v>45980</v>
      </c>
      <c r="C1059" s="1" t="s">
        <v>267</v>
      </c>
      <c r="D1059" s="1" t="str">
        <f t="shared" si="88"/>
        <v>FB</v>
      </c>
      <c r="E1059" s="5" t="s">
        <v>1616</v>
      </c>
      <c r="F1059" s="16" t="s">
        <v>1617</v>
      </c>
      <c r="G1059" s="1" t="s">
        <v>224</v>
      </c>
      <c r="H1059" s="1" t="s">
        <v>69</v>
      </c>
      <c r="I1059" s="1">
        <v>108000</v>
      </c>
      <c r="J1059" s="45">
        <v>1071057</v>
      </c>
      <c r="K1059" s="1" t="str">
        <f>TRIM(Cleaned_CRM_Data!H1059)</f>
        <v>Follow up</v>
      </c>
      <c r="L1059" t="str">
        <f>IFERROR(VLOOKUP(K1059, Status_Mapping!A:B, 2,), "Not Found")</f>
        <v>Follow Up</v>
      </c>
      <c r="N1059" s="29" t="str">
        <f>IF(M1059="","",M1059-B1059)</f>
        <v/>
      </c>
      <c r="O1059" s="1" t="str">
        <f t="shared" si="89"/>
        <v>Starter</v>
      </c>
      <c r="P1059" t="str">
        <f>TEXT(B1059, "mmmm")</f>
        <v>November</v>
      </c>
      <c r="Q1059" t="str">
        <f t="shared" si="90"/>
        <v>Q4</v>
      </c>
      <c r="R1059" t="str">
        <f>IFERROR(VLOOKUP(TRIM(CLEAN(G1059)),Sheet14!$A$2:$B$19,2,FALSE),"Not Mapped")</f>
        <v>West</v>
      </c>
    </row>
    <row r="1060" spans="1:18">
      <c r="A1060" t="str">
        <f t="shared" si="87"/>
        <v>EOS1059</v>
      </c>
      <c r="B1060" s="35">
        <v>45994</v>
      </c>
      <c r="C1060" s="4" t="s">
        <v>267</v>
      </c>
      <c r="D1060" s="1" t="str">
        <f t="shared" si="88"/>
        <v>FB</v>
      </c>
      <c r="E1060" s="5" t="s">
        <v>1618</v>
      </c>
      <c r="F1060" s="1" t="s">
        <v>292</v>
      </c>
      <c r="G1060" s="1" t="s">
        <v>224</v>
      </c>
      <c r="H1060" s="1" t="s">
        <v>69</v>
      </c>
      <c r="I1060" s="1">
        <v>130000</v>
      </c>
      <c r="J1060" s="45">
        <v>1071058</v>
      </c>
      <c r="K1060" s="1" t="str">
        <f>TRIM(Cleaned_CRM_Data!H1060)</f>
        <v>Follow up</v>
      </c>
      <c r="L1060" t="str">
        <f>IFERROR(VLOOKUP(K1060, Status_Mapping!A:B, 2,), "Not Found")</f>
        <v>Follow Up</v>
      </c>
      <c r="N1060" s="29" t="str">
        <f>IF(M1060="","",M1060-B1060)</f>
        <v/>
      </c>
      <c r="O1060" s="1" t="str">
        <f t="shared" si="89"/>
        <v>Starter</v>
      </c>
      <c r="P1060" t="str">
        <f>TEXT(B1060, "mmmm")</f>
        <v>December</v>
      </c>
      <c r="Q1060" t="str">
        <f t="shared" si="90"/>
        <v>Q4</v>
      </c>
      <c r="R1060" t="str">
        <f>IFERROR(VLOOKUP(TRIM(CLEAN(G1060)),Sheet14!$A$2:$B$19,2,FALSE),"Not Mapped")</f>
        <v>West</v>
      </c>
    </row>
    <row r="1061" spans="1:18">
      <c r="A1061" t="str">
        <f t="shared" si="87"/>
        <v>EOS1060</v>
      </c>
      <c r="B1061" s="35">
        <v>45994</v>
      </c>
      <c r="C1061" s="4" t="s">
        <v>267</v>
      </c>
      <c r="D1061" s="1" t="str">
        <f t="shared" si="88"/>
        <v>FB</v>
      </c>
      <c r="E1061" s="5" t="s">
        <v>1619</v>
      </c>
      <c r="F1061" s="1" t="s">
        <v>300</v>
      </c>
      <c r="G1061" s="1" t="s">
        <v>224</v>
      </c>
      <c r="H1061" s="1" t="s">
        <v>69</v>
      </c>
      <c r="I1061" s="1">
        <v>108000</v>
      </c>
      <c r="J1061" s="45">
        <v>1071059</v>
      </c>
      <c r="K1061" s="1" t="str">
        <f>TRIM(Cleaned_CRM_Data!H1061)</f>
        <v>Follow up</v>
      </c>
      <c r="L1061" t="str">
        <f>IFERROR(VLOOKUP(K1061, Status_Mapping!A:B, 2,), "Not Found")</f>
        <v>Follow Up</v>
      </c>
      <c r="N1061" s="29" t="str">
        <f>IF(M1061="","",M1061-B1061)</f>
        <v/>
      </c>
      <c r="O1061" s="1" t="str">
        <f t="shared" si="89"/>
        <v>Starter</v>
      </c>
      <c r="P1061" t="str">
        <f>TEXT(B1061, "mmmm")</f>
        <v>December</v>
      </c>
      <c r="Q1061" t="str">
        <f t="shared" si="90"/>
        <v>Q4</v>
      </c>
      <c r="R1061" t="str">
        <f>IFERROR(VLOOKUP(TRIM(CLEAN(G1061)),Sheet14!$A$2:$B$19,2,FALSE),"Not Mapped")</f>
        <v>West</v>
      </c>
    </row>
    <row r="1062" spans="1:18">
      <c r="A1062" t="str">
        <f t="shared" si="87"/>
        <v>EOS1061</v>
      </c>
      <c r="B1062" s="35">
        <v>45994</v>
      </c>
      <c r="C1062" s="4" t="s">
        <v>267</v>
      </c>
      <c r="D1062" s="1" t="str">
        <f t="shared" si="88"/>
        <v>FB</v>
      </c>
      <c r="E1062" s="1"/>
      <c r="F1062" s="1" t="s">
        <v>275</v>
      </c>
      <c r="G1062" s="1" t="s">
        <v>224</v>
      </c>
      <c r="H1062" s="1" t="s">
        <v>69</v>
      </c>
      <c r="I1062" s="1">
        <v>308000</v>
      </c>
      <c r="J1062" s="45">
        <v>1071060</v>
      </c>
      <c r="K1062" s="1" t="str">
        <f>TRIM(Cleaned_CRM_Data!H1062)</f>
        <v>Follow up</v>
      </c>
      <c r="L1062" t="str">
        <f>IFERROR(VLOOKUP(K1062, Status_Mapping!A:B, 2,), "Not Found")</f>
        <v>Follow Up</v>
      </c>
      <c r="N1062" s="29" t="str">
        <f>IF(M1062="","",M1062-B1062)</f>
        <v/>
      </c>
      <c r="O1062" s="1" t="str">
        <f t="shared" si="89"/>
        <v>Premium</v>
      </c>
      <c r="P1062" t="str">
        <f>TEXT(B1062, "mmmm")</f>
        <v>December</v>
      </c>
      <c r="Q1062" t="str">
        <f t="shared" si="90"/>
        <v>Q4</v>
      </c>
      <c r="R1062" t="str">
        <f>IFERROR(VLOOKUP(TRIM(CLEAN(G1062)),Sheet14!$A$2:$B$19,2,FALSE),"Not Mapped")</f>
        <v>West</v>
      </c>
    </row>
    <row r="1063" spans="1:18">
      <c r="A1063" t="str">
        <f t="shared" si="87"/>
        <v>EOS1062</v>
      </c>
      <c r="B1063" s="35">
        <v>45994</v>
      </c>
      <c r="C1063" s="4" t="s">
        <v>267</v>
      </c>
      <c r="D1063" s="1" t="str">
        <f t="shared" si="88"/>
        <v>FB</v>
      </c>
      <c r="E1063" s="5" t="s">
        <v>1620</v>
      </c>
      <c r="F1063" s="1" t="s">
        <v>1003</v>
      </c>
      <c r="G1063" s="1" t="s">
        <v>224</v>
      </c>
      <c r="H1063" s="1" t="s">
        <v>69</v>
      </c>
      <c r="I1063" s="1">
        <v>130000</v>
      </c>
      <c r="J1063" s="45">
        <v>1071061</v>
      </c>
      <c r="K1063" s="1" t="str">
        <f>TRIM(Cleaned_CRM_Data!H1063)</f>
        <v>Follow up</v>
      </c>
      <c r="L1063" t="str">
        <f>IFERROR(VLOOKUP(K1063, Status_Mapping!A:B, 2,), "Not Found")</f>
        <v>Follow Up</v>
      </c>
      <c r="N1063" s="29" t="str">
        <f>IF(M1063="","",M1063-B1063)</f>
        <v/>
      </c>
      <c r="O1063" s="1" t="str">
        <f t="shared" si="89"/>
        <v>Starter</v>
      </c>
      <c r="P1063" t="str">
        <f>TEXT(B1063, "mmmm")</f>
        <v>December</v>
      </c>
      <c r="Q1063" t="str">
        <f t="shared" si="90"/>
        <v>Q4</v>
      </c>
      <c r="R1063" t="str">
        <f>IFERROR(VLOOKUP(TRIM(CLEAN(G1063)),Sheet14!$A$2:$B$19,2,FALSE),"Not Mapped")</f>
        <v>West</v>
      </c>
    </row>
    <row r="1064" spans="1:18">
      <c r="A1064" t="str">
        <f t="shared" si="87"/>
        <v>EOS1063</v>
      </c>
      <c r="B1064" s="35">
        <v>45994</v>
      </c>
      <c r="C1064" s="4" t="s">
        <v>267</v>
      </c>
      <c r="D1064" s="1" t="str">
        <f t="shared" si="88"/>
        <v>FB</v>
      </c>
      <c r="E1064" s="5" t="s">
        <v>1621</v>
      </c>
      <c r="F1064" s="1" t="s">
        <v>300</v>
      </c>
      <c r="G1064" s="1" t="s">
        <v>224</v>
      </c>
      <c r="H1064" s="1" t="s">
        <v>149</v>
      </c>
      <c r="I1064" s="1">
        <v>130000</v>
      </c>
      <c r="J1064" s="45">
        <v>1071062</v>
      </c>
      <c r="K1064" s="1" t="str">
        <f>TRIM(Cleaned_CRM_Data!H1064)</f>
        <v>Rejected</v>
      </c>
      <c r="L1064" t="str">
        <f>IFERROR(VLOOKUP(K1064, Status_Mapping!A:B, 2,), "Not Found")</f>
        <v>Rejected</v>
      </c>
      <c r="N1064" s="29" t="str">
        <f>IF(M1064="","",M1064-B1064)</f>
        <v/>
      </c>
      <c r="O1064" s="1" t="str">
        <f t="shared" si="89"/>
        <v>Starter</v>
      </c>
      <c r="P1064" t="str">
        <f>TEXT(B1064, "mmmm")</f>
        <v>December</v>
      </c>
      <c r="Q1064" t="str">
        <f t="shared" si="90"/>
        <v>Q4</v>
      </c>
      <c r="R1064" t="str">
        <f>IFERROR(VLOOKUP(TRIM(CLEAN(G1064)),Sheet14!$A$2:$B$19,2,FALSE),"Not Mapped")</f>
        <v>West</v>
      </c>
    </row>
    <row r="1065" spans="1:18">
      <c r="A1065" t="str">
        <f t="shared" si="87"/>
        <v>EOS1064</v>
      </c>
      <c r="B1065" s="35">
        <v>45994</v>
      </c>
      <c r="C1065" s="1" t="s">
        <v>267</v>
      </c>
      <c r="D1065" s="1" t="str">
        <f t="shared" si="88"/>
        <v>FB</v>
      </c>
      <c r="E1065" s="5" t="s">
        <v>1622</v>
      </c>
      <c r="F1065" s="1" t="s">
        <v>364</v>
      </c>
      <c r="G1065" s="1" t="s">
        <v>224</v>
      </c>
      <c r="H1065" s="1" t="s">
        <v>69</v>
      </c>
      <c r="I1065" s="1">
        <v>130000</v>
      </c>
      <c r="J1065" s="45">
        <v>1071063</v>
      </c>
      <c r="K1065" s="1" t="str">
        <f>TRIM(Cleaned_CRM_Data!H1065)</f>
        <v>Follow up</v>
      </c>
      <c r="L1065" t="str">
        <f>IFERROR(VLOOKUP(K1065, Status_Mapping!A:B, 2,), "Not Found")</f>
        <v>Follow Up</v>
      </c>
      <c r="N1065" s="29" t="str">
        <f>IF(M1065="","",M1065-B1065)</f>
        <v/>
      </c>
      <c r="O1065" s="1" t="str">
        <f t="shared" si="89"/>
        <v>Starter</v>
      </c>
      <c r="P1065" t="str">
        <f>TEXT(B1065, "mmmm")</f>
        <v>December</v>
      </c>
      <c r="Q1065" t="str">
        <f t="shared" si="90"/>
        <v>Q4</v>
      </c>
      <c r="R1065" t="str">
        <f>IFERROR(VLOOKUP(TRIM(CLEAN(G1065)),Sheet14!$A$2:$B$19,2,FALSE),"Not Mapped")</f>
        <v>West</v>
      </c>
    </row>
    <row r="1066" spans="1:18">
      <c r="A1066" t="str">
        <f t="shared" si="87"/>
        <v>EOS1065</v>
      </c>
      <c r="B1066" s="35">
        <v>45994</v>
      </c>
      <c r="C1066" s="4" t="s">
        <v>267</v>
      </c>
      <c r="D1066" s="1" t="str">
        <f t="shared" si="88"/>
        <v>FB</v>
      </c>
      <c r="E1066" s="5" t="s">
        <v>1623</v>
      </c>
      <c r="F1066" s="1" t="s">
        <v>412</v>
      </c>
      <c r="G1066" s="1" t="s">
        <v>224</v>
      </c>
      <c r="H1066" s="1" t="s">
        <v>69</v>
      </c>
      <c r="I1066" s="1">
        <v>508000</v>
      </c>
      <c r="J1066" s="45">
        <v>1071064</v>
      </c>
      <c r="K1066" s="1" t="str">
        <f>TRIM(Cleaned_CRM_Data!H1066)</f>
        <v>Follow up</v>
      </c>
      <c r="L1066" t="str">
        <f>IFERROR(VLOOKUP(K1066, Status_Mapping!A:B, 2,), "Not Found")</f>
        <v>Follow Up</v>
      </c>
      <c r="N1066" s="29" t="str">
        <f>IF(M1066="","",M1066-B1066)</f>
        <v/>
      </c>
      <c r="O1066" s="1" t="str">
        <f t="shared" si="89"/>
        <v>Premium</v>
      </c>
      <c r="P1066" t="str">
        <f>TEXT(B1066, "mmmm")</f>
        <v>December</v>
      </c>
      <c r="Q1066" t="str">
        <f t="shared" si="90"/>
        <v>Q4</v>
      </c>
      <c r="R1066" t="str">
        <f>IFERROR(VLOOKUP(TRIM(CLEAN(G1066)),Sheet14!$A$2:$B$19,2,FALSE),"Not Mapped")</f>
        <v>West</v>
      </c>
    </row>
    <row r="1067" spans="1:18">
      <c r="A1067" t="str">
        <f t="shared" si="87"/>
        <v>EOS1066</v>
      </c>
      <c r="B1067" s="35">
        <v>45995</v>
      </c>
      <c r="C1067" s="4" t="s">
        <v>267</v>
      </c>
      <c r="D1067" s="1" t="str">
        <f t="shared" si="88"/>
        <v>FB</v>
      </c>
      <c r="E1067" s="5" t="s">
        <v>1624</v>
      </c>
      <c r="F1067" s="1" t="s">
        <v>1501</v>
      </c>
      <c r="G1067" s="1" t="s">
        <v>224</v>
      </c>
      <c r="H1067" s="1" t="s">
        <v>69</v>
      </c>
      <c r="I1067" s="1">
        <v>108000</v>
      </c>
      <c r="J1067" s="45">
        <v>1071065</v>
      </c>
      <c r="K1067" s="1" t="str">
        <f>TRIM(Cleaned_CRM_Data!H1067)</f>
        <v>Follow up</v>
      </c>
      <c r="L1067" t="str">
        <f>IFERROR(VLOOKUP(K1067, Status_Mapping!A:B, 2,), "Not Found")</f>
        <v>Follow Up</v>
      </c>
      <c r="N1067" s="29" t="str">
        <f>IF(M1067="","",M1067-B1067)</f>
        <v/>
      </c>
      <c r="O1067" s="1" t="str">
        <f t="shared" si="89"/>
        <v>Starter</v>
      </c>
      <c r="P1067" t="str">
        <f>TEXT(B1067, "mmmm")</f>
        <v>December</v>
      </c>
      <c r="Q1067" t="str">
        <f t="shared" si="90"/>
        <v>Q4</v>
      </c>
      <c r="R1067" t="str">
        <f>IFERROR(VLOOKUP(TRIM(CLEAN(G1067)),Sheet14!$A$2:$B$19,2,FALSE),"Not Mapped")</f>
        <v>West</v>
      </c>
    </row>
    <row r="1068" spans="1:18">
      <c r="A1068" t="str">
        <f t="shared" si="87"/>
        <v>EOS1067</v>
      </c>
      <c r="B1068" s="35">
        <v>45995</v>
      </c>
      <c r="C1068" s="4" t="s">
        <v>267</v>
      </c>
      <c r="D1068" s="1" t="str">
        <f t="shared" si="88"/>
        <v>FB</v>
      </c>
      <c r="E1068" s="1"/>
      <c r="F1068" s="1" t="s">
        <v>1284</v>
      </c>
      <c r="G1068" s="1" t="s">
        <v>224</v>
      </c>
      <c r="H1068" s="1" t="s">
        <v>69</v>
      </c>
      <c r="I1068" s="1">
        <v>177000</v>
      </c>
      <c r="J1068" s="45">
        <v>1071066</v>
      </c>
      <c r="K1068" s="1" t="str">
        <f>TRIM(Cleaned_CRM_Data!H1068)</f>
        <v>Follow up</v>
      </c>
      <c r="L1068" t="str">
        <f>IFERROR(VLOOKUP(K1068, Status_Mapping!A:B, 2,), "Not Found")</f>
        <v>Follow Up</v>
      </c>
      <c r="N1068" s="29" t="str">
        <f>IF(M1068="","",M1068-B1068)</f>
        <v/>
      </c>
      <c r="O1068" s="1" t="str">
        <f t="shared" si="89"/>
        <v>Growth</v>
      </c>
      <c r="P1068" t="str">
        <f>TEXT(B1068, "mmmm")</f>
        <v>December</v>
      </c>
      <c r="Q1068" t="str">
        <f t="shared" si="90"/>
        <v>Q4</v>
      </c>
      <c r="R1068" t="str">
        <f>IFERROR(VLOOKUP(TRIM(CLEAN(G1068)),Sheet14!$A$2:$B$19,2,FALSE),"Not Mapped")</f>
        <v>West</v>
      </c>
    </row>
    <row r="1069" spans="1:18">
      <c r="A1069" t="str">
        <f t="shared" si="87"/>
        <v>EOS1068</v>
      </c>
      <c r="B1069" s="35">
        <v>45995</v>
      </c>
      <c r="C1069" s="4" t="s">
        <v>267</v>
      </c>
      <c r="D1069" s="1" t="str">
        <f t="shared" si="88"/>
        <v>FB</v>
      </c>
      <c r="E1069" s="5" t="s">
        <v>1625</v>
      </c>
      <c r="F1069" s="1" t="s">
        <v>300</v>
      </c>
      <c r="G1069" s="1" t="s">
        <v>224</v>
      </c>
      <c r="H1069" s="1" t="s">
        <v>69</v>
      </c>
      <c r="I1069" s="1">
        <v>130000</v>
      </c>
      <c r="J1069" s="45">
        <v>1071067</v>
      </c>
      <c r="K1069" s="1" t="str">
        <f>TRIM(Cleaned_CRM_Data!H1069)</f>
        <v>Follow up</v>
      </c>
      <c r="L1069" t="str">
        <f>IFERROR(VLOOKUP(K1069, Status_Mapping!A:B, 2,), "Not Found")</f>
        <v>Follow Up</v>
      </c>
      <c r="N1069" s="29" t="str">
        <f>IF(M1069="","",M1069-B1069)</f>
        <v/>
      </c>
      <c r="O1069" s="1" t="str">
        <f t="shared" si="89"/>
        <v>Starter</v>
      </c>
      <c r="P1069" t="str">
        <f>TEXT(B1069, "mmmm")</f>
        <v>December</v>
      </c>
      <c r="Q1069" t="str">
        <f t="shared" si="90"/>
        <v>Q4</v>
      </c>
      <c r="R1069" t="str">
        <f>IFERROR(VLOOKUP(TRIM(CLEAN(G1069)),Sheet14!$A$2:$B$19,2,FALSE),"Not Mapped")</f>
        <v>West</v>
      </c>
    </row>
    <row r="1070" spans="1:18">
      <c r="A1070" t="str">
        <f t="shared" si="87"/>
        <v>EOS1069</v>
      </c>
      <c r="B1070" s="35">
        <v>45995</v>
      </c>
      <c r="C1070" s="4" t="s">
        <v>267</v>
      </c>
      <c r="D1070" s="1" t="str">
        <f t="shared" si="88"/>
        <v>FB</v>
      </c>
      <c r="E1070" s="5" t="s">
        <v>1626</v>
      </c>
      <c r="F1070" s="1" t="s">
        <v>300</v>
      </c>
      <c r="G1070" s="1" t="s">
        <v>224</v>
      </c>
      <c r="H1070" s="1" t="s">
        <v>69</v>
      </c>
      <c r="I1070" s="1">
        <v>130000</v>
      </c>
      <c r="J1070" s="45">
        <v>1071068</v>
      </c>
      <c r="K1070" s="1" t="str">
        <f>TRIM(Cleaned_CRM_Data!H1070)</f>
        <v>Follow up</v>
      </c>
      <c r="L1070" t="str">
        <f>IFERROR(VLOOKUP(K1070, Status_Mapping!A:B, 2,), "Not Found")</f>
        <v>Follow Up</v>
      </c>
      <c r="N1070" s="29" t="str">
        <f>IF(M1070="","",M1070-B1070)</f>
        <v/>
      </c>
      <c r="O1070" s="1" t="str">
        <f t="shared" si="89"/>
        <v>Starter</v>
      </c>
      <c r="P1070" t="str">
        <f>TEXT(B1070, "mmmm")</f>
        <v>December</v>
      </c>
      <c r="Q1070" t="str">
        <f t="shared" si="90"/>
        <v>Q4</v>
      </c>
      <c r="R1070" t="str">
        <f>IFERROR(VLOOKUP(TRIM(CLEAN(G1070)),Sheet14!$A$2:$B$19,2,FALSE),"Not Mapped")</f>
        <v>West</v>
      </c>
    </row>
    <row r="1071" spans="1:18">
      <c r="A1071" t="str">
        <f t="shared" si="87"/>
        <v>EOS1070</v>
      </c>
      <c r="B1071" s="35">
        <v>45995</v>
      </c>
      <c r="C1071" s="4" t="s">
        <v>267</v>
      </c>
      <c r="D1071" s="1" t="str">
        <f t="shared" si="88"/>
        <v>FB</v>
      </c>
      <c r="E1071" s="5" t="s">
        <v>1627</v>
      </c>
      <c r="F1071" s="1" t="s">
        <v>321</v>
      </c>
      <c r="G1071" s="1" t="s">
        <v>224</v>
      </c>
      <c r="H1071" s="1" t="s">
        <v>69</v>
      </c>
      <c r="I1071" s="1">
        <v>177000</v>
      </c>
      <c r="J1071" s="45">
        <v>1071069</v>
      </c>
      <c r="K1071" s="1" t="str">
        <f>TRIM(Cleaned_CRM_Data!H1071)</f>
        <v>Follow up</v>
      </c>
      <c r="L1071" t="str">
        <f>IFERROR(VLOOKUP(K1071, Status_Mapping!A:B, 2,), "Not Found")</f>
        <v>Follow Up</v>
      </c>
      <c r="N1071" s="29" t="str">
        <f>IF(M1071="","",M1071-B1071)</f>
        <v/>
      </c>
      <c r="O1071" s="1" t="str">
        <f t="shared" si="89"/>
        <v>Growth</v>
      </c>
      <c r="P1071" t="str">
        <f>TEXT(B1071, "mmmm")</f>
        <v>December</v>
      </c>
      <c r="Q1071" t="str">
        <f t="shared" si="90"/>
        <v>Q4</v>
      </c>
      <c r="R1071" t="str">
        <f>IFERROR(VLOOKUP(TRIM(CLEAN(G1071)),Sheet14!$A$2:$B$19,2,FALSE),"Not Mapped")</f>
        <v>West</v>
      </c>
    </row>
    <row r="1072" spans="1:18">
      <c r="A1072" t="str">
        <f t="shared" si="87"/>
        <v>EOS1071</v>
      </c>
      <c r="B1072" s="35">
        <v>45996</v>
      </c>
      <c r="C1072" s="4" t="s">
        <v>267</v>
      </c>
      <c r="D1072" s="1" t="str">
        <f t="shared" si="88"/>
        <v>FB</v>
      </c>
      <c r="E1072" s="5" t="s">
        <v>1628</v>
      </c>
      <c r="F1072" s="2" t="s">
        <v>1629</v>
      </c>
      <c r="G1072" s="1" t="s">
        <v>224</v>
      </c>
      <c r="H1072" s="1" t="s">
        <v>149</v>
      </c>
      <c r="I1072" s="1">
        <v>108000</v>
      </c>
      <c r="J1072" s="45">
        <v>1071070</v>
      </c>
      <c r="K1072" s="1" t="str">
        <f>TRIM(Cleaned_CRM_Data!H1072)</f>
        <v>Rejected</v>
      </c>
      <c r="L1072" t="str">
        <f>IFERROR(VLOOKUP(K1072, Status_Mapping!A:B, 2,), "Not Found")</f>
        <v>Rejected</v>
      </c>
      <c r="N1072" s="29" t="str">
        <f>IF(M1072="","",M1072-B1072)</f>
        <v/>
      </c>
      <c r="O1072" s="1" t="str">
        <f t="shared" si="89"/>
        <v>Starter</v>
      </c>
      <c r="P1072" t="str">
        <f>TEXT(B1072, "mmmm")</f>
        <v>December</v>
      </c>
      <c r="Q1072" t="str">
        <f t="shared" si="90"/>
        <v>Q4</v>
      </c>
      <c r="R1072" t="str">
        <f>IFERROR(VLOOKUP(TRIM(CLEAN(G1072)),Sheet14!$A$2:$B$19,2,FALSE),"Not Mapped")</f>
        <v>West</v>
      </c>
    </row>
    <row r="1073" spans="1:18">
      <c r="A1073" t="str">
        <f t="shared" si="87"/>
        <v>EOS1072</v>
      </c>
      <c r="B1073" s="35">
        <v>45996</v>
      </c>
      <c r="C1073" s="1" t="s">
        <v>267</v>
      </c>
      <c r="D1073" s="1" t="str">
        <f t="shared" si="88"/>
        <v>FB</v>
      </c>
      <c r="E1073" s="5" t="s">
        <v>1630</v>
      </c>
      <c r="F1073" s="5" t="s">
        <v>1631</v>
      </c>
      <c r="G1073" s="1" t="s">
        <v>224</v>
      </c>
      <c r="H1073" s="1" t="s">
        <v>69</v>
      </c>
      <c r="I1073" s="1">
        <v>177000</v>
      </c>
      <c r="J1073" s="45">
        <v>1071071</v>
      </c>
      <c r="K1073" s="1" t="str">
        <f>TRIM(Cleaned_CRM_Data!H1073)</f>
        <v>Follow up</v>
      </c>
      <c r="L1073" t="str">
        <f>IFERROR(VLOOKUP(K1073, Status_Mapping!A:B, 2,), "Not Found")</f>
        <v>Follow Up</v>
      </c>
      <c r="N1073" s="29" t="str">
        <f>IF(M1073="","",M1073-B1073)</f>
        <v/>
      </c>
      <c r="O1073" s="1" t="str">
        <f t="shared" si="89"/>
        <v>Growth</v>
      </c>
      <c r="P1073" t="str">
        <f>TEXT(B1073, "mmmm")</f>
        <v>December</v>
      </c>
      <c r="Q1073" t="str">
        <f t="shared" si="90"/>
        <v>Q4</v>
      </c>
      <c r="R1073" t="str">
        <f>IFERROR(VLOOKUP(TRIM(CLEAN(G1073)),Sheet14!$A$2:$B$19,2,FALSE),"Not Mapped")</f>
        <v>West</v>
      </c>
    </row>
    <row r="1074" spans="1:18">
      <c r="A1074" t="str">
        <f t="shared" si="87"/>
        <v>EOS1073</v>
      </c>
      <c r="B1074" s="35">
        <v>45996</v>
      </c>
      <c r="C1074" s="4" t="s">
        <v>267</v>
      </c>
      <c r="D1074" s="1" t="str">
        <f t="shared" si="88"/>
        <v>FB</v>
      </c>
      <c r="E1074" s="1" t="s">
        <v>1632</v>
      </c>
      <c r="F1074" s="1" t="s">
        <v>300</v>
      </c>
      <c r="G1074" s="1" t="s">
        <v>224</v>
      </c>
      <c r="H1074" s="1" t="s">
        <v>69</v>
      </c>
      <c r="I1074" s="1">
        <v>108000</v>
      </c>
      <c r="J1074" s="45">
        <v>1071072</v>
      </c>
      <c r="K1074" s="1" t="str">
        <f>TRIM(Cleaned_CRM_Data!H1074)</f>
        <v>Follow up</v>
      </c>
      <c r="L1074" t="str">
        <f>IFERROR(VLOOKUP(K1074, Status_Mapping!A:B, 2,), "Not Found")</f>
        <v>Follow Up</v>
      </c>
      <c r="N1074" s="29" t="str">
        <f>IF(M1074="","",M1074-B1074)</f>
        <v/>
      </c>
      <c r="O1074" s="1" t="str">
        <f t="shared" si="89"/>
        <v>Starter</v>
      </c>
      <c r="P1074" t="str">
        <f>TEXT(B1074, "mmmm")</f>
        <v>December</v>
      </c>
      <c r="Q1074" t="str">
        <f t="shared" si="90"/>
        <v>Q4</v>
      </c>
      <c r="R1074" t="str">
        <f>IFERROR(VLOOKUP(TRIM(CLEAN(G1074)),Sheet14!$A$2:$B$19,2,FALSE),"Not Mapped")</f>
        <v>West</v>
      </c>
    </row>
    <row r="1075" spans="1:18">
      <c r="A1075" t="str">
        <f t="shared" si="87"/>
        <v>EOS1074</v>
      </c>
      <c r="B1075" s="35">
        <v>45996</v>
      </c>
      <c r="C1075" s="4" t="s">
        <v>267</v>
      </c>
      <c r="D1075" s="1" t="str">
        <f t="shared" si="88"/>
        <v>FB</v>
      </c>
      <c r="E1075" s="1" t="s">
        <v>1633</v>
      </c>
      <c r="F1075" s="1" t="s">
        <v>1634</v>
      </c>
      <c r="G1075" s="1" t="s">
        <v>224</v>
      </c>
      <c r="H1075" s="1" t="s">
        <v>69</v>
      </c>
      <c r="I1075" s="1">
        <v>177000</v>
      </c>
      <c r="J1075" s="45">
        <v>1071073</v>
      </c>
      <c r="K1075" s="1" t="str">
        <f>TRIM(Cleaned_CRM_Data!H1075)</f>
        <v>Follow up</v>
      </c>
      <c r="L1075" t="str">
        <f>IFERROR(VLOOKUP(K1075, Status_Mapping!A:B, 2,), "Not Found")</f>
        <v>Follow Up</v>
      </c>
      <c r="N1075" s="29" t="str">
        <f>IF(M1075="","",M1075-B1075)</f>
        <v/>
      </c>
      <c r="O1075" s="1" t="str">
        <f t="shared" si="89"/>
        <v>Growth</v>
      </c>
      <c r="P1075" t="str">
        <f>TEXT(B1075, "mmmm")</f>
        <v>December</v>
      </c>
      <c r="Q1075" t="str">
        <f t="shared" si="90"/>
        <v>Q4</v>
      </c>
      <c r="R1075" t="str">
        <f>IFERROR(VLOOKUP(TRIM(CLEAN(G1075)),Sheet14!$A$2:$B$19,2,FALSE),"Not Mapped")</f>
        <v>West</v>
      </c>
    </row>
    <row r="1076" spans="1:18">
      <c r="A1076" t="str">
        <f t="shared" si="87"/>
        <v>EOS1075</v>
      </c>
      <c r="B1076" s="35">
        <v>45996</v>
      </c>
      <c r="C1076" s="4" t="s">
        <v>267</v>
      </c>
      <c r="D1076" s="1" t="str">
        <f t="shared" si="88"/>
        <v>FB</v>
      </c>
      <c r="E1076" s="5" t="s">
        <v>1635</v>
      </c>
      <c r="F1076" s="1" t="s">
        <v>645</v>
      </c>
      <c r="G1076" s="1" t="s">
        <v>224</v>
      </c>
      <c r="H1076" s="1" t="s">
        <v>69</v>
      </c>
      <c r="I1076" s="1">
        <v>130000</v>
      </c>
      <c r="J1076" s="45">
        <v>1071074</v>
      </c>
      <c r="K1076" s="1" t="str">
        <f>TRIM(Cleaned_CRM_Data!H1076)</f>
        <v>Follow up</v>
      </c>
      <c r="L1076" t="str">
        <f>IFERROR(VLOOKUP(K1076, Status_Mapping!A:B, 2,), "Not Found")</f>
        <v>Follow Up</v>
      </c>
      <c r="N1076" s="29" t="str">
        <f>IF(M1076="","",M1076-B1076)</f>
        <v/>
      </c>
      <c r="O1076" s="1" t="str">
        <f t="shared" si="89"/>
        <v>Starter</v>
      </c>
      <c r="P1076" t="str">
        <f>TEXT(B1076, "mmmm")</f>
        <v>December</v>
      </c>
      <c r="Q1076" t="str">
        <f t="shared" si="90"/>
        <v>Q4</v>
      </c>
      <c r="R1076" t="str">
        <f>IFERROR(VLOOKUP(TRIM(CLEAN(G1076)),Sheet14!$A$2:$B$19,2,FALSE),"Not Mapped")</f>
        <v>West</v>
      </c>
    </row>
    <row r="1077" spans="1:18">
      <c r="A1077" t="str">
        <f t="shared" si="87"/>
        <v>EOS1076</v>
      </c>
      <c r="B1077" s="35">
        <v>45997</v>
      </c>
      <c r="C1077" s="4" t="s">
        <v>267</v>
      </c>
      <c r="D1077" s="1" t="str">
        <f t="shared" si="88"/>
        <v>FB</v>
      </c>
      <c r="E1077" s="5" t="s">
        <v>1636</v>
      </c>
      <c r="F1077" s="1" t="s">
        <v>1637</v>
      </c>
      <c r="G1077" s="1" t="s">
        <v>224</v>
      </c>
      <c r="H1077" s="1" t="s">
        <v>69</v>
      </c>
      <c r="I1077" s="1">
        <v>108000</v>
      </c>
      <c r="J1077" s="45">
        <v>1071075</v>
      </c>
      <c r="K1077" s="1" t="str">
        <f>TRIM(Cleaned_CRM_Data!H1077)</f>
        <v>Follow up</v>
      </c>
      <c r="L1077" t="str">
        <f>IFERROR(VLOOKUP(K1077, Status_Mapping!A:B, 2,), "Not Found")</f>
        <v>Follow Up</v>
      </c>
      <c r="N1077" s="29" t="str">
        <f>IF(M1077="","",M1077-B1077)</f>
        <v/>
      </c>
      <c r="O1077" s="1" t="str">
        <f t="shared" si="89"/>
        <v>Starter</v>
      </c>
      <c r="P1077" t="str">
        <f>TEXT(B1077, "mmmm")</f>
        <v>December</v>
      </c>
      <c r="Q1077" t="str">
        <f t="shared" si="90"/>
        <v>Q4</v>
      </c>
      <c r="R1077" t="str">
        <f>IFERROR(VLOOKUP(TRIM(CLEAN(G1077)),Sheet14!$A$2:$B$19,2,FALSE),"Not Mapped")</f>
        <v>West</v>
      </c>
    </row>
    <row r="1078" spans="1:18">
      <c r="A1078" t="str">
        <f t="shared" si="87"/>
        <v>EOS1077</v>
      </c>
      <c r="B1078" s="35">
        <v>45997</v>
      </c>
      <c r="C1078" s="4" t="s">
        <v>267</v>
      </c>
      <c r="D1078" s="1" t="str">
        <f t="shared" si="88"/>
        <v>FB</v>
      </c>
      <c r="E1078" s="5" t="s">
        <v>1638</v>
      </c>
      <c r="F1078" s="3" t="s">
        <v>275</v>
      </c>
      <c r="G1078" s="3" t="s">
        <v>224</v>
      </c>
      <c r="H1078" s="1" t="s">
        <v>69</v>
      </c>
      <c r="I1078" s="1">
        <v>130000</v>
      </c>
      <c r="J1078" s="45">
        <v>1071076</v>
      </c>
      <c r="K1078" s="1" t="str">
        <f>TRIM(Cleaned_CRM_Data!H1078)</f>
        <v>Follow up</v>
      </c>
      <c r="L1078" t="str">
        <f>IFERROR(VLOOKUP(K1078, Status_Mapping!A:B, 2,), "Not Found")</f>
        <v>Follow Up</v>
      </c>
      <c r="N1078" s="29" t="str">
        <f>IF(M1078="","",M1078-B1078)</f>
        <v/>
      </c>
      <c r="O1078" s="1" t="str">
        <f t="shared" si="89"/>
        <v>Starter</v>
      </c>
      <c r="P1078" t="str">
        <f>TEXT(B1078, "mmmm")</f>
        <v>December</v>
      </c>
      <c r="Q1078" t="str">
        <f t="shared" si="90"/>
        <v>Q4</v>
      </c>
      <c r="R1078" t="str">
        <f>IFERROR(VLOOKUP(TRIM(CLEAN(G1078)),Sheet14!$A$2:$B$19,2,FALSE),"Not Mapped")</f>
        <v>West</v>
      </c>
    </row>
    <row r="1079" spans="1:18">
      <c r="A1079" t="str">
        <f t="shared" si="87"/>
        <v>EOS1078</v>
      </c>
      <c r="B1079" s="37">
        <v>45997</v>
      </c>
      <c r="C1079" s="4" t="s">
        <v>267</v>
      </c>
      <c r="D1079" s="1" t="str">
        <f t="shared" si="88"/>
        <v>FB</v>
      </c>
      <c r="E1079" s="6" t="s">
        <v>1639</v>
      </c>
      <c r="F1079" s="1" t="s">
        <v>412</v>
      </c>
      <c r="G1079" s="1" t="s">
        <v>224</v>
      </c>
      <c r="H1079" s="1" t="s">
        <v>69</v>
      </c>
      <c r="I1079" s="1">
        <v>177000</v>
      </c>
      <c r="J1079" s="45">
        <v>1071077</v>
      </c>
      <c r="K1079" s="1" t="str">
        <f>TRIM(Cleaned_CRM_Data!H1079)</f>
        <v>Follow up</v>
      </c>
      <c r="L1079" t="str">
        <f>IFERROR(VLOOKUP(K1079, Status_Mapping!A:B, 2,), "Not Found")</f>
        <v>Follow Up</v>
      </c>
      <c r="N1079" s="29" t="str">
        <f>IF(M1079="","",M1079-B1079)</f>
        <v/>
      </c>
      <c r="O1079" s="1" t="str">
        <f t="shared" si="89"/>
        <v>Growth</v>
      </c>
      <c r="P1079" t="str">
        <f>TEXT(B1079, "mmmm")</f>
        <v>December</v>
      </c>
      <c r="Q1079" t="str">
        <f t="shared" si="90"/>
        <v>Q4</v>
      </c>
      <c r="R1079" t="str">
        <f>IFERROR(VLOOKUP(TRIM(CLEAN(G1079)),Sheet14!$A$2:$B$19,2,FALSE),"Not Mapped")</f>
        <v>West</v>
      </c>
    </row>
    <row r="1080" spans="1:18">
      <c r="A1080" t="str">
        <f t="shared" si="87"/>
        <v>EOS1079</v>
      </c>
      <c r="B1080" s="35">
        <v>45997</v>
      </c>
      <c r="C1080" s="4" t="s">
        <v>267</v>
      </c>
      <c r="D1080" s="1" t="str">
        <f t="shared" si="88"/>
        <v>FB</v>
      </c>
      <c r="E1080" s="1" t="s">
        <v>1640</v>
      </c>
      <c r="F1080" s="1" t="s">
        <v>1641</v>
      </c>
      <c r="G1080" s="1" t="s">
        <v>224</v>
      </c>
      <c r="H1080" s="1" t="s">
        <v>69</v>
      </c>
      <c r="I1080" s="1">
        <v>108000</v>
      </c>
      <c r="J1080" s="45">
        <v>1071078</v>
      </c>
      <c r="K1080" s="1" t="str">
        <f>TRIM(Cleaned_CRM_Data!H1080)</f>
        <v>Follow up</v>
      </c>
      <c r="L1080" t="str">
        <f>IFERROR(VLOOKUP(K1080, Status_Mapping!A:B, 2,), "Not Found")</f>
        <v>Follow Up</v>
      </c>
      <c r="N1080" s="29" t="str">
        <f>IF(M1080="","",M1080-B1080)</f>
        <v/>
      </c>
      <c r="O1080" s="1" t="str">
        <f t="shared" si="89"/>
        <v>Starter</v>
      </c>
      <c r="P1080" t="str">
        <f>TEXT(B1080, "mmmm")</f>
        <v>December</v>
      </c>
      <c r="Q1080" t="str">
        <f t="shared" si="90"/>
        <v>Q4</v>
      </c>
      <c r="R1080" t="str">
        <f>IFERROR(VLOOKUP(TRIM(CLEAN(G1080)),Sheet14!$A$2:$B$19,2,FALSE),"Not Mapped")</f>
        <v>West</v>
      </c>
    </row>
    <row r="1081" spans="1:18">
      <c r="A1081" t="str">
        <f t="shared" si="87"/>
        <v>EOS1080</v>
      </c>
      <c r="B1081" s="35">
        <v>45997</v>
      </c>
      <c r="C1081" s="4" t="s">
        <v>267</v>
      </c>
      <c r="D1081" s="1" t="str">
        <f t="shared" si="88"/>
        <v>FB</v>
      </c>
      <c r="E1081" s="5" t="s">
        <v>1642</v>
      </c>
      <c r="F1081" s="1" t="s">
        <v>292</v>
      </c>
      <c r="G1081" s="1" t="s">
        <v>224</v>
      </c>
      <c r="H1081" s="1" t="s">
        <v>69</v>
      </c>
      <c r="I1081" s="1">
        <v>177000</v>
      </c>
      <c r="J1081" s="45">
        <v>1071079</v>
      </c>
      <c r="K1081" s="1" t="str">
        <f>TRIM(Cleaned_CRM_Data!H1081)</f>
        <v>Follow up</v>
      </c>
      <c r="L1081" t="str">
        <f>IFERROR(VLOOKUP(K1081, Status_Mapping!A:B, 2,), "Not Found")</f>
        <v>Follow Up</v>
      </c>
      <c r="N1081" s="29" t="str">
        <f>IF(M1081="","",M1081-B1081)</f>
        <v/>
      </c>
      <c r="O1081" s="1" t="str">
        <f t="shared" si="89"/>
        <v>Growth</v>
      </c>
      <c r="P1081" t="str">
        <f>TEXT(B1081, "mmmm")</f>
        <v>December</v>
      </c>
      <c r="Q1081" t="str">
        <f t="shared" si="90"/>
        <v>Q4</v>
      </c>
      <c r="R1081" t="str">
        <f>IFERROR(VLOOKUP(TRIM(CLEAN(G1081)),Sheet14!$A$2:$B$19,2,FALSE),"Not Mapped")</f>
        <v>West</v>
      </c>
    </row>
    <row r="1082" spans="1:18">
      <c r="A1082" t="str">
        <f t="shared" si="87"/>
        <v>EOS1081</v>
      </c>
      <c r="B1082" s="35">
        <v>45997</v>
      </c>
      <c r="C1082" s="4" t="s">
        <v>267</v>
      </c>
      <c r="D1082" s="1" t="str">
        <f t="shared" si="88"/>
        <v>FB</v>
      </c>
      <c r="E1082" s="5" t="s">
        <v>1643</v>
      </c>
      <c r="F1082" s="1" t="s">
        <v>1505</v>
      </c>
      <c r="G1082" s="1" t="s">
        <v>224</v>
      </c>
      <c r="H1082" s="1" t="s">
        <v>69</v>
      </c>
      <c r="I1082" s="1">
        <v>177000</v>
      </c>
      <c r="J1082" s="45">
        <v>1071080</v>
      </c>
      <c r="K1082" s="1" t="str">
        <f>TRIM(Cleaned_CRM_Data!H1082)</f>
        <v>Follow up</v>
      </c>
      <c r="L1082" t="str">
        <f>IFERROR(VLOOKUP(K1082, Status_Mapping!A:B, 2,), "Not Found")</f>
        <v>Follow Up</v>
      </c>
      <c r="N1082" s="29" t="str">
        <f>IF(M1082="","",M1082-B1082)</f>
        <v/>
      </c>
      <c r="O1082" s="1" t="str">
        <f t="shared" si="89"/>
        <v>Growth</v>
      </c>
      <c r="P1082" t="str">
        <f>TEXT(B1082, "mmmm")</f>
        <v>December</v>
      </c>
      <c r="Q1082" t="str">
        <f t="shared" si="90"/>
        <v>Q4</v>
      </c>
      <c r="R1082" t="str">
        <f>IFERROR(VLOOKUP(TRIM(CLEAN(G1082)),Sheet14!$A$2:$B$19,2,FALSE),"Not Mapped")</f>
        <v>West</v>
      </c>
    </row>
    <row r="1083" spans="1:18">
      <c r="A1083" t="str">
        <f t="shared" si="87"/>
        <v>EOS1082</v>
      </c>
      <c r="B1083" s="35">
        <v>45997</v>
      </c>
      <c r="C1083" s="4" t="s">
        <v>267</v>
      </c>
      <c r="D1083" s="1" t="str">
        <f t="shared" si="88"/>
        <v>FB</v>
      </c>
      <c r="E1083" s="5" t="s">
        <v>1644</v>
      </c>
      <c r="F1083" s="1" t="s">
        <v>1645</v>
      </c>
      <c r="G1083" s="1" t="s">
        <v>224</v>
      </c>
      <c r="H1083" s="1" t="s">
        <v>149</v>
      </c>
      <c r="I1083" s="1">
        <v>177000</v>
      </c>
      <c r="J1083" s="45">
        <v>1071081</v>
      </c>
      <c r="K1083" s="1" t="str">
        <f>TRIM(Cleaned_CRM_Data!H1083)</f>
        <v>Rejected</v>
      </c>
      <c r="L1083" t="str">
        <f>IFERROR(VLOOKUP(K1083, Status_Mapping!A:B, 2,), "Not Found")</f>
        <v>Rejected</v>
      </c>
      <c r="N1083" s="29" t="str">
        <f>IF(M1083="","",M1083-B1083)</f>
        <v/>
      </c>
      <c r="O1083" s="1" t="str">
        <f t="shared" si="89"/>
        <v>Growth</v>
      </c>
      <c r="P1083" t="str">
        <f>TEXT(B1083, "mmmm")</f>
        <v>December</v>
      </c>
      <c r="Q1083" t="str">
        <f t="shared" si="90"/>
        <v>Q4</v>
      </c>
      <c r="R1083" t="str">
        <f>IFERROR(VLOOKUP(TRIM(CLEAN(G1083)),Sheet14!$A$2:$B$19,2,FALSE),"Not Mapped")</f>
        <v>West</v>
      </c>
    </row>
    <row r="1084" spans="1:18">
      <c r="A1084" t="str">
        <f t="shared" si="87"/>
        <v>EOS1083</v>
      </c>
      <c r="B1084" s="35">
        <v>45997</v>
      </c>
      <c r="C1084" s="1" t="s">
        <v>267</v>
      </c>
      <c r="D1084" s="1" t="str">
        <f t="shared" si="88"/>
        <v>FB</v>
      </c>
      <c r="E1084" s="5" t="s">
        <v>682</v>
      </c>
      <c r="F1084" s="1" t="s">
        <v>1631</v>
      </c>
      <c r="G1084" s="1" t="s">
        <v>224</v>
      </c>
      <c r="H1084" s="1" t="s">
        <v>69</v>
      </c>
      <c r="I1084" s="1">
        <v>130000</v>
      </c>
      <c r="J1084" s="45">
        <v>1071082</v>
      </c>
      <c r="K1084" s="1" t="str">
        <f>TRIM(Cleaned_CRM_Data!H1084)</f>
        <v>Follow up</v>
      </c>
      <c r="L1084" t="str">
        <f>IFERROR(VLOOKUP(K1084, Status_Mapping!A:B, 2,), "Not Found")</f>
        <v>Follow Up</v>
      </c>
      <c r="N1084" s="29" t="str">
        <f>IF(M1084="","",M1084-B1084)</f>
        <v/>
      </c>
      <c r="O1084" s="1" t="str">
        <f t="shared" si="89"/>
        <v>Starter</v>
      </c>
      <c r="P1084" t="str">
        <f>TEXT(B1084, "mmmm")</f>
        <v>December</v>
      </c>
      <c r="Q1084" t="str">
        <f t="shared" si="90"/>
        <v>Q4</v>
      </c>
      <c r="R1084" t="str">
        <f>IFERROR(VLOOKUP(TRIM(CLEAN(G1084)),Sheet14!$A$2:$B$19,2,FALSE),"Not Mapped")</f>
        <v>West</v>
      </c>
    </row>
    <row r="1085" spans="1:18">
      <c r="A1085" t="str">
        <f t="shared" si="87"/>
        <v>EOS1084</v>
      </c>
      <c r="B1085" s="35">
        <v>45997</v>
      </c>
      <c r="C1085" s="4" t="s">
        <v>267</v>
      </c>
      <c r="D1085" s="1" t="str">
        <f t="shared" si="88"/>
        <v>FB</v>
      </c>
      <c r="E1085" s="5" t="s">
        <v>1646</v>
      </c>
      <c r="F1085" s="5" t="s">
        <v>720</v>
      </c>
      <c r="G1085" s="1" t="s">
        <v>224</v>
      </c>
      <c r="H1085" s="1" t="s">
        <v>69</v>
      </c>
      <c r="I1085" s="1">
        <v>130000</v>
      </c>
      <c r="J1085" s="45">
        <v>1071083</v>
      </c>
      <c r="K1085" s="1" t="str">
        <f>TRIM(Cleaned_CRM_Data!H1085)</f>
        <v>Follow up</v>
      </c>
      <c r="L1085" t="str">
        <f>IFERROR(VLOOKUP(K1085, Status_Mapping!A:B, 2,), "Not Found")</f>
        <v>Follow Up</v>
      </c>
      <c r="N1085" s="29" t="str">
        <f>IF(M1085="","",M1085-B1085)</f>
        <v/>
      </c>
      <c r="O1085" s="1" t="str">
        <f t="shared" si="89"/>
        <v>Starter</v>
      </c>
      <c r="P1085" t="str">
        <f>TEXT(B1085, "mmmm")</f>
        <v>December</v>
      </c>
      <c r="Q1085" t="str">
        <f t="shared" si="90"/>
        <v>Q4</v>
      </c>
      <c r="R1085" t="str">
        <f>IFERROR(VLOOKUP(TRIM(CLEAN(G1085)),Sheet14!$A$2:$B$19,2,FALSE),"Not Mapped")</f>
        <v>West</v>
      </c>
    </row>
    <row r="1086" spans="1:18">
      <c r="A1086" t="str">
        <f t="shared" si="87"/>
        <v>EOS1085</v>
      </c>
      <c r="B1086" s="35">
        <v>45999</v>
      </c>
      <c r="C1086" s="4" t="s">
        <v>267</v>
      </c>
      <c r="D1086" s="1" t="str">
        <f t="shared" si="88"/>
        <v>FB</v>
      </c>
      <c r="E1086" s="5" t="s">
        <v>1647</v>
      </c>
      <c r="F1086" s="5"/>
      <c r="G1086" s="1" t="s">
        <v>224</v>
      </c>
      <c r="H1086" s="1" t="s">
        <v>149</v>
      </c>
      <c r="I1086" s="1">
        <v>130000</v>
      </c>
      <c r="J1086" s="45">
        <v>1071084</v>
      </c>
      <c r="K1086" s="1" t="str">
        <f>TRIM(Cleaned_CRM_Data!H1086)</f>
        <v>Rejected</v>
      </c>
      <c r="L1086" t="str">
        <f>IFERROR(VLOOKUP(K1086, Status_Mapping!A:B, 2,), "Not Found")</f>
        <v>Rejected</v>
      </c>
      <c r="N1086" s="29" t="str">
        <f>IF(M1086="","",M1086-B1086)</f>
        <v/>
      </c>
      <c r="O1086" s="1" t="str">
        <f t="shared" si="89"/>
        <v>Starter</v>
      </c>
      <c r="P1086" t="str">
        <f>TEXT(B1086, "mmmm")</f>
        <v>December</v>
      </c>
      <c r="Q1086" t="str">
        <f t="shared" si="90"/>
        <v>Q4</v>
      </c>
      <c r="R1086" t="str">
        <f>IFERROR(VLOOKUP(TRIM(CLEAN(G1086)),Sheet14!$A$2:$B$19,2,FALSE),"Not Mapped")</f>
        <v>West</v>
      </c>
    </row>
    <row r="1087" spans="1:18">
      <c r="A1087" t="str">
        <f t="shared" si="87"/>
        <v>EOS1086</v>
      </c>
      <c r="B1087" s="35">
        <v>45999</v>
      </c>
      <c r="C1087" s="1" t="s">
        <v>267</v>
      </c>
      <c r="D1087" s="1" t="str">
        <f t="shared" si="88"/>
        <v>FB</v>
      </c>
      <c r="E1087" s="5" t="s">
        <v>1648</v>
      </c>
      <c r="F1087" s="1" t="s">
        <v>275</v>
      </c>
      <c r="G1087" s="1" t="s">
        <v>224</v>
      </c>
      <c r="H1087" s="1" t="s">
        <v>69</v>
      </c>
      <c r="I1087" s="1">
        <v>108000</v>
      </c>
      <c r="J1087" s="45">
        <v>1071085</v>
      </c>
      <c r="K1087" s="1" t="str">
        <f>TRIM(Cleaned_CRM_Data!H1087)</f>
        <v>Follow up</v>
      </c>
      <c r="L1087" t="str">
        <f>IFERROR(VLOOKUP(K1087, Status_Mapping!A:B, 2,), "Not Found")</f>
        <v>Follow Up</v>
      </c>
      <c r="N1087" s="29" t="str">
        <f>IF(M1087="","",M1087-B1087)</f>
        <v/>
      </c>
      <c r="O1087" s="1" t="str">
        <f t="shared" si="89"/>
        <v>Starter</v>
      </c>
      <c r="P1087" t="str">
        <f>TEXT(B1087, "mmmm")</f>
        <v>December</v>
      </c>
      <c r="Q1087" t="str">
        <f t="shared" si="90"/>
        <v>Q4</v>
      </c>
      <c r="R1087" t="str">
        <f>IFERROR(VLOOKUP(TRIM(CLEAN(G1087)),Sheet14!$A$2:$B$19,2,FALSE),"Not Mapped")</f>
        <v>West</v>
      </c>
    </row>
    <row r="1088" spans="1:18">
      <c r="A1088" t="str">
        <f t="shared" si="87"/>
        <v>EOS1087</v>
      </c>
      <c r="B1088" s="35">
        <v>45999</v>
      </c>
      <c r="C1088" s="4" t="s">
        <v>267</v>
      </c>
      <c r="D1088" s="1" t="str">
        <f t="shared" si="88"/>
        <v>FB</v>
      </c>
      <c r="E1088" s="5" t="s">
        <v>1649</v>
      </c>
      <c r="F1088" s="1" t="s">
        <v>300</v>
      </c>
      <c r="G1088" s="1" t="s">
        <v>224</v>
      </c>
      <c r="H1088" s="1" t="s">
        <v>69</v>
      </c>
      <c r="I1088" s="1">
        <v>108000</v>
      </c>
      <c r="J1088" s="45">
        <v>1071086</v>
      </c>
      <c r="K1088" s="1" t="str">
        <f>TRIM(Cleaned_CRM_Data!H1088)</f>
        <v>Follow up</v>
      </c>
      <c r="L1088" t="str">
        <f>IFERROR(VLOOKUP(K1088, Status_Mapping!A:B, 2,), "Not Found")</f>
        <v>Follow Up</v>
      </c>
      <c r="N1088" s="29" t="str">
        <f>IF(M1088="","",M1088-B1088)</f>
        <v/>
      </c>
      <c r="O1088" s="1" t="str">
        <f t="shared" si="89"/>
        <v>Starter</v>
      </c>
      <c r="P1088" t="str">
        <f>TEXT(B1088, "mmmm")</f>
        <v>December</v>
      </c>
      <c r="Q1088" t="str">
        <f t="shared" si="90"/>
        <v>Q4</v>
      </c>
      <c r="R1088" t="str">
        <f>IFERROR(VLOOKUP(TRIM(CLEAN(G1088)),Sheet14!$A$2:$B$19,2,FALSE),"Not Mapped")</f>
        <v>West</v>
      </c>
    </row>
    <row r="1089" spans="1:18">
      <c r="A1089" t="str">
        <f t="shared" si="87"/>
        <v>EOS1088</v>
      </c>
      <c r="B1089" s="35">
        <v>45999</v>
      </c>
      <c r="C1089" s="4" t="s">
        <v>267</v>
      </c>
      <c r="D1089" s="1" t="str">
        <f t="shared" si="88"/>
        <v>FB</v>
      </c>
      <c r="E1089" s="5" t="s">
        <v>1519</v>
      </c>
      <c r="F1089" s="5" t="s">
        <v>626</v>
      </c>
      <c r="G1089" s="1" t="s">
        <v>224</v>
      </c>
      <c r="H1089" s="1" t="s">
        <v>149</v>
      </c>
      <c r="I1089" s="1">
        <v>130000</v>
      </c>
      <c r="J1089" s="45">
        <v>1071087</v>
      </c>
      <c r="K1089" s="1" t="str">
        <f>TRIM(Cleaned_CRM_Data!H1089)</f>
        <v>Rejected</v>
      </c>
      <c r="L1089" t="str">
        <f>IFERROR(VLOOKUP(K1089, Status_Mapping!A:B, 2,), "Not Found")</f>
        <v>Rejected</v>
      </c>
      <c r="N1089" s="29" t="str">
        <f>IF(M1089="","",M1089-B1089)</f>
        <v/>
      </c>
      <c r="O1089" s="1" t="str">
        <f t="shared" si="89"/>
        <v>Starter</v>
      </c>
      <c r="P1089" t="str">
        <f>TEXT(B1089, "mmmm")</f>
        <v>December</v>
      </c>
      <c r="Q1089" t="str">
        <f t="shared" si="90"/>
        <v>Q4</v>
      </c>
      <c r="R1089" t="str">
        <f>IFERROR(VLOOKUP(TRIM(CLEAN(G1089)),Sheet14!$A$2:$B$19,2,FALSE),"Not Mapped")</f>
        <v>West</v>
      </c>
    </row>
    <row r="1090" spans="1:18">
      <c r="A1090" t="str">
        <f t="shared" si="87"/>
        <v>EOS1089</v>
      </c>
      <c r="B1090" s="35">
        <v>45999</v>
      </c>
      <c r="C1090" s="1" t="s">
        <v>267</v>
      </c>
      <c r="D1090" s="1" t="str">
        <f t="shared" si="88"/>
        <v>FB</v>
      </c>
      <c r="E1090" s="5" t="s">
        <v>1650</v>
      </c>
      <c r="F1090" s="1" t="s">
        <v>358</v>
      </c>
      <c r="G1090" s="1" t="s">
        <v>224</v>
      </c>
      <c r="H1090" s="1" t="s">
        <v>69</v>
      </c>
      <c r="I1090" s="1">
        <v>130000</v>
      </c>
      <c r="J1090" s="45">
        <v>1071088</v>
      </c>
      <c r="K1090" s="1" t="str">
        <f>TRIM(Cleaned_CRM_Data!H1090)</f>
        <v>Follow up</v>
      </c>
      <c r="L1090" t="str">
        <f>IFERROR(VLOOKUP(K1090, Status_Mapping!A:B, 2,), "Not Found")</f>
        <v>Follow Up</v>
      </c>
      <c r="N1090" s="29" t="str">
        <f>IF(M1090="","",M1090-B1090)</f>
        <v/>
      </c>
      <c r="O1090" s="1" t="str">
        <f t="shared" si="89"/>
        <v>Starter</v>
      </c>
      <c r="P1090" t="str">
        <f>TEXT(B1090, "mmmm")</f>
        <v>December</v>
      </c>
      <c r="Q1090" t="str">
        <f t="shared" si="90"/>
        <v>Q4</v>
      </c>
      <c r="R1090" t="str">
        <f>IFERROR(VLOOKUP(TRIM(CLEAN(G1090)),Sheet14!$A$2:$B$19,2,FALSE),"Not Mapped")</f>
        <v>West</v>
      </c>
    </row>
    <row r="1091" spans="1:18">
      <c r="A1091" t="str">
        <f t="shared" ref="A1091:A1154" si="91">"EOS"&amp;TEXT(ROW()-1,"0000")</f>
        <v>EOS1090</v>
      </c>
      <c r="B1091" s="35">
        <v>45999</v>
      </c>
      <c r="C1091" s="4" t="s">
        <v>267</v>
      </c>
      <c r="D1091" s="1" t="str">
        <f t="shared" ref="D1091:D1154" si="92">TRIM(CLEAN(SUBSTITUTE(C1091,CHAR(160),"")))</f>
        <v>FB</v>
      </c>
      <c r="E1091" s="5" t="s">
        <v>1651</v>
      </c>
      <c r="F1091" s="1" t="s">
        <v>275</v>
      </c>
      <c r="G1091" s="1" t="s">
        <v>224</v>
      </c>
      <c r="H1091" s="1" t="s">
        <v>69</v>
      </c>
      <c r="I1091" s="1">
        <v>177000</v>
      </c>
      <c r="J1091" s="45">
        <v>1071089</v>
      </c>
      <c r="K1091" s="1" t="str">
        <f>TRIM(Cleaned_CRM_Data!H1091)</f>
        <v>Follow up</v>
      </c>
      <c r="L1091" t="str">
        <f>IFERROR(VLOOKUP(K1091, Status_Mapping!A:B, 2,), "Not Found")</f>
        <v>Follow Up</v>
      </c>
      <c r="N1091" s="29" t="str">
        <f>IF(M1091="","",M1091-B1091)</f>
        <v/>
      </c>
      <c r="O1091" s="1" t="str">
        <f t="shared" ref="O1091:O1154" si="93">IF(OR(I1091=108000,I1091=130000),"Starter",IF(I1091=177000,"Growth","Premium"))</f>
        <v>Growth</v>
      </c>
      <c r="P1091" t="str">
        <f>TEXT(B1091, "mmmm")</f>
        <v>December</v>
      </c>
      <c r="Q1091" t="str">
        <f t="shared" ref="Q1091:Q1154" si="94">"Q"&amp;ROUNDUP(MONTH(B1091)/3,0)</f>
        <v>Q4</v>
      </c>
      <c r="R1091" t="str">
        <f>IFERROR(VLOOKUP(TRIM(CLEAN(G1091)),Sheet14!$A$2:$B$19,2,FALSE),"Not Mapped")</f>
        <v>West</v>
      </c>
    </row>
    <row r="1092" spans="1:18">
      <c r="A1092" t="str">
        <f t="shared" si="91"/>
        <v>EOS1091</v>
      </c>
      <c r="B1092" s="35">
        <v>45999</v>
      </c>
      <c r="C1092" s="4" t="s">
        <v>267</v>
      </c>
      <c r="D1092" s="1" t="str">
        <f t="shared" si="92"/>
        <v>FB</v>
      </c>
      <c r="E1092" s="5" t="s">
        <v>1652</v>
      </c>
      <c r="F1092" s="1" t="s">
        <v>412</v>
      </c>
      <c r="G1092" s="1" t="s">
        <v>224</v>
      </c>
      <c r="H1092" s="1" t="s">
        <v>69</v>
      </c>
      <c r="I1092" s="1">
        <v>130000</v>
      </c>
      <c r="J1092" s="45">
        <v>1071090</v>
      </c>
      <c r="K1092" s="1" t="str">
        <f>TRIM(Cleaned_CRM_Data!H1092)</f>
        <v>Follow up</v>
      </c>
      <c r="L1092" t="str">
        <f>IFERROR(VLOOKUP(K1092, Status_Mapping!A:B, 2,), "Not Found")</f>
        <v>Follow Up</v>
      </c>
      <c r="N1092" s="29" t="str">
        <f>IF(M1092="","",M1092-B1092)</f>
        <v/>
      </c>
      <c r="O1092" s="1" t="str">
        <f t="shared" si="93"/>
        <v>Starter</v>
      </c>
      <c r="P1092" t="str">
        <f>TEXT(B1092, "mmmm")</f>
        <v>December</v>
      </c>
      <c r="Q1092" t="str">
        <f t="shared" si="94"/>
        <v>Q4</v>
      </c>
      <c r="R1092" t="str">
        <f>IFERROR(VLOOKUP(TRIM(CLEAN(G1092)),Sheet14!$A$2:$B$19,2,FALSE),"Not Mapped")</f>
        <v>West</v>
      </c>
    </row>
    <row r="1093" spans="1:18">
      <c r="A1093" t="str">
        <f t="shared" si="91"/>
        <v>EOS1092</v>
      </c>
      <c r="B1093" s="35">
        <v>45999</v>
      </c>
      <c r="C1093" s="4" t="s">
        <v>267</v>
      </c>
      <c r="D1093" s="1" t="str">
        <f t="shared" si="92"/>
        <v>FB</v>
      </c>
      <c r="E1093" s="5" t="s">
        <v>1653</v>
      </c>
      <c r="F1093" s="1" t="s">
        <v>275</v>
      </c>
      <c r="G1093" s="1" t="s">
        <v>224</v>
      </c>
      <c r="H1093" s="1" t="s">
        <v>149</v>
      </c>
      <c r="I1093" s="1">
        <v>108000</v>
      </c>
      <c r="J1093" s="45">
        <v>1071091</v>
      </c>
      <c r="K1093" s="1" t="str">
        <f>TRIM(Cleaned_CRM_Data!H1093)</f>
        <v>Rejected</v>
      </c>
      <c r="L1093" t="str">
        <f>IFERROR(VLOOKUP(K1093, Status_Mapping!A:B, 2,), "Not Found")</f>
        <v>Rejected</v>
      </c>
      <c r="N1093" s="29" t="str">
        <f>IF(M1093="","",M1093-B1093)</f>
        <v/>
      </c>
      <c r="O1093" s="1" t="str">
        <f t="shared" si="93"/>
        <v>Starter</v>
      </c>
      <c r="P1093" t="str">
        <f>TEXT(B1093, "mmmm")</f>
        <v>December</v>
      </c>
      <c r="Q1093" t="str">
        <f t="shared" si="94"/>
        <v>Q4</v>
      </c>
      <c r="R1093" t="str">
        <f>IFERROR(VLOOKUP(TRIM(CLEAN(G1093)),Sheet14!$A$2:$B$19,2,FALSE),"Not Mapped")</f>
        <v>West</v>
      </c>
    </row>
    <row r="1094" spans="1:18">
      <c r="A1094" t="str">
        <f t="shared" si="91"/>
        <v>EOS1093</v>
      </c>
      <c r="B1094" s="35">
        <v>45999</v>
      </c>
      <c r="C1094" s="1" t="s">
        <v>267</v>
      </c>
      <c r="D1094" s="1" t="str">
        <f t="shared" si="92"/>
        <v>FB</v>
      </c>
      <c r="E1094" s="5" t="s">
        <v>1654</v>
      </c>
      <c r="F1094" s="1" t="s">
        <v>1655</v>
      </c>
      <c r="G1094" s="1" t="s">
        <v>224</v>
      </c>
      <c r="H1094" s="1" t="s">
        <v>69</v>
      </c>
      <c r="I1094" s="1">
        <v>130000</v>
      </c>
      <c r="J1094" s="45">
        <v>1071092</v>
      </c>
      <c r="K1094" s="1" t="str">
        <f>TRIM(Cleaned_CRM_Data!H1094)</f>
        <v>Follow up</v>
      </c>
      <c r="L1094" t="str">
        <f>IFERROR(VLOOKUP(K1094, Status_Mapping!A:B, 2,), "Not Found")</f>
        <v>Follow Up</v>
      </c>
      <c r="N1094" s="29" t="str">
        <f>IF(M1094="","",M1094-B1094)</f>
        <v/>
      </c>
      <c r="O1094" s="1" t="str">
        <f t="shared" si="93"/>
        <v>Starter</v>
      </c>
      <c r="P1094" t="str">
        <f>TEXT(B1094, "mmmm")</f>
        <v>December</v>
      </c>
      <c r="Q1094" t="str">
        <f t="shared" si="94"/>
        <v>Q4</v>
      </c>
      <c r="R1094" t="str">
        <f>IFERROR(VLOOKUP(TRIM(CLEAN(G1094)),Sheet14!$A$2:$B$19,2,FALSE),"Not Mapped")</f>
        <v>West</v>
      </c>
    </row>
    <row r="1095" spans="1:18">
      <c r="A1095" t="str">
        <f t="shared" si="91"/>
        <v>EOS1094</v>
      </c>
      <c r="B1095" s="35">
        <v>45999</v>
      </c>
      <c r="C1095" s="4" t="s">
        <v>267</v>
      </c>
      <c r="D1095" s="1" t="str">
        <f t="shared" si="92"/>
        <v>FB</v>
      </c>
      <c r="E1095" s="5" t="s">
        <v>1656</v>
      </c>
      <c r="F1095" s="1" t="s">
        <v>1657</v>
      </c>
      <c r="G1095" s="1" t="s">
        <v>224</v>
      </c>
      <c r="H1095" s="1" t="s">
        <v>149</v>
      </c>
      <c r="I1095" s="1">
        <v>108000</v>
      </c>
      <c r="J1095" s="45">
        <v>1071093</v>
      </c>
      <c r="K1095" s="1" t="str">
        <f>TRIM(Cleaned_CRM_Data!H1095)</f>
        <v>Rejected</v>
      </c>
      <c r="L1095" t="str">
        <f>IFERROR(VLOOKUP(K1095, Status_Mapping!A:B, 2,), "Not Found")</f>
        <v>Rejected</v>
      </c>
      <c r="N1095" s="29" t="str">
        <f>IF(M1095="","",M1095-B1095)</f>
        <v/>
      </c>
      <c r="O1095" s="1" t="str">
        <f t="shared" si="93"/>
        <v>Starter</v>
      </c>
      <c r="P1095" t="str">
        <f>TEXT(B1095, "mmmm")</f>
        <v>December</v>
      </c>
      <c r="Q1095" t="str">
        <f t="shared" si="94"/>
        <v>Q4</v>
      </c>
      <c r="R1095" t="str">
        <f>IFERROR(VLOOKUP(TRIM(CLEAN(G1095)),Sheet14!$A$2:$B$19,2,FALSE),"Not Mapped")</f>
        <v>West</v>
      </c>
    </row>
    <row r="1096" spans="1:18">
      <c r="A1096" t="str">
        <f t="shared" si="91"/>
        <v>EOS1095</v>
      </c>
      <c r="B1096" s="35">
        <v>45999</v>
      </c>
      <c r="C1096" s="1" t="s">
        <v>267</v>
      </c>
      <c r="D1096" s="1" t="str">
        <f t="shared" si="92"/>
        <v>FB</v>
      </c>
      <c r="E1096" s="5" t="s">
        <v>1658</v>
      </c>
      <c r="F1096" s="1" t="s">
        <v>296</v>
      </c>
      <c r="G1096" s="1" t="s">
        <v>224</v>
      </c>
      <c r="H1096" s="1" t="s">
        <v>149</v>
      </c>
      <c r="I1096" s="1">
        <v>108000</v>
      </c>
      <c r="J1096" s="45">
        <v>1071094</v>
      </c>
      <c r="K1096" s="1" t="str">
        <f>TRIM(Cleaned_CRM_Data!H1096)</f>
        <v>Rejected</v>
      </c>
      <c r="L1096" t="str">
        <f>IFERROR(VLOOKUP(K1096, Status_Mapping!A:B, 2,), "Not Found")</f>
        <v>Rejected</v>
      </c>
      <c r="N1096" s="29" t="str">
        <f>IF(M1096="","",M1096-B1096)</f>
        <v/>
      </c>
      <c r="O1096" s="1" t="str">
        <f t="shared" si="93"/>
        <v>Starter</v>
      </c>
      <c r="P1096" t="str">
        <f>TEXT(B1096, "mmmm")</f>
        <v>December</v>
      </c>
      <c r="Q1096" t="str">
        <f t="shared" si="94"/>
        <v>Q4</v>
      </c>
      <c r="R1096" t="str">
        <f>IFERROR(VLOOKUP(TRIM(CLEAN(G1096)),Sheet14!$A$2:$B$19,2,FALSE),"Not Mapped")</f>
        <v>West</v>
      </c>
    </row>
    <row r="1097" spans="1:18">
      <c r="A1097" t="str">
        <f t="shared" si="91"/>
        <v>EOS1096</v>
      </c>
      <c r="B1097" s="35">
        <v>45999</v>
      </c>
      <c r="C1097" s="1" t="s">
        <v>267</v>
      </c>
      <c r="D1097" s="1" t="str">
        <f t="shared" si="92"/>
        <v>FB</v>
      </c>
      <c r="E1097" s="5" t="s">
        <v>1659</v>
      </c>
      <c r="F1097" s="1" t="s">
        <v>1660</v>
      </c>
      <c r="G1097" s="1" t="s">
        <v>224</v>
      </c>
      <c r="H1097" s="1" t="s">
        <v>69</v>
      </c>
      <c r="I1097" s="1">
        <v>108000</v>
      </c>
      <c r="J1097" s="45">
        <v>1071095</v>
      </c>
      <c r="K1097" s="1" t="str">
        <f>TRIM(Cleaned_CRM_Data!H1097)</f>
        <v>Follow up</v>
      </c>
      <c r="L1097" t="str">
        <f>IFERROR(VLOOKUP(K1097, Status_Mapping!A:B, 2,), "Not Found")</f>
        <v>Follow Up</v>
      </c>
      <c r="N1097" s="29" t="str">
        <f>IF(M1097="","",M1097-B1097)</f>
        <v/>
      </c>
      <c r="O1097" s="1" t="str">
        <f t="shared" si="93"/>
        <v>Starter</v>
      </c>
      <c r="P1097" t="str">
        <f>TEXT(B1097, "mmmm")</f>
        <v>December</v>
      </c>
      <c r="Q1097" t="str">
        <f t="shared" si="94"/>
        <v>Q4</v>
      </c>
      <c r="R1097" t="str">
        <f>IFERROR(VLOOKUP(TRIM(CLEAN(G1097)),Sheet14!$A$2:$B$19,2,FALSE),"Not Mapped")</f>
        <v>West</v>
      </c>
    </row>
    <row r="1098" spans="1:18">
      <c r="A1098" t="str">
        <f t="shared" si="91"/>
        <v>EOS1097</v>
      </c>
      <c r="B1098" s="35">
        <v>45999</v>
      </c>
      <c r="C1098" s="4" t="s">
        <v>267</v>
      </c>
      <c r="D1098" s="1" t="str">
        <f t="shared" si="92"/>
        <v>FB</v>
      </c>
      <c r="E1098" s="5" t="s">
        <v>1661</v>
      </c>
      <c r="F1098" s="1" t="s">
        <v>1284</v>
      </c>
      <c r="G1098" s="1" t="s">
        <v>224</v>
      </c>
      <c r="H1098" s="1" t="s">
        <v>69</v>
      </c>
      <c r="I1098" s="1">
        <v>108000</v>
      </c>
      <c r="J1098" s="45">
        <v>1071096</v>
      </c>
      <c r="K1098" s="1" t="str">
        <f>TRIM(Cleaned_CRM_Data!H1098)</f>
        <v>Follow up</v>
      </c>
      <c r="L1098" t="str">
        <f>IFERROR(VLOOKUP(K1098, Status_Mapping!A:B, 2,), "Not Found")</f>
        <v>Follow Up</v>
      </c>
      <c r="N1098" s="29" t="str">
        <f>IF(M1098="","",M1098-B1098)</f>
        <v/>
      </c>
      <c r="O1098" s="1" t="str">
        <f t="shared" si="93"/>
        <v>Starter</v>
      </c>
      <c r="P1098" t="str">
        <f>TEXT(B1098, "mmmm")</f>
        <v>December</v>
      </c>
      <c r="Q1098" t="str">
        <f t="shared" si="94"/>
        <v>Q4</v>
      </c>
      <c r="R1098" t="str">
        <f>IFERROR(VLOOKUP(TRIM(CLEAN(G1098)),Sheet14!$A$2:$B$19,2,FALSE),"Not Mapped")</f>
        <v>West</v>
      </c>
    </row>
    <row r="1099" spans="1:18">
      <c r="A1099" t="str">
        <f t="shared" si="91"/>
        <v>EOS1098</v>
      </c>
      <c r="B1099" s="35">
        <v>45999</v>
      </c>
      <c r="C1099" s="4" t="s">
        <v>267</v>
      </c>
      <c r="D1099" s="1" t="str">
        <f t="shared" si="92"/>
        <v>FB</v>
      </c>
      <c r="E1099" s="5" t="s">
        <v>1662</v>
      </c>
      <c r="F1099" s="1"/>
      <c r="G1099" s="1" t="s">
        <v>224</v>
      </c>
      <c r="H1099" s="1" t="s">
        <v>69</v>
      </c>
      <c r="I1099" s="1">
        <v>108000</v>
      </c>
      <c r="J1099" s="45">
        <v>1071097</v>
      </c>
      <c r="K1099" s="1" t="str">
        <f>TRIM(Cleaned_CRM_Data!H1099)</f>
        <v>Follow up</v>
      </c>
      <c r="L1099" t="str">
        <f>IFERROR(VLOOKUP(K1099, Status_Mapping!A:B, 2,), "Not Found")</f>
        <v>Follow Up</v>
      </c>
      <c r="N1099" s="29" t="str">
        <f>IF(M1099="","",M1099-B1099)</f>
        <v/>
      </c>
      <c r="O1099" s="1" t="str">
        <f t="shared" si="93"/>
        <v>Starter</v>
      </c>
      <c r="P1099" t="str">
        <f>TEXT(B1099, "mmmm")</f>
        <v>December</v>
      </c>
      <c r="Q1099" t="str">
        <f t="shared" si="94"/>
        <v>Q4</v>
      </c>
      <c r="R1099" t="str">
        <f>IFERROR(VLOOKUP(TRIM(CLEAN(G1099)),Sheet14!$A$2:$B$19,2,FALSE),"Not Mapped")</f>
        <v>West</v>
      </c>
    </row>
    <row r="1100" spans="1:18">
      <c r="A1100" t="str">
        <f t="shared" si="91"/>
        <v>EOS1099</v>
      </c>
      <c r="B1100" s="35">
        <v>45999</v>
      </c>
      <c r="C1100" s="4" t="s">
        <v>267</v>
      </c>
      <c r="D1100" s="1" t="str">
        <f t="shared" si="92"/>
        <v>FB</v>
      </c>
      <c r="E1100" s="5" t="s">
        <v>1663</v>
      </c>
      <c r="F1100" s="1" t="s">
        <v>412</v>
      </c>
      <c r="G1100" s="1" t="s">
        <v>224</v>
      </c>
      <c r="H1100" s="1" t="s">
        <v>69</v>
      </c>
      <c r="I1100" s="1">
        <v>130000</v>
      </c>
      <c r="J1100" s="45">
        <v>1071098</v>
      </c>
      <c r="K1100" s="1" t="str">
        <f>TRIM(Cleaned_CRM_Data!H1100)</f>
        <v>Follow up</v>
      </c>
      <c r="L1100" t="str">
        <f>IFERROR(VLOOKUP(K1100, Status_Mapping!A:B, 2,), "Not Found")</f>
        <v>Follow Up</v>
      </c>
      <c r="N1100" s="29" t="str">
        <f>IF(M1100="","",M1100-B1100)</f>
        <v/>
      </c>
      <c r="O1100" s="1" t="str">
        <f t="shared" si="93"/>
        <v>Starter</v>
      </c>
      <c r="P1100" t="str">
        <f>TEXT(B1100, "mmmm")</f>
        <v>December</v>
      </c>
      <c r="Q1100" t="str">
        <f t="shared" si="94"/>
        <v>Q4</v>
      </c>
      <c r="R1100" t="str">
        <f>IFERROR(VLOOKUP(TRIM(CLEAN(G1100)),Sheet14!$A$2:$B$19,2,FALSE),"Not Mapped")</f>
        <v>West</v>
      </c>
    </row>
    <row r="1101" spans="1:18">
      <c r="A1101" t="str">
        <f t="shared" si="91"/>
        <v>EOS1100</v>
      </c>
      <c r="B1101" s="35">
        <v>46000</v>
      </c>
      <c r="C1101" s="4" t="s">
        <v>267</v>
      </c>
      <c r="D1101" s="1" t="str">
        <f t="shared" si="92"/>
        <v>FB</v>
      </c>
      <c r="E1101" s="5" t="s">
        <v>1664</v>
      </c>
      <c r="F1101" s="1" t="s">
        <v>313</v>
      </c>
      <c r="G1101" s="1" t="s">
        <v>224</v>
      </c>
      <c r="H1101" s="1" t="s">
        <v>149</v>
      </c>
      <c r="I1101" s="1">
        <v>130000</v>
      </c>
      <c r="J1101" s="45">
        <v>1071099</v>
      </c>
      <c r="K1101" s="1" t="str">
        <f>TRIM(Cleaned_CRM_Data!H1101)</f>
        <v>Rejected</v>
      </c>
      <c r="L1101" t="str">
        <f>IFERROR(VLOOKUP(K1101, Status_Mapping!A:B, 2,), "Not Found")</f>
        <v>Rejected</v>
      </c>
      <c r="N1101" s="29" t="str">
        <f>IF(M1101="","",M1101-B1101)</f>
        <v/>
      </c>
      <c r="O1101" s="1" t="str">
        <f t="shared" si="93"/>
        <v>Starter</v>
      </c>
      <c r="P1101" t="str">
        <f>TEXT(B1101, "mmmm")</f>
        <v>December</v>
      </c>
      <c r="Q1101" t="str">
        <f t="shared" si="94"/>
        <v>Q4</v>
      </c>
      <c r="R1101" t="str">
        <f>IFERROR(VLOOKUP(TRIM(CLEAN(G1101)),Sheet14!$A$2:$B$19,2,FALSE),"Not Mapped")</f>
        <v>West</v>
      </c>
    </row>
    <row r="1102" spans="1:18">
      <c r="A1102" t="str">
        <f t="shared" si="91"/>
        <v>EOS1101</v>
      </c>
      <c r="B1102" s="35">
        <v>2</v>
      </c>
      <c r="C1102" s="1" t="s">
        <v>267</v>
      </c>
      <c r="D1102" s="1" t="str">
        <f t="shared" si="92"/>
        <v>FB</v>
      </c>
      <c r="E1102" s="5" t="s">
        <v>1665</v>
      </c>
      <c r="F1102" s="1" t="s">
        <v>778</v>
      </c>
      <c r="G1102" s="1" t="s">
        <v>224</v>
      </c>
      <c r="H1102" s="1" t="s">
        <v>69</v>
      </c>
      <c r="I1102" s="1">
        <v>130000</v>
      </c>
      <c r="J1102" s="45">
        <v>1071100</v>
      </c>
      <c r="K1102" s="1" t="str">
        <f>TRIM(Cleaned_CRM_Data!H1102)</f>
        <v>Follow up</v>
      </c>
      <c r="L1102" t="str">
        <f>IFERROR(VLOOKUP(K1102, Status_Mapping!A:B, 2,), "Not Found")</f>
        <v>Follow Up</v>
      </c>
      <c r="N1102" s="29" t="str">
        <f>IF(M1102="","",M1102-B1102)</f>
        <v/>
      </c>
      <c r="O1102" s="1" t="str">
        <f t="shared" si="93"/>
        <v>Starter</v>
      </c>
      <c r="P1102" t="str">
        <f>TEXT(B1102, "mmmm")</f>
        <v>January</v>
      </c>
      <c r="Q1102" t="str">
        <f t="shared" si="94"/>
        <v>Q1</v>
      </c>
      <c r="R1102" t="str">
        <f>IFERROR(VLOOKUP(TRIM(CLEAN(G1102)),Sheet14!$A$2:$B$19,2,FALSE),"Not Mapped")</f>
        <v>West</v>
      </c>
    </row>
    <row r="1103" spans="1:18">
      <c r="A1103" t="str">
        <f t="shared" si="91"/>
        <v>EOS1102</v>
      </c>
      <c r="B1103" s="35">
        <v>46000</v>
      </c>
      <c r="C1103" s="4" t="s">
        <v>267</v>
      </c>
      <c r="D1103" s="1" t="str">
        <f t="shared" si="92"/>
        <v>FB</v>
      </c>
      <c r="E1103" s="5" t="s">
        <v>1666</v>
      </c>
      <c r="F1103" s="1" t="s">
        <v>1667</v>
      </c>
      <c r="G1103" s="1" t="s">
        <v>224</v>
      </c>
      <c r="H1103" s="1" t="s">
        <v>149</v>
      </c>
      <c r="I1103" s="1">
        <v>108000</v>
      </c>
      <c r="J1103" s="45">
        <v>1071101</v>
      </c>
      <c r="K1103" s="1" t="str">
        <f>TRIM(Cleaned_CRM_Data!H1103)</f>
        <v>Rejected</v>
      </c>
      <c r="L1103" t="str">
        <f>IFERROR(VLOOKUP(K1103, Status_Mapping!A:B, 2,), "Not Found")</f>
        <v>Rejected</v>
      </c>
      <c r="N1103" s="29" t="str">
        <f>IF(M1103="","",M1103-B1103)</f>
        <v/>
      </c>
      <c r="O1103" s="1" t="str">
        <f t="shared" si="93"/>
        <v>Starter</v>
      </c>
      <c r="P1103" t="str">
        <f>TEXT(B1103, "mmmm")</f>
        <v>December</v>
      </c>
      <c r="Q1103" t="str">
        <f t="shared" si="94"/>
        <v>Q4</v>
      </c>
      <c r="R1103" t="str">
        <f>IFERROR(VLOOKUP(TRIM(CLEAN(G1103)),Sheet14!$A$2:$B$19,2,FALSE),"Not Mapped")</f>
        <v>West</v>
      </c>
    </row>
    <row r="1104" spans="1:18">
      <c r="A1104" t="str">
        <f t="shared" si="91"/>
        <v>EOS1103</v>
      </c>
      <c r="B1104" s="35">
        <v>46000</v>
      </c>
      <c r="C1104" s="1" t="s">
        <v>267</v>
      </c>
      <c r="D1104" s="1" t="str">
        <f t="shared" si="92"/>
        <v>FB</v>
      </c>
      <c r="E1104" s="5" t="s">
        <v>1668</v>
      </c>
      <c r="F1104" s="1" t="s">
        <v>412</v>
      </c>
      <c r="G1104" s="1" t="s">
        <v>224</v>
      </c>
      <c r="H1104" s="1" t="s">
        <v>69</v>
      </c>
      <c r="I1104" s="1">
        <v>130000</v>
      </c>
      <c r="J1104" s="45">
        <v>1071102</v>
      </c>
      <c r="K1104" s="1" t="str">
        <f>TRIM(Cleaned_CRM_Data!H1104)</f>
        <v>Follow up</v>
      </c>
      <c r="L1104" t="str">
        <f>IFERROR(VLOOKUP(K1104, Status_Mapping!A:B, 2,), "Not Found")</f>
        <v>Follow Up</v>
      </c>
      <c r="N1104" s="29" t="str">
        <f>IF(M1104="","",M1104-B1104)</f>
        <v/>
      </c>
      <c r="O1104" s="1" t="str">
        <f t="shared" si="93"/>
        <v>Starter</v>
      </c>
      <c r="P1104" t="str">
        <f>TEXT(B1104, "mmmm")</f>
        <v>December</v>
      </c>
      <c r="Q1104" t="str">
        <f t="shared" si="94"/>
        <v>Q4</v>
      </c>
      <c r="R1104" t="str">
        <f>IFERROR(VLOOKUP(TRIM(CLEAN(G1104)),Sheet14!$A$2:$B$19,2,FALSE),"Not Mapped")</f>
        <v>West</v>
      </c>
    </row>
    <row r="1105" spans="1:18">
      <c r="A1105" t="str">
        <f t="shared" si="91"/>
        <v>EOS1104</v>
      </c>
      <c r="B1105" s="35">
        <v>46000</v>
      </c>
      <c r="C1105" s="4" t="s">
        <v>267</v>
      </c>
      <c r="D1105" s="1" t="str">
        <f t="shared" si="92"/>
        <v>FB</v>
      </c>
      <c r="E1105" s="5" t="s">
        <v>1669</v>
      </c>
      <c r="F1105" s="1" t="s">
        <v>275</v>
      </c>
      <c r="G1105" s="1" t="s">
        <v>224</v>
      </c>
      <c r="H1105" s="1" t="s">
        <v>69</v>
      </c>
      <c r="I1105" s="1">
        <v>108000</v>
      </c>
      <c r="J1105" s="45">
        <v>1071103</v>
      </c>
      <c r="K1105" s="1" t="str">
        <f>TRIM(Cleaned_CRM_Data!H1105)</f>
        <v>Follow up</v>
      </c>
      <c r="L1105" t="str">
        <f>IFERROR(VLOOKUP(K1105, Status_Mapping!A:B, 2,), "Not Found")</f>
        <v>Follow Up</v>
      </c>
      <c r="N1105" s="29" t="str">
        <f>IF(M1105="","",M1105-B1105)</f>
        <v/>
      </c>
      <c r="O1105" s="1" t="str">
        <f t="shared" si="93"/>
        <v>Starter</v>
      </c>
      <c r="P1105" t="str">
        <f>TEXT(B1105, "mmmm")</f>
        <v>December</v>
      </c>
      <c r="Q1105" t="str">
        <f t="shared" si="94"/>
        <v>Q4</v>
      </c>
      <c r="R1105" t="str">
        <f>IFERROR(VLOOKUP(TRIM(CLEAN(G1105)),Sheet14!$A$2:$B$19,2,FALSE),"Not Mapped")</f>
        <v>West</v>
      </c>
    </row>
    <row r="1106" spans="1:18">
      <c r="A1106" t="str">
        <f t="shared" si="91"/>
        <v>EOS1105</v>
      </c>
      <c r="B1106" s="35">
        <v>46000</v>
      </c>
      <c r="C1106" s="4" t="s">
        <v>267</v>
      </c>
      <c r="D1106" s="1" t="str">
        <f t="shared" si="92"/>
        <v>FB</v>
      </c>
      <c r="E1106" s="5" t="s">
        <v>1670</v>
      </c>
      <c r="F1106" s="1" t="s">
        <v>275</v>
      </c>
      <c r="G1106" s="1" t="s">
        <v>224</v>
      </c>
      <c r="H1106" s="1" t="s">
        <v>69</v>
      </c>
      <c r="I1106" s="1">
        <v>130000</v>
      </c>
      <c r="J1106" s="45">
        <v>1071104</v>
      </c>
      <c r="K1106" s="1" t="str">
        <f>TRIM(Cleaned_CRM_Data!H1106)</f>
        <v>Follow up</v>
      </c>
      <c r="L1106" t="str">
        <f>IFERROR(VLOOKUP(K1106, Status_Mapping!A:B, 2,), "Not Found")</f>
        <v>Follow Up</v>
      </c>
      <c r="N1106" s="29" t="str">
        <f>IF(M1106="","",M1106-B1106)</f>
        <v/>
      </c>
      <c r="O1106" s="1" t="str">
        <f t="shared" si="93"/>
        <v>Starter</v>
      </c>
      <c r="P1106" t="str">
        <f>TEXT(B1106, "mmmm")</f>
        <v>December</v>
      </c>
      <c r="Q1106" t="str">
        <f t="shared" si="94"/>
        <v>Q4</v>
      </c>
      <c r="R1106" t="str">
        <f>IFERROR(VLOOKUP(TRIM(CLEAN(G1106)),Sheet14!$A$2:$B$19,2,FALSE),"Not Mapped")</f>
        <v>West</v>
      </c>
    </row>
    <row r="1107" spans="1:18">
      <c r="A1107" t="str">
        <f t="shared" si="91"/>
        <v>EOS1106</v>
      </c>
      <c r="B1107" s="35">
        <v>46000</v>
      </c>
      <c r="C1107" s="4" t="s">
        <v>267</v>
      </c>
      <c r="D1107" s="1" t="str">
        <f t="shared" si="92"/>
        <v>FB</v>
      </c>
      <c r="E1107" s="5" t="s">
        <v>1671</v>
      </c>
      <c r="F1107" s="1" t="s">
        <v>1672</v>
      </c>
      <c r="G1107" s="1" t="s">
        <v>224</v>
      </c>
      <c r="H1107" s="1" t="s">
        <v>149</v>
      </c>
      <c r="I1107" s="1">
        <v>130000</v>
      </c>
      <c r="J1107" s="45">
        <v>1071105</v>
      </c>
      <c r="K1107" s="1" t="str">
        <f>TRIM(Cleaned_CRM_Data!H1107)</f>
        <v>Rejected</v>
      </c>
      <c r="L1107" t="str">
        <f>IFERROR(VLOOKUP(K1107, Status_Mapping!A:B, 2,), "Not Found")</f>
        <v>Rejected</v>
      </c>
      <c r="N1107" s="29" t="str">
        <f>IF(M1107="","",M1107-B1107)</f>
        <v/>
      </c>
      <c r="O1107" s="1" t="str">
        <f t="shared" si="93"/>
        <v>Starter</v>
      </c>
      <c r="P1107" t="str">
        <f>TEXT(B1107, "mmmm")</f>
        <v>December</v>
      </c>
      <c r="Q1107" t="str">
        <f t="shared" si="94"/>
        <v>Q4</v>
      </c>
      <c r="R1107" t="str">
        <f>IFERROR(VLOOKUP(TRIM(CLEAN(G1107)),Sheet14!$A$2:$B$19,2,FALSE),"Not Mapped")</f>
        <v>West</v>
      </c>
    </row>
    <row r="1108" spans="1:18">
      <c r="A1108" t="str">
        <f t="shared" si="91"/>
        <v>EOS1107</v>
      </c>
      <c r="B1108" s="35">
        <v>46000</v>
      </c>
      <c r="C1108" s="1" t="s">
        <v>267</v>
      </c>
      <c r="D1108" s="1" t="str">
        <f t="shared" si="92"/>
        <v>FB</v>
      </c>
      <c r="E1108" s="5" t="s">
        <v>1673</v>
      </c>
      <c r="F1108" s="1" t="s">
        <v>1674</v>
      </c>
      <c r="G1108" s="1" t="s">
        <v>224</v>
      </c>
      <c r="H1108" s="1" t="s">
        <v>149</v>
      </c>
      <c r="I1108" s="1">
        <v>130000</v>
      </c>
      <c r="J1108" s="45">
        <v>1071106</v>
      </c>
      <c r="K1108" s="1" t="str">
        <f>TRIM(Cleaned_CRM_Data!H1108)</f>
        <v>Rejected</v>
      </c>
      <c r="L1108" t="str">
        <f>IFERROR(VLOOKUP(K1108, Status_Mapping!A:B, 2,), "Not Found")</f>
        <v>Rejected</v>
      </c>
      <c r="N1108" s="29" t="str">
        <f>IF(M1108="","",M1108-B1108)</f>
        <v/>
      </c>
      <c r="O1108" s="1" t="str">
        <f t="shared" si="93"/>
        <v>Starter</v>
      </c>
      <c r="P1108" t="str">
        <f>TEXT(B1108, "mmmm")</f>
        <v>December</v>
      </c>
      <c r="Q1108" t="str">
        <f t="shared" si="94"/>
        <v>Q4</v>
      </c>
      <c r="R1108" t="str">
        <f>IFERROR(VLOOKUP(TRIM(CLEAN(G1108)),Sheet14!$A$2:$B$19,2,FALSE),"Not Mapped")</f>
        <v>West</v>
      </c>
    </row>
    <row r="1109" spans="1:18">
      <c r="A1109" t="str">
        <f t="shared" si="91"/>
        <v>EOS1108</v>
      </c>
      <c r="B1109" s="35">
        <v>46000</v>
      </c>
      <c r="C1109" s="1" t="s">
        <v>267</v>
      </c>
      <c r="D1109" s="1" t="str">
        <f t="shared" si="92"/>
        <v>FB</v>
      </c>
      <c r="E1109" s="5" t="s">
        <v>1675</v>
      </c>
      <c r="F1109" s="1" t="s">
        <v>364</v>
      </c>
      <c r="G1109" s="1" t="s">
        <v>224</v>
      </c>
      <c r="H1109" s="1" t="s">
        <v>149</v>
      </c>
      <c r="I1109" s="1">
        <v>108000</v>
      </c>
      <c r="J1109" s="45">
        <v>1071107</v>
      </c>
      <c r="K1109" s="1" t="str">
        <f>TRIM(Cleaned_CRM_Data!H1109)</f>
        <v>Rejected</v>
      </c>
      <c r="L1109" t="str">
        <f>IFERROR(VLOOKUP(K1109, Status_Mapping!A:B, 2,), "Not Found")</f>
        <v>Rejected</v>
      </c>
      <c r="N1109" s="29" t="str">
        <f>IF(M1109="","",M1109-B1109)</f>
        <v/>
      </c>
      <c r="O1109" s="1" t="str">
        <f t="shared" si="93"/>
        <v>Starter</v>
      </c>
      <c r="P1109" t="str">
        <f>TEXT(B1109, "mmmm")</f>
        <v>December</v>
      </c>
      <c r="Q1109" t="str">
        <f t="shared" si="94"/>
        <v>Q4</v>
      </c>
      <c r="R1109" t="str">
        <f>IFERROR(VLOOKUP(TRIM(CLEAN(G1109)),Sheet14!$A$2:$B$19,2,FALSE),"Not Mapped")</f>
        <v>West</v>
      </c>
    </row>
    <row r="1110" spans="1:18">
      <c r="A1110" t="str">
        <f t="shared" si="91"/>
        <v>EOS1109</v>
      </c>
      <c r="B1110" s="35">
        <v>46000</v>
      </c>
      <c r="C1110" s="1" t="s">
        <v>267</v>
      </c>
      <c r="D1110" s="1" t="str">
        <f t="shared" si="92"/>
        <v>FB</v>
      </c>
      <c r="E1110" s="5" t="s">
        <v>565</v>
      </c>
      <c r="F1110" s="1" t="s">
        <v>275</v>
      </c>
      <c r="G1110" s="1" t="s">
        <v>224</v>
      </c>
      <c r="H1110" s="1" t="s">
        <v>69</v>
      </c>
      <c r="I1110" s="1">
        <v>108000</v>
      </c>
      <c r="J1110" s="45">
        <v>1071108</v>
      </c>
      <c r="K1110" s="1" t="str">
        <f>TRIM(Cleaned_CRM_Data!H1110)</f>
        <v>Follow up</v>
      </c>
      <c r="L1110" t="str">
        <f>IFERROR(VLOOKUP(K1110, Status_Mapping!A:B, 2,), "Not Found")</f>
        <v>Follow Up</v>
      </c>
      <c r="N1110" s="29" t="str">
        <f>IF(M1110="","",M1110-B1110)</f>
        <v/>
      </c>
      <c r="O1110" s="1" t="str">
        <f t="shared" si="93"/>
        <v>Starter</v>
      </c>
      <c r="P1110" t="str">
        <f>TEXT(B1110, "mmmm")</f>
        <v>December</v>
      </c>
      <c r="Q1110" t="str">
        <f t="shared" si="94"/>
        <v>Q4</v>
      </c>
      <c r="R1110" t="str">
        <f>IFERROR(VLOOKUP(TRIM(CLEAN(G1110)),Sheet14!$A$2:$B$19,2,FALSE),"Not Mapped")</f>
        <v>West</v>
      </c>
    </row>
    <row r="1111" spans="1:18">
      <c r="A1111" t="str">
        <f t="shared" si="91"/>
        <v>EOS1110</v>
      </c>
      <c r="B1111" s="35">
        <v>46000</v>
      </c>
      <c r="C1111" s="4" t="s">
        <v>267</v>
      </c>
      <c r="D1111" s="1" t="str">
        <f t="shared" si="92"/>
        <v>FB</v>
      </c>
      <c r="E1111" s="1" t="s">
        <v>1676</v>
      </c>
      <c r="F1111" s="1" t="s">
        <v>300</v>
      </c>
      <c r="G1111" s="1" t="s">
        <v>224</v>
      </c>
      <c r="H1111" s="1" t="s">
        <v>69</v>
      </c>
      <c r="I1111" s="1">
        <v>130000</v>
      </c>
      <c r="J1111" s="45">
        <v>1071109</v>
      </c>
      <c r="K1111" s="1" t="str">
        <f>TRIM(Cleaned_CRM_Data!H1111)</f>
        <v>Follow up</v>
      </c>
      <c r="L1111" t="str">
        <f>IFERROR(VLOOKUP(K1111, Status_Mapping!A:B, 2,), "Not Found")</f>
        <v>Follow Up</v>
      </c>
      <c r="N1111" s="29" t="str">
        <f>IF(M1111="","",M1111-B1111)</f>
        <v/>
      </c>
      <c r="O1111" s="1" t="str">
        <f t="shared" si="93"/>
        <v>Starter</v>
      </c>
      <c r="P1111" t="str">
        <f>TEXT(B1111, "mmmm")</f>
        <v>December</v>
      </c>
      <c r="Q1111" t="str">
        <f t="shared" si="94"/>
        <v>Q4</v>
      </c>
      <c r="R1111" t="str">
        <f>IFERROR(VLOOKUP(TRIM(CLEAN(G1111)),Sheet14!$A$2:$B$19,2,FALSE),"Not Mapped")</f>
        <v>West</v>
      </c>
    </row>
    <row r="1112" spans="1:18">
      <c r="A1112" t="str">
        <f t="shared" si="91"/>
        <v>EOS1111</v>
      </c>
      <c r="B1112" s="35">
        <v>46001</v>
      </c>
      <c r="C1112" s="4" t="s">
        <v>267</v>
      </c>
      <c r="D1112" s="1" t="str">
        <f t="shared" si="92"/>
        <v>FB</v>
      </c>
      <c r="E1112" s="5" t="s">
        <v>1677</v>
      </c>
      <c r="F1112" s="1" t="s">
        <v>1501</v>
      </c>
      <c r="G1112" s="1" t="s">
        <v>224</v>
      </c>
      <c r="H1112" s="1" t="s">
        <v>69</v>
      </c>
      <c r="I1112" s="1">
        <v>108000</v>
      </c>
      <c r="J1112" s="45">
        <v>1071110</v>
      </c>
      <c r="K1112" s="1" t="str">
        <f>TRIM(Cleaned_CRM_Data!H1112)</f>
        <v>Follow up</v>
      </c>
      <c r="L1112" t="str">
        <f>IFERROR(VLOOKUP(K1112, Status_Mapping!A:B, 2,), "Not Found")</f>
        <v>Follow Up</v>
      </c>
      <c r="N1112" s="29" t="str">
        <f>IF(M1112="","",M1112-B1112)</f>
        <v/>
      </c>
      <c r="O1112" s="1" t="str">
        <f t="shared" si="93"/>
        <v>Starter</v>
      </c>
      <c r="P1112" t="str">
        <f>TEXT(B1112, "mmmm")</f>
        <v>December</v>
      </c>
      <c r="Q1112" t="str">
        <f t="shared" si="94"/>
        <v>Q4</v>
      </c>
      <c r="R1112" t="str">
        <f>IFERROR(VLOOKUP(TRIM(CLEAN(G1112)),Sheet14!$A$2:$B$19,2,FALSE),"Not Mapped")</f>
        <v>West</v>
      </c>
    </row>
    <row r="1113" spans="1:18">
      <c r="A1113" t="str">
        <f t="shared" si="91"/>
        <v>EOS1112</v>
      </c>
      <c r="B1113" s="35">
        <v>46001</v>
      </c>
      <c r="C1113" s="4" t="s">
        <v>267</v>
      </c>
      <c r="D1113" s="1" t="str">
        <f t="shared" si="92"/>
        <v>FB</v>
      </c>
      <c r="E1113" s="5" t="s">
        <v>1678</v>
      </c>
      <c r="F1113" s="1" t="s">
        <v>350</v>
      </c>
      <c r="G1113" s="1" t="s">
        <v>224</v>
      </c>
      <c r="H1113" s="1" t="s">
        <v>69</v>
      </c>
      <c r="I1113" s="1">
        <v>108000</v>
      </c>
      <c r="J1113" s="45">
        <v>1071111</v>
      </c>
      <c r="K1113" s="1" t="str">
        <f>TRIM(Cleaned_CRM_Data!H1113)</f>
        <v>Follow up</v>
      </c>
      <c r="L1113" t="str">
        <f>IFERROR(VLOOKUP(K1113, Status_Mapping!A:B, 2,), "Not Found")</f>
        <v>Follow Up</v>
      </c>
      <c r="N1113" s="29" t="str">
        <f>IF(M1113="","",M1113-B1113)</f>
        <v/>
      </c>
      <c r="O1113" s="1" t="str">
        <f t="shared" si="93"/>
        <v>Starter</v>
      </c>
      <c r="P1113" t="str">
        <f>TEXT(B1113, "mmmm")</f>
        <v>December</v>
      </c>
      <c r="Q1113" t="str">
        <f t="shared" si="94"/>
        <v>Q4</v>
      </c>
      <c r="R1113" t="str">
        <f>IFERROR(VLOOKUP(TRIM(CLEAN(G1113)),Sheet14!$A$2:$B$19,2,FALSE),"Not Mapped")</f>
        <v>West</v>
      </c>
    </row>
    <row r="1114" spans="1:18">
      <c r="A1114" t="str">
        <f t="shared" si="91"/>
        <v>EOS1113</v>
      </c>
      <c r="B1114" s="35">
        <v>46001</v>
      </c>
      <c r="C1114" s="4" t="s">
        <v>267</v>
      </c>
      <c r="D1114" s="1" t="str">
        <f t="shared" si="92"/>
        <v>FB</v>
      </c>
      <c r="E1114" s="5" t="s">
        <v>1679</v>
      </c>
      <c r="F1114" s="1" t="s">
        <v>358</v>
      </c>
      <c r="G1114" s="1" t="s">
        <v>224</v>
      </c>
      <c r="H1114" s="1" t="s">
        <v>69</v>
      </c>
      <c r="I1114" s="1">
        <v>108000</v>
      </c>
      <c r="J1114" s="45">
        <v>1071112</v>
      </c>
      <c r="K1114" s="1" t="str">
        <f>TRIM(Cleaned_CRM_Data!H1114)</f>
        <v>Follow up</v>
      </c>
      <c r="L1114" t="str">
        <f>IFERROR(VLOOKUP(K1114, Status_Mapping!A:B, 2,), "Not Found")</f>
        <v>Follow Up</v>
      </c>
      <c r="N1114" s="29" t="str">
        <f>IF(M1114="","",M1114-B1114)</f>
        <v/>
      </c>
      <c r="O1114" s="1" t="str">
        <f t="shared" si="93"/>
        <v>Starter</v>
      </c>
      <c r="P1114" t="str">
        <f>TEXT(B1114, "mmmm")</f>
        <v>December</v>
      </c>
      <c r="Q1114" t="str">
        <f t="shared" si="94"/>
        <v>Q4</v>
      </c>
      <c r="R1114" t="str">
        <f>IFERROR(VLOOKUP(TRIM(CLEAN(G1114)),Sheet14!$A$2:$B$19,2,FALSE),"Not Mapped")</f>
        <v>West</v>
      </c>
    </row>
    <row r="1115" spans="1:18">
      <c r="A1115" t="str">
        <f t="shared" si="91"/>
        <v>EOS1114</v>
      </c>
      <c r="B1115" s="35">
        <v>46001</v>
      </c>
      <c r="C1115" s="4" t="s">
        <v>267</v>
      </c>
      <c r="D1115" s="1" t="str">
        <f t="shared" si="92"/>
        <v>FB</v>
      </c>
      <c r="E1115" s="5" t="s">
        <v>1680</v>
      </c>
      <c r="F1115" s="1" t="s">
        <v>292</v>
      </c>
      <c r="G1115" s="1" t="s">
        <v>224</v>
      </c>
      <c r="H1115" s="1" t="s">
        <v>69</v>
      </c>
      <c r="I1115" s="1">
        <v>130000</v>
      </c>
      <c r="J1115" s="45">
        <v>1071113</v>
      </c>
      <c r="K1115" s="1" t="str">
        <f>TRIM(Cleaned_CRM_Data!H1115)</f>
        <v>Follow up</v>
      </c>
      <c r="L1115" t="str">
        <f>IFERROR(VLOOKUP(K1115, Status_Mapping!A:B, 2,), "Not Found")</f>
        <v>Follow Up</v>
      </c>
      <c r="N1115" s="29" t="str">
        <f>IF(M1115="","",M1115-B1115)</f>
        <v/>
      </c>
      <c r="O1115" s="1" t="str">
        <f t="shared" si="93"/>
        <v>Starter</v>
      </c>
      <c r="P1115" t="str">
        <f>TEXT(B1115, "mmmm")</f>
        <v>December</v>
      </c>
      <c r="Q1115" t="str">
        <f t="shared" si="94"/>
        <v>Q4</v>
      </c>
      <c r="R1115" t="str">
        <f>IFERROR(VLOOKUP(TRIM(CLEAN(G1115)),Sheet14!$A$2:$B$19,2,FALSE),"Not Mapped")</f>
        <v>West</v>
      </c>
    </row>
    <row r="1116" spans="1:18">
      <c r="A1116" t="str">
        <f t="shared" si="91"/>
        <v>EOS1115</v>
      </c>
      <c r="B1116" s="35">
        <v>46001</v>
      </c>
      <c r="C1116" s="4" t="s">
        <v>267</v>
      </c>
      <c r="D1116" s="1" t="str">
        <f t="shared" si="92"/>
        <v>FB</v>
      </c>
      <c r="E1116" s="5" t="s">
        <v>1681</v>
      </c>
      <c r="F1116" s="1" t="s">
        <v>304</v>
      </c>
      <c r="G1116" s="1" t="s">
        <v>224</v>
      </c>
      <c r="H1116" s="1" t="s">
        <v>69</v>
      </c>
      <c r="I1116" s="1">
        <v>108000</v>
      </c>
      <c r="J1116" s="45">
        <v>1071114</v>
      </c>
      <c r="K1116" s="1" t="str">
        <f>TRIM(Cleaned_CRM_Data!H1116)</f>
        <v>Follow up</v>
      </c>
      <c r="L1116" t="str">
        <f>IFERROR(VLOOKUP(K1116, Status_Mapping!A:B, 2,), "Not Found")</f>
        <v>Follow Up</v>
      </c>
      <c r="N1116" s="29" t="str">
        <f>IF(M1116="","",M1116-B1116)</f>
        <v/>
      </c>
      <c r="O1116" s="1" t="str">
        <f t="shared" si="93"/>
        <v>Starter</v>
      </c>
      <c r="P1116" t="str">
        <f>TEXT(B1116, "mmmm")</f>
        <v>December</v>
      </c>
      <c r="Q1116" t="str">
        <f t="shared" si="94"/>
        <v>Q4</v>
      </c>
      <c r="R1116" t="str">
        <f>IFERROR(VLOOKUP(TRIM(CLEAN(G1116)),Sheet14!$A$2:$B$19,2,FALSE),"Not Mapped")</f>
        <v>West</v>
      </c>
    </row>
    <row r="1117" spans="1:18">
      <c r="A1117" t="str">
        <f t="shared" si="91"/>
        <v>EOS1116</v>
      </c>
      <c r="B1117" s="35">
        <v>46001</v>
      </c>
      <c r="C1117" s="4" t="s">
        <v>267</v>
      </c>
      <c r="D1117" s="1" t="str">
        <f t="shared" si="92"/>
        <v>FB</v>
      </c>
      <c r="E1117" s="5" t="s">
        <v>1682</v>
      </c>
      <c r="F1117" s="1" t="s">
        <v>321</v>
      </c>
      <c r="G1117" s="1" t="s">
        <v>224</v>
      </c>
      <c r="H1117" s="1" t="s">
        <v>69</v>
      </c>
      <c r="I1117" s="1">
        <v>177000</v>
      </c>
      <c r="J1117" s="45">
        <v>1071115</v>
      </c>
      <c r="K1117" s="1" t="str">
        <f>TRIM(Cleaned_CRM_Data!H1117)</f>
        <v>Follow up</v>
      </c>
      <c r="L1117" t="str">
        <f>IFERROR(VLOOKUP(K1117, Status_Mapping!A:B, 2,), "Not Found")</f>
        <v>Follow Up</v>
      </c>
      <c r="N1117" s="29" t="str">
        <f>IF(M1117="","",M1117-B1117)</f>
        <v/>
      </c>
      <c r="O1117" s="1" t="str">
        <f t="shared" si="93"/>
        <v>Growth</v>
      </c>
      <c r="P1117" t="str">
        <f>TEXT(B1117, "mmmm")</f>
        <v>December</v>
      </c>
      <c r="Q1117" t="str">
        <f t="shared" si="94"/>
        <v>Q4</v>
      </c>
      <c r="R1117" t="str">
        <f>IFERROR(VLOOKUP(TRIM(CLEAN(G1117)),Sheet14!$A$2:$B$19,2,FALSE),"Not Mapped")</f>
        <v>West</v>
      </c>
    </row>
    <row r="1118" spans="1:18">
      <c r="A1118" t="str">
        <f t="shared" si="91"/>
        <v>EOS1117</v>
      </c>
      <c r="B1118" s="35">
        <v>46001</v>
      </c>
      <c r="C1118" s="4" t="s">
        <v>267</v>
      </c>
      <c r="D1118" s="1" t="str">
        <f t="shared" si="92"/>
        <v>FB</v>
      </c>
      <c r="E1118" s="1" t="s">
        <v>1683</v>
      </c>
      <c r="F1118" s="1" t="s">
        <v>1003</v>
      </c>
      <c r="G1118" s="1" t="s">
        <v>223</v>
      </c>
      <c r="H1118" s="1" t="s">
        <v>149</v>
      </c>
      <c r="I1118" s="1">
        <v>130000</v>
      </c>
      <c r="J1118" s="45">
        <v>1071116</v>
      </c>
      <c r="K1118" s="1" t="str">
        <f>TRIM(Cleaned_CRM_Data!H1118)</f>
        <v>Rejected</v>
      </c>
      <c r="L1118" t="str">
        <f>IFERROR(VLOOKUP(K1118, Status_Mapping!A:B, 2,), "Not Found")</f>
        <v>Rejected</v>
      </c>
      <c r="N1118" s="29" t="str">
        <f>IF(M1118="","",M1118-B1118)</f>
        <v/>
      </c>
      <c r="O1118" s="1" t="str">
        <f t="shared" si="93"/>
        <v>Starter</v>
      </c>
      <c r="P1118" t="str">
        <f>TEXT(B1118, "mmmm")</f>
        <v>December</v>
      </c>
      <c r="Q1118" t="str">
        <f t="shared" si="94"/>
        <v>Q4</v>
      </c>
      <c r="R1118" t="str">
        <f>IFERROR(VLOOKUP(TRIM(CLEAN(G1118)),Sheet14!$A$2:$B$19,2,FALSE),"Not Mapped")</f>
        <v>West</v>
      </c>
    </row>
    <row r="1119" spans="1:18">
      <c r="A1119" t="str">
        <f t="shared" si="91"/>
        <v>EOS1118</v>
      </c>
      <c r="B1119" s="35">
        <v>46001</v>
      </c>
      <c r="C1119" s="1" t="s">
        <v>267</v>
      </c>
      <c r="D1119" s="1" t="str">
        <f t="shared" si="92"/>
        <v>FB</v>
      </c>
      <c r="E1119" s="5" t="s">
        <v>1684</v>
      </c>
      <c r="F1119" s="1" t="s">
        <v>412</v>
      </c>
      <c r="G1119" s="1" t="s">
        <v>224</v>
      </c>
      <c r="H1119" s="1" t="s">
        <v>69</v>
      </c>
      <c r="I1119" s="1">
        <v>130000</v>
      </c>
      <c r="J1119" s="45">
        <v>1071117</v>
      </c>
      <c r="K1119" s="1" t="str">
        <f>TRIM(Cleaned_CRM_Data!H1119)</f>
        <v>Follow up</v>
      </c>
      <c r="L1119" t="str">
        <f>IFERROR(VLOOKUP(K1119, Status_Mapping!A:B, 2,), "Not Found")</f>
        <v>Follow Up</v>
      </c>
      <c r="N1119" s="29" t="str">
        <f>IF(M1119="","",M1119-B1119)</f>
        <v/>
      </c>
      <c r="O1119" s="1" t="str">
        <f t="shared" si="93"/>
        <v>Starter</v>
      </c>
      <c r="P1119" t="str">
        <f>TEXT(B1119, "mmmm")</f>
        <v>December</v>
      </c>
      <c r="Q1119" t="str">
        <f t="shared" si="94"/>
        <v>Q4</v>
      </c>
      <c r="R1119" t="str">
        <f>IFERROR(VLOOKUP(TRIM(CLEAN(G1119)),Sheet14!$A$2:$B$19,2,FALSE),"Not Mapped")</f>
        <v>West</v>
      </c>
    </row>
    <row r="1120" spans="1:18">
      <c r="A1120" t="str">
        <f t="shared" si="91"/>
        <v>EOS1119</v>
      </c>
      <c r="B1120" s="35">
        <v>46001</v>
      </c>
      <c r="C1120" s="4" t="s">
        <v>267</v>
      </c>
      <c r="D1120" s="1" t="str">
        <f t="shared" si="92"/>
        <v>FB</v>
      </c>
      <c r="E1120" s="1"/>
      <c r="F1120" s="1" t="s">
        <v>496</v>
      </c>
      <c r="G1120" s="1" t="s">
        <v>223</v>
      </c>
      <c r="H1120" s="1" t="s">
        <v>149</v>
      </c>
      <c r="I1120" s="1">
        <v>108000</v>
      </c>
      <c r="J1120" s="45">
        <v>1071118</v>
      </c>
      <c r="K1120" s="1" t="str">
        <f>TRIM(Cleaned_CRM_Data!H1120)</f>
        <v>Rejected</v>
      </c>
      <c r="L1120" t="str">
        <f>IFERROR(VLOOKUP(K1120, Status_Mapping!A:B, 2,), "Not Found")</f>
        <v>Rejected</v>
      </c>
      <c r="N1120" s="29" t="str">
        <f>IF(M1120="","",M1120-B1120)</f>
        <v/>
      </c>
      <c r="O1120" s="1" t="str">
        <f t="shared" si="93"/>
        <v>Starter</v>
      </c>
      <c r="P1120" t="str">
        <f>TEXT(B1120, "mmmm")</f>
        <v>December</v>
      </c>
      <c r="Q1120" t="str">
        <f t="shared" si="94"/>
        <v>Q4</v>
      </c>
      <c r="R1120" t="str">
        <f>IFERROR(VLOOKUP(TRIM(CLEAN(G1120)),Sheet14!$A$2:$B$19,2,FALSE),"Not Mapped")</f>
        <v>West</v>
      </c>
    </row>
    <row r="1121" spans="1:18">
      <c r="A1121" t="str">
        <f t="shared" si="91"/>
        <v>EOS1120</v>
      </c>
      <c r="B1121" s="35">
        <v>46001</v>
      </c>
      <c r="C1121" s="1" t="s">
        <v>267</v>
      </c>
      <c r="D1121" s="1" t="str">
        <f t="shared" si="92"/>
        <v>FB</v>
      </c>
      <c r="E1121" s="5" t="s">
        <v>1685</v>
      </c>
      <c r="F1121" s="1" t="s">
        <v>1686</v>
      </c>
      <c r="G1121" s="1" t="s">
        <v>224</v>
      </c>
      <c r="H1121" s="1" t="s">
        <v>69</v>
      </c>
      <c r="I1121" s="1">
        <v>108000</v>
      </c>
      <c r="J1121" s="45">
        <v>1071119</v>
      </c>
      <c r="K1121" s="1" t="str">
        <f>TRIM(Cleaned_CRM_Data!H1121)</f>
        <v>Follow up</v>
      </c>
      <c r="L1121" t="str">
        <f>IFERROR(VLOOKUP(K1121, Status_Mapping!A:B, 2,), "Not Found")</f>
        <v>Follow Up</v>
      </c>
      <c r="N1121" s="29" t="str">
        <f>IF(M1121="","",M1121-B1121)</f>
        <v/>
      </c>
      <c r="O1121" s="1" t="str">
        <f t="shared" si="93"/>
        <v>Starter</v>
      </c>
      <c r="P1121" t="str">
        <f>TEXT(B1121, "mmmm")</f>
        <v>December</v>
      </c>
      <c r="Q1121" t="str">
        <f t="shared" si="94"/>
        <v>Q4</v>
      </c>
      <c r="R1121" t="str">
        <f>IFERROR(VLOOKUP(TRIM(CLEAN(G1121)),Sheet14!$A$2:$B$19,2,FALSE),"Not Mapped")</f>
        <v>West</v>
      </c>
    </row>
    <row r="1122" spans="1:18">
      <c r="A1122" t="str">
        <f t="shared" si="91"/>
        <v>EOS1121</v>
      </c>
      <c r="B1122" s="35">
        <v>46001</v>
      </c>
      <c r="C1122" s="4" t="s">
        <v>267</v>
      </c>
      <c r="D1122" s="1" t="str">
        <f t="shared" si="92"/>
        <v>FB</v>
      </c>
      <c r="E1122" s="1" t="s">
        <v>1687</v>
      </c>
      <c r="F1122" s="1" t="s">
        <v>1688</v>
      </c>
      <c r="G1122" s="1" t="s">
        <v>223</v>
      </c>
      <c r="H1122" s="1" t="s">
        <v>149</v>
      </c>
      <c r="I1122" s="1">
        <v>130000</v>
      </c>
      <c r="J1122" s="45">
        <v>1071120</v>
      </c>
      <c r="K1122" s="1" t="str">
        <f>TRIM(Cleaned_CRM_Data!H1122)</f>
        <v>Rejected</v>
      </c>
      <c r="L1122" t="str">
        <f>IFERROR(VLOOKUP(K1122, Status_Mapping!A:B, 2,), "Not Found")</f>
        <v>Rejected</v>
      </c>
      <c r="N1122" s="29" t="str">
        <f>IF(M1122="","",M1122-B1122)</f>
        <v/>
      </c>
      <c r="O1122" s="1" t="str">
        <f t="shared" si="93"/>
        <v>Starter</v>
      </c>
      <c r="P1122" t="str">
        <f>TEXT(B1122, "mmmm")</f>
        <v>December</v>
      </c>
      <c r="Q1122" t="str">
        <f t="shared" si="94"/>
        <v>Q4</v>
      </c>
      <c r="R1122" t="str">
        <f>IFERROR(VLOOKUP(TRIM(CLEAN(G1122)),Sheet14!$A$2:$B$19,2,FALSE),"Not Mapped")</f>
        <v>West</v>
      </c>
    </row>
    <row r="1123" spans="1:18">
      <c r="A1123" t="str">
        <f t="shared" si="91"/>
        <v>EOS1122</v>
      </c>
      <c r="B1123" s="35">
        <v>46001</v>
      </c>
      <c r="C1123" s="1" t="s">
        <v>267</v>
      </c>
      <c r="D1123" s="1" t="str">
        <f t="shared" si="92"/>
        <v>FB</v>
      </c>
      <c r="E1123" s="5" t="s">
        <v>1689</v>
      </c>
      <c r="F1123" s="1" t="s">
        <v>275</v>
      </c>
      <c r="G1123" s="1" t="s">
        <v>224</v>
      </c>
      <c r="H1123" s="1" t="s">
        <v>69</v>
      </c>
      <c r="I1123" s="1">
        <v>130000</v>
      </c>
      <c r="J1123" s="45">
        <v>1071121</v>
      </c>
      <c r="K1123" s="1" t="str">
        <f>TRIM(Cleaned_CRM_Data!H1123)</f>
        <v>Follow up</v>
      </c>
      <c r="L1123" t="str">
        <f>IFERROR(VLOOKUP(K1123, Status_Mapping!A:B, 2,), "Not Found")</f>
        <v>Follow Up</v>
      </c>
      <c r="N1123" s="29" t="str">
        <f>IF(M1123="","",M1123-B1123)</f>
        <v/>
      </c>
      <c r="O1123" s="1" t="str">
        <f t="shared" si="93"/>
        <v>Starter</v>
      </c>
      <c r="P1123" t="str">
        <f>TEXT(B1123, "mmmm")</f>
        <v>December</v>
      </c>
      <c r="Q1123" t="str">
        <f t="shared" si="94"/>
        <v>Q4</v>
      </c>
      <c r="R1123" t="str">
        <f>IFERROR(VLOOKUP(TRIM(CLEAN(G1123)),Sheet14!$A$2:$B$19,2,FALSE),"Not Mapped")</f>
        <v>West</v>
      </c>
    </row>
    <row r="1124" spans="1:18">
      <c r="A1124" t="str">
        <f t="shared" si="91"/>
        <v>EOS1123</v>
      </c>
      <c r="B1124" s="35">
        <v>46002</v>
      </c>
      <c r="C1124" s="4" t="s">
        <v>267</v>
      </c>
      <c r="D1124" s="1" t="str">
        <f t="shared" si="92"/>
        <v>FB</v>
      </c>
      <c r="E1124" s="5" t="s">
        <v>1690</v>
      </c>
      <c r="F1124" s="1" t="s">
        <v>1691</v>
      </c>
      <c r="G1124" s="1" t="s">
        <v>223</v>
      </c>
      <c r="H1124" s="1" t="s">
        <v>149</v>
      </c>
      <c r="I1124" s="1">
        <v>177000</v>
      </c>
      <c r="J1124" s="45">
        <v>1071122</v>
      </c>
      <c r="K1124" s="1" t="str">
        <f>TRIM(Cleaned_CRM_Data!H1124)</f>
        <v>Rejected</v>
      </c>
      <c r="L1124" t="str">
        <f>IFERROR(VLOOKUP(K1124, Status_Mapping!A:B, 2,), "Not Found")</f>
        <v>Rejected</v>
      </c>
      <c r="N1124" s="29" t="str">
        <f>IF(M1124="","",M1124-B1124)</f>
        <v/>
      </c>
      <c r="O1124" s="1" t="str">
        <f t="shared" si="93"/>
        <v>Growth</v>
      </c>
      <c r="P1124" t="str">
        <f>TEXT(B1124, "mmmm")</f>
        <v>December</v>
      </c>
      <c r="Q1124" t="str">
        <f t="shared" si="94"/>
        <v>Q4</v>
      </c>
      <c r="R1124" t="str">
        <f>IFERROR(VLOOKUP(TRIM(CLEAN(G1124)),Sheet14!$A$2:$B$19,2,FALSE),"Not Mapped")</f>
        <v>West</v>
      </c>
    </row>
    <row r="1125" spans="1:18">
      <c r="A1125" t="str">
        <f t="shared" si="91"/>
        <v>EOS1124</v>
      </c>
      <c r="B1125" s="35">
        <v>46002</v>
      </c>
      <c r="C1125" s="1" t="s">
        <v>267</v>
      </c>
      <c r="D1125" s="1" t="str">
        <f t="shared" si="92"/>
        <v>FB</v>
      </c>
      <c r="E1125" s="5" t="s">
        <v>1692</v>
      </c>
      <c r="F1125" s="1" t="s">
        <v>860</v>
      </c>
      <c r="G1125" s="1" t="s">
        <v>223</v>
      </c>
      <c r="H1125" s="1" t="s">
        <v>149</v>
      </c>
      <c r="I1125" s="1">
        <v>130000</v>
      </c>
      <c r="J1125" s="45">
        <v>1071123</v>
      </c>
      <c r="K1125" s="1" t="str">
        <f>TRIM(Cleaned_CRM_Data!H1125)</f>
        <v>Rejected</v>
      </c>
      <c r="L1125" t="str">
        <f>IFERROR(VLOOKUP(K1125, Status_Mapping!A:B, 2,), "Not Found")</f>
        <v>Rejected</v>
      </c>
      <c r="N1125" s="29" t="str">
        <f>IF(M1125="","",M1125-B1125)</f>
        <v/>
      </c>
      <c r="O1125" s="1" t="str">
        <f t="shared" si="93"/>
        <v>Starter</v>
      </c>
      <c r="P1125" t="str">
        <f>TEXT(B1125, "mmmm")</f>
        <v>December</v>
      </c>
      <c r="Q1125" t="str">
        <f t="shared" si="94"/>
        <v>Q4</v>
      </c>
      <c r="R1125" t="str">
        <f>IFERROR(VLOOKUP(TRIM(CLEAN(G1125)),Sheet14!$A$2:$B$19,2,FALSE),"Not Mapped")</f>
        <v>West</v>
      </c>
    </row>
    <row r="1126" spans="1:18">
      <c r="A1126" t="str">
        <f t="shared" si="91"/>
        <v>EOS1125</v>
      </c>
      <c r="B1126" s="35">
        <v>46002</v>
      </c>
      <c r="C1126" s="1" t="s">
        <v>267</v>
      </c>
      <c r="D1126" s="1" t="str">
        <f t="shared" si="92"/>
        <v>FB</v>
      </c>
      <c r="E1126" s="5" t="s">
        <v>1693</v>
      </c>
      <c r="F1126" s="1" t="s">
        <v>300</v>
      </c>
      <c r="G1126" s="1" t="s">
        <v>224</v>
      </c>
      <c r="H1126" s="1" t="s">
        <v>69</v>
      </c>
      <c r="I1126" s="1">
        <v>108000</v>
      </c>
      <c r="J1126" s="45">
        <v>1071124</v>
      </c>
      <c r="K1126" s="1" t="str">
        <f>TRIM(Cleaned_CRM_Data!H1126)</f>
        <v>Follow up</v>
      </c>
      <c r="L1126" t="str">
        <f>IFERROR(VLOOKUP(K1126, Status_Mapping!A:B, 2,), "Not Found")</f>
        <v>Follow Up</v>
      </c>
      <c r="N1126" s="29" t="str">
        <f>IF(M1126="","",M1126-B1126)</f>
        <v/>
      </c>
      <c r="O1126" s="1" t="str">
        <f t="shared" si="93"/>
        <v>Starter</v>
      </c>
      <c r="P1126" t="str">
        <f>TEXT(B1126, "mmmm")</f>
        <v>December</v>
      </c>
      <c r="Q1126" t="str">
        <f t="shared" si="94"/>
        <v>Q4</v>
      </c>
      <c r="R1126" t="str">
        <f>IFERROR(VLOOKUP(TRIM(CLEAN(G1126)),Sheet14!$A$2:$B$19,2,FALSE),"Not Mapped")</f>
        <v>West</v>
      </c>
    </row>
    <row r="1127" spans="1:18">
      <c r="A1127" t="str">
        <f t="shared" si="91"/>
        <v>EOS1126</v>
      </c>
      <c r="B1127" s="35">
        <v>46002</v>
      </c>
      <c r="C1127" s="4" t="s">
        <v>267</v>
      </c>
      <c r="D1127" s="1" t="str">
        <f t="shared" si="92"/>
        <v>FB</v>
      </c>
      <c r="E1127" s="5" t="s">
        <v>1694</v>
      </c>
      <c r="F1127" s="1" t="s">
        <v>326</v>
      </c>
      <c r="G1127" s="1" t="s">
        <v>224</v>
      </c>
      <c r="H1127" s="1" t="s">
        <v>69</v>
      </c>
      <c r="I1127" s="1">
        <v>108000</v>
      </c>
      <c r="J1127" s="45">
        <v>1071125</v>
      </c>
      <c r="K1127" s="1" t="str">
        <f>TRIM(Cleaned_CRM_Data!H1127)</f>
        <v>Follow up</v>
      </c>
      <c r="L1127" t="str">
        <f>IFERROR(VLOOKUP(K1127, Status_Mapping!A:B, 2,), "Not Found")</f>
        <v>Follow Up</v>
      </c>
      <c r="N1127" s="29" t="str">
        <f>IF(M1127="","",M1127-B1127)</f>
        <v/>
      </c>
      <c r="O1127" s="1" t="str">
        <f t="shared" si="93"/>
        <v>Starter</v>
      </c>
      <c r="P1127" t="str">
        <f>TEXT(B1127, "mmmm")</f>
        <v>December</v>
      </c>
      <c r="Q1127" t="str">
        <f t="shared" si="94"/>
        <v>Q4</v>
      </c>
      <c r="R1127" t="str">
        <f>IFERROR(VLOOKUP(TRIM(CLEAN(G1127)),Sheet14!$A$2:$B$19,2,FALSE),"Not Mapped")</f>
        <v>West</v>
      </c>
    </row>
    <row r="1128" spans="1:18">
      <c r="A1128" t="str">
        <f t="shared" si="91"/>
        <v>EOS1127</v>
      </c>
      <c r="B1128" s="35">
        <v>46002</v>
      </c>
      <c r="C1128" s="4" t="s">
        <v>267</v>
      </c>
      <c r="D1128" s="1" t="str">
        <f t="shared" si="92"/>
        <v>FB</v>
      </c>
      <c r="E1128" s="5" t="s">
        <v>1695</v>
      </c>
      <c r="F1128" s="1" t="s">
        <v>275</v>
      </c>
      <c r="G1128" s="1" t="s">
        <v>224</v>
      </c>
      <c r="H1128" s="1" t="s">
        <v>69</v>
      </c>
      <c r="I1128" s="1">
        <v>130000</v>
      </c>
      <c r="J1128" s="45">
        <v>1071126</v>
      </c>
      <c r="K1128" s="1" t="str">
        <f>TRIM(Cleaned_CRM_Data!H1128)</f>
        <v>Follow up</v>
      </c>
      <c r="L1128" t="str">
        <f>IFERROR(VLOOKUP(K1128, Status_Mapping!A:B, 2,), "Not Found")</f>
        <v>Follow Up</v>
      </c>
      <c r="N1128" s="29" t="str">
        <f>IF(M1128="","",M1128-B1128)</f>
        <v/>
      </c>
      <c r="O1128" s="1" t="str">
        <f t="shared" si="93"/>
        <v>Starter</v>
      </c>
      <c r="P1128" t="str">
        <f>TEXT(B1128, "mmmm")</f>
        <v>December</v>
      </c>
      <c r="Q1128" t="str">
        <f t="shared" si="94"/>
        <v>Q4</v>
      </c>
      <c r="R1128" t="str">
        <f>IFERROR(VLOOKUP(TRIM(CLEAN(G1128)),Sheet14!$A$2:$B$19,2,FALSE),"Not Mapped")</f>
        <v>West</v>
      </c>
    </row>
    <row r="1129" spans="1:18">
      <c r="A1129" t="str">
        <f t="shared" si="91"/>
        <v>EOS1128</v>
      </c>
      <c r="B1129" s="35">
        <v>46002</v>
      </c>
      <c r="C1129" s="4" t="s">
        <v>267</v>
      </c>
      <c r="D1129" s="1" t="str">
        <f t="shared" si="92"/>
        <v>FB</v>
      </c>
      <c r="E1129" s="5" t="s">
        <v>1696</v>
      </c>
      <c r="F1129" s="1" t="s">
        <v>292</v>
      </c>
      <c r="G1129" s="1" t="s">
        <v>223</v>
      </c>
      <c r="H1129" s="1" t="s">
        <v>149</v>
      </c>
      <c r="I1129" s="1">
        <v>108000</v>
      </c>
      <c r="J1129" s="45">
        <v>1071127</v>
      </c>
      <c r="K1129" s="1" t="str">
        <f>TRIM(Cleaned_CRM_Data!H1129)</f>
        <v>Rejected</v>
      </c>
      <c r="L1129" t="str">
        <f>IFERROR(VLOOKUP(K1129, Status_Mapping!A:B, 2,), "Not Found")</f>
        <v>Rejected</v>
      </c>
      <c r="N1129" s="29" t="str">
        <f>IF(M1129="","",M1129-B1129)</f>
        <v/>
      </c>
      <c r="O1129" s="1" t="str">
        <f t="shared" si="93"/>
        <v>Starter</v>
      </c>
      <c r="P1129" t="str">
        <f>TEXT(B1129, "mmmm")</f>
        <v>December</v>
      </c>
      <c r="Q1129" t="str">
        <f t="shared" si="94"/>
        <v>Q4</v>
      </c>
      <c r="R1129" t="str">
        <f>IFERROR(VLOOKUP(TRIM(CLEAN(G1129)),Sheet14!$A$2:$B$19,2,FALSE),"Not Mapped")</f>
        <v>West</v>
      </c>
    </row>
    <row r="1130" spans="1:18">
      <c r="A1130" t="str">
        <f t="shared" si="91"/>
        <v>EOS1129</v>
      </c>
      <c r="B1130" s="35">
        <v>46002</v>
      </c>
      <c r="C1130" s="1" t="s">
        <v>267</v>
      </c>
      <c r="D1130" s="1" t="str">
        <f t="shared" si="92"/>
        <v>FB</v>
      </c>
      <c r="E1130" s="5" t="s">
        <v>1697</v>
      </c>
      <c r="F1130" s="1" t="s">
        <v>661</v>
      </c>
      <c r="G1130" s="1" t="s">
        <v>224</v>
      </c>
      <c r="H1130" s="1" t="s">
        <v>69</v>
      </c>
      <c r="I1130" s="1">
        <v>130000</v>
      </c>
      <c r="J1130" s="45">
        <v>1071128</v>
      </c>
      <c r="K1130" s="1" t="str">
        <f>TRIM(Cleaned_CRM_Data!H1130)</f>
        <v>Follow up</v>
      </c>
      <c r="L1130" t="str">
        <f>IFERROR(VLOOKUP(K1130, Status_Mapping!A:B, 2,), "Not Found")</f>
        <v>Follow Up</v>
      </c>
      <c r="N1130" s="29" t="str">
        <f>IF(M1130="","",M1130-B1130)</f>
        <v/>
      </c>
      <c r="O1130" s="1" t="str">
        <f t="shared" si="93"/>
        <v>Starter</v>
      </c>
      <c r="P1130" t="str">
        <f>TEXT(B1130, "mmmm")</f>
        <v>December</v>
      </c>
      <c r="Q1130" t="str">
        <f t="shared" si="94"/>
        <v>Q4</v>
      </c>
      <c r="R1130" t="str">
        <f>IFERROR(VLOOKUP(TRIM(CLEAN(G1130)),Sheet14!$A$2:$B$19,2,FALSE),"Not Mapped")</f>
        <v>West</v>
      </c>
    </row>
    <row r="1131" spans="1:18">
      <c r="A1131" t="str">
        <f t="shared" si="91"/>
        <v>EOS1130</v>
      </c>
      <c r="B1131" s="35">
        <v>46002</v>
      </c>
      <c r="C1131" s="4" t="s">
        <v>267</v>
      </c>
      <c r="D1131" s="1" t="str">
        <f t="shared" si="92"/>
        <v>FB</v>
      </c>
      <c r="E1131" s="5" t="s">
        <v>1698</v>
      </c>
      <c r="F1131" s="1" t="s">
        <v>659</v>
      </c>
      <c r="G1131" s="1" t="s">
        <v>224</v>
      </c>
      <c r="H1131" s="1" t="s">
        <v>69</v>
      </c>
      <c r="I1131" s="1">
        <v>108000</v>
      </c>
      <c r="J1131" s="45">
        <v>1071129</v>
      </c>
      <c r="K1131" s="1" t="str">
        <f>TRIM(Cleaned_CRM_Data!H1131)</f>
        <v>Follow up</v>
      </c>
      <c r="L1131" t="str">
        <f>IFERROR(VLOOKUP(K1131, Status_Mapping!A:B, 2,), "Not Found")</f>
        <v>Follow Up</v>
      </c>
      <c r="N1131" s="29" t="str">
        <f>IF(M1131="","",M1131-B1131)</f>
        <v/>
      </c>
      <c r="O1131" s="1" t="str">
        <f t="shared" si="93"/>
        <v>Starter</v>
      </c>
      <c r="P1131" t="str">
        <f>TEXT(B1131, "mmmm")</f>
        <v>December</v>
      </c>
      <c r="Q1131" t="str">
        <f t="shared" si="94"/>
        <v>Q4</v>
      </c>
      <c r="R1131" t="str">
        <f>IFERROR(VLOOKUP(TRIM(CLEAN(G1131)),Sheet14!$A$2:$B$19,2,FALSE),"Not Mapped")</f>
        <v>West</v>
      </c>
    </row>
    <row r="1132" spans="1:18">
      <c r="A1132" t="str">
        <f t="shared" si="91"/>
        <v>EOS1131</v>
      </c>
      <c r="B1132" s="35">
        <v>46002</v>
      </c>
      <c r="C1132" s="4" t="s">
        <v>267</v>
      </c>
      <c r="D1132" s="1" t="str">
        <f t="shared" si="92"/>
        <v>FB</v>
      </c>
      <c r="E1132" s="5" t="s">
        <v>1699</v>
      </c>
      <c r="F1132" s="1"/>
      <c r="G1132" s="1" t="s">
        <v>223</v>
      </c>
      <c r="H1132" s="1" t="s">
        <v>69</v>
      </c>
      <c r="I1132" s="1">
        <v>130000</v>
      </c>
      <c r="J1132" s="45">
        <v>1071130</v>
      </c>
      <c r="K1132" s="1" t="str">
        <f>TRIM(Cleaned_CRM_Data!H1132)</f>
        <v>Follow up</v>
      </c>
      <c r="L1132" t="str">
        <f>IFERROR(VLOOKUP(K1132, Status_Mapping!A:B, 2,), "Not Found")</f>
        <v>Follow Up</v>
      </c>
      <c r="N1132" s="29" t="str">
        <f>IF(M1132="","",M1132-B1132)</f>
        <v/>
      </c>
      <c r="O1132" s="1" t="str">
        <f t="shared" si="93"/>
        <v>Starter</v>
      </c>
      <c r="P1132" t="str">
        <f>TEXT(B1132, "mmmm")</f>
        <v>December</v>
      </c>
      <c r="Q1132" t="str">
        <f t="shared" si="94"/>
        <v>Q4</v>
      </c>
      <c r="R1132" t="str">
        <f>IFERROR(VLOOKUP(TRIM(CLEAN(G1132)),Sheet14!$A$2:$B$19,2,FALSE),"Not Mapped")</f>
        <v>West</v>
      </c>
    </row>
    <row r="1133" spans="1:18">
      <c r="A1133" t="str">
        <f t="shared" si="91"/>
        <v>EOS1132</v>
      </c>
      <c r="B1133" s="35">
        <v>46002</v>
      </c>
      <c r="C1133" s="4" t="s">
        <v>267</v>
      </c>
      <c r="D1133" s="1" t="str">
        <f t="shared" si="92"/>
        <v>FB</v>
      </c>
      <c r="E1133" s="5" t="s">
        <v>1700</v>
      </c>
      <c r="F1133" s="1"/>
      <c r="G1133" s="1" t="s">
        <v>223</v>
      </c>
      <c r="H1133" s="1" t="s">
        <v>69</v>
      </c>
      <c r="I1133" s="1">
        <v>130000</v>
      </c>
      <c r="J1133" s="45">
        <v>1071131</v>
      </c>
      <c r="K1133" s="1" t="str">
        <f>TRIM(Cleaned_CRM_Data!H1133)</f>
        <v>Follow up</v>
      </c>
      <c r="L1133" t="str">
        <f>IFERROR(VLOOKUP(K1133, Status_Mapping!A:B, 2,), "Not Found")</f>
        <v>Follow Up</v>
      </c>
      <c r="N1133" s="29" t="str">
        <f>IF(M1133="","",M1133-B1133)</f>
        <v/>
      </c>
      <c r="O1133" s="1" t="str">
        <f t="shared" si="93"/>
        <v>Starter</v>
      </c>
      <c r="P1133" t="str">
        <f>TEXT(B1133, "mmmm")</f>
        <v>December</v>
      </c>
      <c r="Q1133" t="str">
        <f t="shared" si="94"/>
        <v>Q4</v>
      </c>
      <c r="R1133" t="str">
        <f>IFERROR(VLOOKUP(TRIM(CLEAN(G1133)),Sheet14!$A$2:$B$19,2,FALSE),"Not Mapped")</f>
        <v>West</v>
      </c>
    </row>
    <row r="1134" spans="1:18">
      <c r="A1134" t="str">
        <f t="shared" si="91"/>
        <v>EOS1133</v>
      </c>
      <c r="B1134" s="35">
        <v>46002</v>
      </c>
      <c r="C1134" s="4" t="s">
        <v>267</v>
      </c>
      <c r="D1134" s="1" t="str">
        <f t="shared" si="92"/>
        <v>FB</v>
      </c>
      <c r="E1134" s="5" t="s">
        <v>1701</v>
      </c>
      <c r="F1134" s="1"/>
      <c r="G1134" s="1" t="s">
        <v>223</v>
      </c>
      <c r="H1134" s="1" t="s">
        <v>69</v>
      </c>
      <c r="I1134" s="1">
        <v>108000</v>
      </c>
      <c r="J1134" s="45">
        <v>1071132</v>
      </c>
      <c r="K1134" s="1" t="str">
        <f>TRIM(Cleaned_CRM_Data!H1134)</f>
        <v>Follow up</v>
      </c>
      <c r="L1134" t="str">
        <f>IFERROR(VLOOKUP(K1134, Status_Mapping!A:B, 2,), "Not Found")</f>
        <v>Follow Up</v>
      </c>
      <c r="N1134" s="29" t="str">
        <f>IF(M1134="","",M1134-B1134)</f>
        <v/>
      </c>
      <c r="O1134" s="1" t="str">
        <f t="shared" si="93"/>
        <v>Starter</v>
      </c>
      <c r="P1134" t="str">
        <f>TEXT(B1134, "mmmm")</f>
        <v>December</v>
      </c>
      <c r="Q1134" t="str">
        <f t="shared" si="94"/>
        <v>Q4</v>
      </c>
      <c r="R1134" t="str">
        <f>IFERROR(VLOOKUP(TRIM(CLEAN(G1134)),Sheet14!$A$2:$B$19,2,FALSE),"Not Mapped")</f>
        <v>West</v>
      </c>
    </row>
    <row r="1135" spans="1:18">
      <c r="A1135" t="str">
        <f t="shared" si="91"/>
        <v>EOS1134</v>
      </c>
      <c r="B1135" s="35">
        <v>46002</v>
      </c>
      <c r="C1135" s="4" t="s">
        <v>267</v>
      </c>
      <c r="D1135" s="1" t="str">
        <f t="shared" si="92"/>
        <v>FB</v>
      </c>
      <c r="E1135" s="5" t="s">
        <v>1702</v>
      </c>
      <c r="F1135" s="1" t="s">
        <v>601</v>
      </c>
      <c r="G1135" s="1" t="s">
        <v>224</v>
      </c>
      <c r="H1135" s="1" t="s">
        <v>69</v>
      </c>
      <c r="I1135" s="1">
        <v>130000</v>
      </c>
      <c r="J1135" s="45">
        <v>1071133</v>
      </c>
      <c r="K1135" s="1" t="str">
        <f>TRIM(Cleaned_CRM_Data!H1135)</f>
        <v>Follow up</v>
      </c>
      <c r="L1135" t="str">
        <f>IFERROR(VLOOKUP(K1135, Status_Mapping!A:B, 2,), "Not Found")</f>
        <v>Follow Up</v>
      </c>
      <c r="N1135" s="29" t="str">
        <f>IF(M1135="","",M1135-B1135)</f>
        <v/>
      </c>
      <c r="O1135" s="1" t="str">
        <f t="shared" si="93"/>
        <v>Starter</v>
      </c>
      <c r="P1135" t="str">
        <f>TEXT(B1135, "mmmm")</f>
        <v>December</v>
      </c>
      <c r="Q1135" t="str">
        <f t="shared" si="94"/>
        <v>Q4</v>
      </c>
      <c r="R1135" t="str">
        <f>IFERROR(VLOOKUP(TRIM(CLEAN(G1135)),Sheet14!$A$2:$B$19,2,FALSE),"Not Mapped")</f>
        <v>West</v>
      </c>
    </row>
    <row r="1136" spans="1:18">
      <c r="A1136" t="str">
        <f t="shared" si="91"/>
        <v>EOS1135</v>
      </c>
      <c r="B1136" s="35">
        <v>45875</v>
      </c>
      <c r="C1136" s="4" t="s">
        <v>267</v>
      </c>
      <c r="D1136" s="1" t="str">
        <f t="shared" si="92"/>
        <v>FB</v>
      </c>
      <c r="E1136" s="1" t="s">
        <v>989</v>
      </c>
      <c r="F1136" s="2" t="s">
        <v>1703</v>
      </c>
      <c r="G1136" s="1" t="s">
        <v>224</v>
      </c>
      <c r="H1136" s="1" t="s">
        <v>149</v>
      </c>
      <c r="I1136" s="1">
        <v>108000</v>
      </c>
      <c r="J1136" s="45">
        <v>1071134</v>
      </c>
      <c r="K1136" s="1" t="str">
        <f>TRIM(Cleaned_CRM_Data!H1136)</f>
        <v>Rejected</v>
      </c>
      <c r="L1136" t="str">
        <f>IFERROR(VLOOKUP(K1136, Status_Mapping!A:B, 2,), "Not Found")</f>
        <v>Rejected</v>
      </c>
      <c r="N1136" s="29" t="str">
        <f>IF(M1136="","",M1136-B1136)</f>
        <v/>
      </c>
      <c r="O1136" s="1" t="str">
        <f t="shared" si="93"/>
        <v>Starter</v>
      </c>
      <c r="P1136" t="str">
        <f>TEXT(B1136, "mmmm")</f>
        <v>August</v>
      </c>
      <c r="Q1136" t="str">
        <f t="shared" si="94"/>
        <v>Q3</v>
      </c>
      <c r="R1136" t="str">
        <f>IFERROR(VLOOKUP(TRIM(CLEAN(G1136)),Sheet14!$A$2:$B$19,2,FALSE),"Not Mapped")</f>
        <v>West</v>
      </c>
    </row>
    <row r="1137" spans="1:18">
      <c r="A1137" t="str">
        <f t="shared" si="91"/>
        <v>EOS1136</v>
      </c>
      <c r="B1137" s="35">
        <v>46004</v>
      </c>
      <c r="C1137" s="1" t="s">
        <v>1314</v>
      </c>
      <c r="D1137" s="1" t="str">
        <f t="shared" si="92"/>
        <v>Fb</v>
      </c>
      <c r="E1137" s="1"/>
      <c r="F1137" s="1" t="s">
        <v>271</v>
      </c>
      <c r="G1137" s="1" t="s">
        <v>224</v>
      </c>
      <c r="H1137" s="1" t="s">
        <v>69</v>
      </c>
      <c r="I1137" s="1">
        <v>108000</v>
      </c>
      <c r="J1137" s="45">
        <v>1071135</v>
      </c>
      <c r="K1137" s="1" t="str">
        <f>TRIM(Cleaned_CRM_Data!H1137)</f>
        <v>Follow up</v>
      </c>
      <c r="L1137" t="str">
        <f>IFERROR(VLOOKUP(K1137, Status_Mapping!A:B, 2,), "Not Found")</f>
        <v>Follow Up</v>
      </c>
      <c r="N1137" s="29" t="str">
        <f>IF(M1137="","",M1137-B1137)</f>
        <v/>
      </c>
      <c r="O1137" s="1" t="str">
        <f t="shared" si="93"/>
        <v>Starter</v>
      </c>
      <c r="P1137" t="str">
        <f>TEXT(B1137, "mmmm")</f>
        <v>December</v>
      </c>
      <c r="Q1137" t="str">
        <f t="shared" si="94"/>
        <v>Q4</v>
      </c>
      <c r="R1137" t="str">
        <f>IFERROR(VLOOKUP(TRIM(CLEAN(G1137)),Sheet14!$A$2:$B$19,2,FALSE),"Not Mapped")</f>
        <v>West</v>
      </c>
    </row>
    <row r="1138" spans="1:18">
      <c r="A1138" t="str">
        <f t="shared" si="91"/>
        <v>EOS1137</v>
      </c>
      <c r="B1138" s="35">
        <v>46006</v>
      </c>
      <c r="C1138" s="4" t="s">
        <v>267</v>
      </c>
      <c r="D1138" s="1" t="str">
        <f t="shared" si="92"/>
        <v>FB</v>
      </c>
      <c r="E1138" s="5" t="s">
        <v>1704</v>
      </c>
      <c r="F1138" s="1"/>
      <c r="G1138" s="1" t="s">
        <v>224</v>
      </c>
      <c r="H1138" s="1" t="s">
        <v>69</v>
      </c>
      <c r="I1138" s="1">
        <v>108000</v>
      </c>
      <c r="J1138" s="45">
        <v>1071136</v>
      </c>
      <c r="K1138" s="1" t="str">
        <f>TRIM(Cleaned_CRM_Data!H1138)</f>
        <v>Follow up</v>
      </c>
      <c r="L1138" t="str">
        <f>IFERROR(VLOOKUP(K1138, Status_Mapping!A:B, 2,), "Not Found")</f>
        <v>Follow Up</v>
      </c>
      <c r="N1138" s="29" t="str">
        <f>IF(M1138="","",M1138-B1138)</f>
        <v/>
      </c>
      <c r="O1138" s="1" t="str">
        <f t="shared" si="93"/>
        <v>Starter</v>
      </c>
      <c r="P1138" t="str">
        <f>TEXT(B1138, "mmmm")</f>
        <v>December</v>
      </c>
      <c r="Q1138" t="str">
        <f t="shared" si="94"/>
        <v>Q4</v>
      </c>
      <c r="R1138" t="str">
        <f>IFERROR(VLOOKUP(TRIM(CLEAN(G1138)),Sheet14!$A$2:$B$19,2,FALSE),"Not Mapped")</f>
        <v>West</v>
      </c>
    </row>
    <row r="1139" spans="1:18">
      <c r="A1139" t="str">
        <f t="shared" si="91"/>
        <v>EOS1138</v>
      </c>
      <c r="B1139" s="35">
        <v>46006</v>
      </c>
      <c r="C1139" s="4" t="s">
        <v>267</v>
      </c>
      <c r="D1139" s="1" t="str">
        <f t="shared" si="92"/>
        <v>FB</v>
      </c>
      <c r="E1139" s="5" t="s">
        <v>1705</v>
      </c>
      <c r="F1139" s="1"/>
      <c r="G1139" s="1" t="s">
        <v>224</v>
      </c>
      <c r="H1139" s="1" t="s">
        <v>69</v>
      </c>
      <c r="I1139" s="1">
        <v>108000</v>
      </c>
      <c r="J1139" s="45">
        <v>1071137</v>
      </c>
      <c r="K1139" s="1" t="str">
        <f>TRIM(Cleaned_CRM_Data!H1139)</f>
        <v>Follow up</v>
      </c>
      <c r="L1139" t="str">
        <f>IFERROR(VLOOKUP(K1139, Status_Mapping!A:B, 2,), "Not Found")</f>
        <v>Follow Up</v>
      </c>
      <c r="N1139" s="29" t="str">
        <f>IF(M1139="","",M1139-B1139)</f>
        <v/>
      </c>
      <c r="O1139" s="1" t="str">
        <f t="shared" si="93"/>
        <v>Starter</v>
      </c>
      <c r="P1139" t="str">
        <f>TEXT(B1139, "mmmm")</f>
        <v>December</v>
      </c>
      <c r="Q1139" t="str">
        <f t="shared" si="94"/>
        <v>Q4</v>
      </c>
      <c r="R1139" t="str">
        <f>IFERROR(VLOOKUP(TRIM(CLEAN(G1139)),Sheet14!$A$2:$B$19,2,FALSE),"Not Mapped")</f>
        <v>West</v>
      </c>
    </row>
    <row r="1140" spans="1:18">
      <c r="A1140" t="str">
        <f t="shared" si="91"/>
        <v>EOS1139</v>
      </c>
      <c r="B1140" s="35">
        <v>46006</v>
      </c>
      <c r="C1140" s="4" t="s">
        <v>267</v>
      </c>
      <c r="D1140" s="1" t="str">
        <f t="shared" si="92"/>
        <v>FB</v>
      </c>
      <c r="E1140" s="5" t="s">
        <v>1706</v>
      </c>
      <c r="F1140" s="1" t="s">
        <v>271</v>
      </c>
      <c r="G1140" s="1" t="s">
        <v>224</v>
      </c>
      <c r="H1140" s="1" t="s">
        <v>69</v>
      </c>
      <c r="I1140" s="1">
        <v>177000</v>
      </c>
      <c r="J1140" s="45">
        <v>1071138</v>
      </c>
      <c r="K1140" s="1" t="str">
        <f>TRIM(Cleaned_CRM_Data!H1140)</f>
        <v>Follow up</v>
      </c>
      <c r="L1140" t="str">
        <f>IFERROR(VLOOKUP(K1140, Status_Mapping!A:B, 2,), "Not Found")</f>
        <v>Follow Up</v>
      </c>
      <c r="N1140" s="29" t="str">
        <f>IF(M1140="","",M1140-B1140)</f>
        <v/>
      </c>
      <c r="O1140" s="1" t="str">
        <f t="shared" si="93"/>
        <v>Growth</v>
      </c>
      <c r="P1140" t="str">
        <f>TEXT(B1140, "mmmm")</f>
        <v>December</v>
      </c>
      <c r="Q1140" t="str">
        <f t="shared" si="94"/>
        <v>Q4</v>
      </c>
      <c r="R1140" t="str">
        <f>IFERROR(VLOOKUP(TRIM(CLEAN(G1140)),Sheet14!$A$2:$B$19,2,FALSE),"Not Mapped")</f>
        <v>West</v>
      </c>
    </row>
    <row r="1141" spans="1:18">
      <c r="A1141" t="str">
        <f t="shared" si="91"/>
        <v>EOS1140</v>
      </c>
      <c r="B1141" s="35">
        <v>46006</v>
      </c>
      <c r="C1141" s="4" t="s">
        <v>267</v>
      </c>
      <c r="D1141" s="1" t="str">
        <f t="shared" si="92"/>
        <v>FB</v>
      </c>
      <c r="E1141" s="5" t="s">
        <v>1707</v>
      </c>
      <c r="F1141" s="1" t="s">
        <v>275</v>
      </c>
      <c r="G1141" s="1" t="s">
        <v>224</v>
      </c>
      <c r="H1141" s="1" t="s">
        <v>69</v>
      </c>
      <c r="I1141" s="1">
        <v>108000</v>
      </c>
      <c r="J1141" s="45">
        <v>1071139</v>
      </c>
      <c r="K1141" s="1" t="str">
        <f>TRIM(Cleaned_CRM_Data!H1141)</f>
        <v>Follow up</v>
      </c>
      <c r="L1141" t="str">
        <f>IFERROR(VLOOKUP(K1141, Status_Mapping!A:B, 2,), "Not Found")</f>
        <v>Follow Up</v>
      </c>
      <c r="N1141" s="29" t="str">
        <f>IF(M1141="","",M1141-B1141)</f>
        <v/>
      </c>
      <c r="O1141" s="1" t="str">
        <f t="shared" si="93"/>
        <v>Starter</v>
      </c>
      <c r="P1141" t="str">
        <f>TEXT(B1141, "mmmm")</f>
        <v>December</v>
      </c>
      <c r="Q1141" t="str">
        <f t="shared" si="94"/>
        <v>Q4</v>
      </c>
      <c r="R1141" t="str">
        <f>IFERROR(VLOOKUP(TRIM(CLEAN(G1141)),Sheet14!$A$2:$B$19,2,FALSE),"Not Mapped")</f>
        <v>West</v>
      </c>
    </row>
    <row r="1142" spans="1:18">
      <c r="A1142" t="str">
        <f t="shared" si="91"/>
        <v>EOS1141</v>
      </c>
      <c r="B1142" s="35">
        <v>46006</v>
      </c>
      <c r="C1142" s="4" t="s">
        <v>267</v>
      </c>
      <c r="D1142" s="1" t="str">
        <f t="shared" si="92"/>
        <v>FB</v>
      </c>
      <c r="E1142" s="5" t="s">
        <v>1708</v>
      </c>
      <c r="F1142" s="1" t="s">
        <v>300</v>
      </c>
      <c r="G1142" s="1" t="s">
        <v>224</v>
      </c>
      <c r="H1142" s="1" t="s">
        <v>149</v>
      </c>
      <c r="I1142" s="1">
        <v>130000</v>
      </c>
      <c r="J1142" s="45">
        <v>1071140</v>
      </c>
      <c r="K1142" s="1" t="str">
        <f>TRIM(Cleaned_CRM_Data!H1142)</f>
        <v>Rejected</v>
      </c>
      <c r="L1142" t="str">
        <f>IFERROR(VLOOKUP(K1142, Status_Mapping!A:B, 2,), "Not Found")</f>
        <v>Rejected</v>
      </c>
      <c r="N1142" s="29" t="str">
        <f>IF(M1142="","",M1142-B1142)</f>
        <v/>
      </c>
      <c r="O1142" s="1" t="str">
        <f t="shared" si="93"/>
        <v>Starter</v>
      </c>
      <c r="P1142" t="str">
        <f>TEXT(B1142, "mmmm")</f>
        <v>December</v>
      </c>
      <c r="Q1142" t="str">
        <f t="shared" si="94"/>
        <v>Q4</v>
      </c>
      <c r="R1142" t="str">
        <f>IFERROR(VLOOKUP(TRIM(CLEAN(G1142)),Sheet14!$A$2:$B$19,2,FALSE),"Not Mapped")</f>
        <v>West</v>
      </c>
    </row>
    <row r="1143" spans="1:18">
      <c r="A1143" t="str">
        <f t="shared" si="91"/>
        <v>EOS1142</v>
      </c>
      <c r="B1143" s="35">
        <v>46006</v>
      </c>
      <c r="C1143" s="1" t="s">
        <v>1314</v>
      </c>
      <c r="D1143" s="1" t="str">
        <f t="shared" si="92"/>
        <v>Fb</v>
      </c>
      <c r="E1143" s="5" t="s">
        <v>1709</v>
      </c>
      <c r="F1143" s="1" t="s">
        <v>1710</v>
      </c>
      <c r="G1143" s="1" t="s">
        <v>224</v>
      </c>
      <c r="H1143" s="1" t="s">
        <v>149</v>
      </c>
      <c r="I1143" s="1">
        <v>130000</v>
      </c>
      <c r="J1143" s="45">
        <v>1071141</v>
      </c>
      <c r="K1143" s="1" t="str">
        <f>TRIM(Cleaned_CRM_Data!H1143)</f>
        <v>Rejected</v>
      </c>
      <c r="L1143" t="str">
        <f>IFERROR(VLOOKUP(K1143, Status_Mapping!A:B, 2,), "Not Found")</f>
        <v>Rejected</v>
      </c>
      <c r="N1143" s="29" t="str">
        <f>IF(M1143="","",M1143-B1143)</f>
        <v/>
      </c>
      <c r="O1143" s="1" t="str">
        <f t="shared" si="93"/>
        <v>Starter</v>
      </c>
      <c r="P1143" t="str">
        <f>TEXT(B1143, "mmmm")</f>
        <v>December</v>
      </c>
      <c r="Q1143" t="str">
        <f t="shared" si="94"/>
        <v>Q4</v>
      </c>
      <c r="R1143" t="str">
        <f>IFERROR(VLOOKUP(TRIM(CLEAN(G1143)),Sheet14!$A$2:$B$19,2,FALSE),"Not Mapped")</f>
        <v>West</v>
      </c>
    </row>
    <row r="1144" spans="1:18">
      <c r="A1144" t="str">
        <f t="shared" si="91"/>
        <v>EOS1143</v>
      </c>
      <c r="B1144" s="35">
        <v>46006</v>
      </c>
      <c r="C1144" s="1" t="s">
        <v>1314</v>
      </c>
      <c r="D1144" s="1" t="str">
        <f t="shared" si="92"/>
        <v>Fb</v>
      </c>
      <c r="E1144" s="5" t="s">
        <v>1711</v>
      </c>
      <c r="F1144" s="1" t="s">
        <v>300</v>
      </c>
      <c r="G1144" s="1" t="s">
        <v>224</v>
      </c>
      <c r="H1144" s="1" t="s">
        <v>69</v>
      </c>
      <c r="I1144" s="1">
        <v>130000</v>
      </c>
      <c r="J1144" s="45">
        <v>1071142</v>
      </c>
      <c r="K1144" s="1" t="str">
        <f>TRIM(Cleaned_CRM_Data!H1144)</f>
        <v>Follow up</v>
      </c>
      <c r="L1144" t="str">
        <f>IFERROR(VLOOKUP(K1144, Status_Mapping!A:B, 2,), "Not Found")</f>
        <v>Follow Up</v>
      </c>
      <c r="N1144" s="29" t="str">
        <f>IF(M1144="","",M1144-B1144)</f>
        <v/>
      </c>
      <c r="O1144" s="1" t="str">
        <f t="shared" si="93"/>
        <v>Starter</v>
      </c>
      <c r="P1144" t="str">
        <f>TEXT(B1144, "mmmm")</f>
        <v>December</v>
      </c>
      <c r="Q1144" t="str">
        <f t="shared" si="94"/>
        <v>Q4</v>
      </c>
      <c r="R1144" t="str">
        <f>IFERROR(VLOOKUP(TRIM(CLEAN(G1144)),Sheet14!$A$2:$B$19,2,FALSE),"Not Mapped")</f>
        <v>West</v>
      </c>
    </row>
    <row r="1145" spans="1:18">
      <c r="A1145" t="str">
        <f t="shared" si="91"/>
        <v>EOS1144</v>
      </c>
      <c r="B1145" s="35">
        <v>46006</v>
      </c>
      <c r="C1145" s="4" t="s">
        <v>267</v>
      </c>
      <c r="D1145" s="1" t="str">
        <f t="shared" si="92"/>
        <v>FB</v>
      </c>
      <c r="E1145" s="5" t="s">
        <v>1712</v>
      </c>
      <c r="F1145" s="1" t="s">
        <v>275</v>
      </c>
      <c r="G1145" s="1" t="s">
        <v>224</v>
      </c>
      <c r="H1145" s="1" t="s">
        <v>69</v>
      </c>
      <c r="I1145" s="1">
        <v>130000</v>
      </c>
      <c r="J1145" s="45">
        <v>1071143</v>
      </c>
      <c r="K1145" s="1" t="str">
        <f>TRIM(Cleaned_CRM_Data!H1145)</f>
        <v>Follow up</v>
      </c>
      <c r="L1145" t="str">
        <f>IFERROR(VLOOKUP(K1145, Status_Mapping!A:B, 2,), "Not Found")</f>
        <v>Follow Up</v>
      </c>
      <c r="N1145" s="29" t="str">
        <f>IF(M1145="","",M1145-B1145)</f>
        <v/>
      </c>
      <c r="O1145" s="1" t="str">
        <f t="shared" si="93"/>
        <v>Starter</v>
      </c>
      <c r="P1145" t="str">
        <f>TEXT(B1145, "mmmm")</f>
        <v>December</v>
      </c>
      <c r="Q1145" t="str">
        <f t="shared" si="94"/>
        <v>Q4</v>
      </c>
      <c r="R1145" t="str">
        <f>IFERROR(VLOOKUP(TRIM(CLEAN(G1145)),Sheet14!$A$2:$B$19,2,FALSE),"Not Mapped")</f>
        <v>West</v>
      </c>
    </row>
    <row r="1146" spans="1:18">
      <c r="A1146" t="str">
        <f t="shared" si="91"/>
        <v>EOS1145</v>
      </c>
      <c r="B1146" s="35">
        <v>46006</v>
      </c>
      <c r="C1146" s="4" t="s">
        <v>267</v>
      </c>
      <c r="D1146" s="1" t="str">
        <f t="shared" si="92"/>
        <v>FB</v>
      </c>
      <c r="E1146" s="1" t="s">
        <v>1713</v>
      </c>
      <c r="F1146" s="1" t="s">
        <v>860</v>
      </c>
      <c r="G1146" s="1" t="s">
        <v>224</v>
      </c>
      <c r="H1146" s="1" t="s">
        <v>69</v>
      </c>
      <c r="I1146" s="1">
        <v>108000</v>
      </c>
      <c r="J1146" s="45">
        <v>1071144</v>
      </c>
      <c r="K1146" s="1" t="str">
        <f>TRIM(Cleaned_CRM_Data!H1146)</f>
        <v>Follow up</v>
      </c>
      <c r="L1146" t="str">
        <f>IFERROR(VLOOKUP(K1146, Status_Mapping!A:B, 2,), "Not Found")</f>
        <v>Follow Up</v>
      </c>
      <c r="N1146" s="29" t="str">
        <f>IF(M1146="","",M1146-B1146)</f>
        <v/>
      </c>
      <c r="O1146" s="1" t="str">
        <f t="shared" si="93"/>
        <v>Starter</v>
      </c>
      <c r="P1146" t="str">
        <f>TEXT(B1146, "mmmm")</f>
        <v>December</v>
      </c>
      <c r="Q1146" t="str">
        <f t="shared" si="94"/>
        <v>Q4</v>
      </c>
      <c r="R1146" t="str">
        <f>IFERROR(VLOOKUP(TRIM(CLEAN(G1146)),Sheet14!$A$2:$B$19,2,FALSE),"Not Mapped")</f>
        <v>West</v>
      </c>
    </row>
    <row r="1147" spans="1:18">
      <c r="A1147" t="str">
        <f t="shared" si="91"/>
        <v>EOS1146</v>
      </c>
      <c r="B1147" s="35">
        <v>46006</v>
      </c>
      <c r="C1147" s="4" t="s">
        <v>267</v>
      </c>
      <c r="D1147" s="1" t="str">
        <f t="shared" si="92"/>
        <v>FB</v>
      </c>
      <c r="E1147" s="5" t="s">
        <v>1714</v>
      </c>
      <c r="F1147" s="2" t="s">
        <v>1331</v>
      </c>
      <c r="G1147" s="1" t="s">
        <v>224</v>
      </c>
      <c r="H1147" s="1" t="s">
        <v>149</v>
      </c>
      <c r="I1147" s="1">
        <v>130000</v>
      </c>
      <c r="J1147" s="45">
        <v>1071145</v>
      </c>
      <c r="K1147" s="1" t="str">
        <f>TRIM(Cleaned_CRM_Data!H1147)</f>
        <v>Rejected</v>
      </c>
      <c r="L1147" t="str">
        <f>IFERROR(VLOOKUP(K1147, Status_Mapping!A:B, 2,), "Not Found")</f>
        <v>Rejected</v>
      </c>
      <c r="N1147" s="29" t="str">
        <f>IF(M1147="","",M1147-B1147)</f>
        <v/>
      </c>
      <c r="O1147" s="1" t="str">
        <f t="shared" si="93"/>
        <v>Starter</v>
      </c>
      <c r="P1147" t="str">
        <f>TEXT(B1147, "mmmm")</f>
        <v>December</v>
      </c>
      <c r="Q1147" t="str">
        <f t="shared" si="94"/>
        <v>Q4</v>
      </c>
      <c r="R1147" t="str">
        <f>IFERROR(VLOOKUP(TRIM(CLEAN(G1147)),Sheet14!$A$2:$B$19,2,FALSE),"Not Mapped")</f>
        <v>West</v>
      </c>
    </row>
    <row r="1148" spans="1:18">
      <c r="A1148" t="str">
        <f t="shared" si="91"/>
        <v>EOS1147</v>
      </c>
      <c r="B1148" s="35">
        <v>46006</v>
      </c>
      <c r="C1148" s="1" t="s">
        <v>1314</v>
      </c>
      <c r="D1148" s="1" t="str">
        <f t="shared" si="92"/>
        <v>Fb</v>
      </c>
      <c r="E1148" s="5" t="s">
        <v>1715</v>
      </c>
      <c r="F1148" s="1" t="s">
        <v>275</v>
      </c>
      <c r="G1148" s="1" t="s">
        <v>224</v>
      </c>
      <c r="H1148" s="1" t="s">
        <v>69</v>
      </c>
      <c r="I1148" s="1">
        <v>177000</v>
      </c>
      <c r="J1148" s="45">
        <v>1071146</v>
      </c>
      <c r="K1148" s="1" t="str">
        <f>TRIM(Cleaned_CRM_Data!H1148)</f>
        <v>Follow up</v>
      </c>
      <c r="L1148" t="str">
        <f>IFERROR(VLOOKUP(K1148, Status_Mapping!A:B, 2,), "Not Found")</f>
        <v>Follow Up</v>
      </c>
      <c r="N1148" s="29" t="str">
        <f>IF(M1148="","",M1148-B1148)</f>
        <v/>
      </c>
      <c r="O1148" s="1" t="str">
        <f t="shared" si="93"/>
        <v>Growth</v>
      </c>
      <c r="P1148" t="str">
        <f>TEXT(B1148, "mmmm")</f>
        <v>December</v>
      </c>
      <c r="Q1148" t="str">
        <f t="shared" si="94"/>
        <v>Q4</v>
      </c>
      <c r="R1148" t="str">
        <f>IFERROR(VLOOKUP(TRIM(CLEAN(G1148)),Sheet14!$A$2:$B$19,2,FALSE),"Not Mapped")</f>
        <v>West</v>
      </c>
    </row>
    <row r="1149" spans="1:18">
      <c r="A1149" t="str">
        <f t="shared" si="91"/>
        <v>EOS1148</v>
      </c>
      <c r="B1149" s="35">
        <v>46006</v>
      </c>
      <c r="C1149" s="4" t="s">
        <v>267</v>
      </c>
      <c r="D1149" s="1" t="str">
        <f t="shared" si="92"/>
        <v>FB</v>
      </c>
      <c r="E1149" s="5" t="s">
        <v>1716</v>
      </c>
      <c r="F1149" s="1" t="s">
        <v>300</v>
      </c>
      <c r="G1149" s="1" t="s">
        <v>224</v>
      </c>
      <c r="H1149" s="1" t="s">
        <v>69</v>
      </c>
      <c r="I1149" s="1">
        <v>108000</v>
      </c>
      <c r="J1149" s="45">
        <v>1071147</v>
      </c>
      <c r="K1149" s="1" t="str">
        <f>TRIM(Cleaned_CRM_Data!H1149)</f>
        <v>Follow up</v>
      </c>
      <c r="L1149" t="str">
        <f>IFERROR(VLOOKUP(K1149, Status_Mapping!A:B, 2,), "Not Found")</f>
        <v>Follow Up</v>
      </c>
      <c r="N1149" s="29" t="str">
        <f>IF(M1149="","",M1149-B1149)</f>
        <v/>
      </c>
      <c r="O1149" s="1" t="str">
        <f t="shared" si="93"/>
        <v>Starter</v>
      </c>
      <c r="P1149" t="str">
        <f>TEXT(B1149, "mmmm")</f>
        <v>December</v>
      </c>
      <c r="Q1149" t="str">
        <f t="shared" si="94"/>
        <v>Q4</v>
      </c>
      <c r="R1149" t="str">
        <f>IFERROR(VLOOKUP(TRIM(CLEAN(G1149)),Sheet14!$A$2:$B$19,2,FALSE),"Not Mapped")</f>
        <v>West</v>
      </c>
    </row>
    <row r="1150" spans="1:18">
      <c r="A1150" t="str">
        <f t="shared" si="91"/>
        <v>EOS1149</v>
      </c>
      <c r="B1150" s="35">
        <v>46006</v>
      </c>
      <c r="C1150" s="4" t="s">
        <v>267</v>
      </c>
      <c r="D1150" s="1" t="str">
        <f t="shared" si="92"/>
        <v>FB</v>
      </c>
      <c r="E1150" s="5" t="s">
        <v>1717</v>
      </c>
      <c r="F1150" s="1"/>
      <c r="G1150" s="1" t="s">
        <v>224</v>
      </c>
      <c r="H1150" s="1" t="s">
        <v>69</v>
      </c>
      <c r="I1150" s="1">
        <v>177000</v>
      </c>
      <c r="J1150" s="45">
        <v>1071148</v>
      </c>
      <c r="K1150" s="1" t="str">
        <f>TRIM(Cleaned_CRM_Data!H1150)</f>
        <v>Follow up</v>
      </c>
      <c r="L1150" t="str">
        <f>IFERROR(VLOOKUP(K1150, Status_Mapping!A:B, 2,), "Not Found")</f>
        <v>Follow Up</v>
      </c>
      <c r="N1150" s="29" t="str">
        <f>IF(M1150="","",M1150-B1150)</f>
        <v/>
      </c>
      <c r="O1150" s="1" t="str">
        <f t="shared" si="93"/>
        <v>Growth</v>
      </c>
      <c r="P1150" t="str">
        <f>TEXT(B1150, "mmmm")</f>
        <v>December</v>
      </c>
      <c r="Q1150" t="str">
        <f t="shared" si="94"/>
        <v>Q4</v>
      </c>
      <c r="R1150" t="str">
        <f>IFERROR(VLOOKUP(TRIM(CLEAN(G1150)),Sheet14!$A$2:$B$19,2,FALSE),"Not Mapped")</f>
        <v>West</v>
      </c>
    </row>
    <row r="1151" spans="1:18">
      <c r="A1151" t="str">
        <f t="shared" si="91"/>
        <v>EOS1150</v>
      </c>
      <c r="B1151" s="35">
        <v>46006</v>
      </c>
      <c r="C1151" s="4" t="s">
        <v>267</v>
      </c>
      <c r="D1151" s="1" t="str">
        <f t="shared" si="92"/>
        <v>FB</v>
      </c>
      <c r="E1151" s="5" t="s">
        <v>1718</v>
      </c>
      <c r="F1151" s="1" t="s">
        <v>412</v>
      </c>
      <c r="G1151" s="1" t="s">
        <v>224</v>
      </c>
      <c r="H1151" s="1" t="s">
        <v>149</v>
      </c>
      <c r="I1151" s="1">
        <v>108000</v>
      </c>
      <c r="J1151" s="45">
        <v>1071149</v>
      </c>
      <c r="K1151" s="1" t="str">
        <f>TRIM(Cleaned_CRM_Data!H1151)</f>
        <v>Rejected</v>
      </c>
      <c r="L1151" t="str">
        <f>IFERROR(VLOOKUP(K1151, Status_Mapping!A:B, 2,), "Not Found")</f>
        <v>Rejected</v>
      </c>
      <c r="N1151" s="29" t="str">
        <f>IF(M1151="","",M1151-B1151)</f>
        <v/>
      </c>
      <c r="O1151" s="1" t="str">
        <f t="shared" si="93"/>
        <v>Starter</v>
      </c>
      <c r="P1151" t="str">
        <f>TEXT(B1151, "mmmm")</f>
        <v>December</v>
      </c>
      <c r="Q1151" t="str">
        <f t="shared" si="94"/>
        <v>Q4</v>
      </c>
      <c r="R1151" t="str">
        <f>IFERROR(VLOOKUP(TRIM(CLEAN(G1151)),Sheet14!$A$2:$B$19,2,FALSE),"Not Mapped")</f>
        <v>West</v>
      </c>
    </row>
    <row r="1152" spans="1:18">
      <c r="A1152" t="str">
        <f t="shared" si="91"/>
        <v>EOS1151</v>
      </c>
      <c r="B1152" s="35">
        <v>46006</v>
      </c>
      <c r="C1152" s="1" t="s">
        <v>1314</v>
      </c>
      <c r="D1152" s="1" t="str">
        <f t="shared" si="92"/>
        <v>Fb</v>
      </c>
      <c r="E1152" s="5" t="s">
        <v>1719</v>
      </c>
      <c r="F1152" s="5" t="s">
        <v>1287</v>
      </c>
      <c r="G1152" s="1" t="s">
        <v>224</v>
      </c>
      <c r="H1152" s="1" t="s">
        <v>69</v>
      </c>
      <c r="I1152" s="1">
        <v>130000</v>
      </c>
      <c r="J1152" s="45">
        <v>1071150</v>
      </c>
      <c r="K1152" s="1" t="str">
        <f>TRIM(Cleaned_CRM_Data!H1152)</f>
        <v>Follow up</v>
      </c>
      <c r="L1152" t="str">
        <f>IFERROR(VLOOKUP(K1152, Status_Mapping!A:B, 2,), "Not Found")</f>
        <v>Follow Up</v>
      </c>
      <c r="N1152" s="29" t="str">
        <f>IF(M1152="","",M1152-B1152)</f>
        <v/>
      </c>
      <c r="O1152" s="1" t="str">
        <f t="shared" si="93"/>
        <v>Starter</v>
      </c>
      <c r="P1152" t="str">
        <f>TEXT(B1152, "mmmm")</f>
        <v>December</v>
      </c>
      <c r="Q1152" t="str">
        <f t="shared" si="94"/>
        <v>Q4</v>
      </c>
      <c r="R1152" t="str">
        <f>IFERROR(VLOOKUP(TRIM(CLEAN(G1152)),Sheet14!$A$2:$B$19,2,FALSE),"Not Mapped")</f>
        <v>West</v>
      </c>
    </row>
    <row r="1153" spans="1:18">
      <c r="A1153" t="str">
        <f t="shared" si="91"/>
        <v>EOS1152</v>
      </c>
      <c r="B1153" s="35">
        <v>46006</v>
      </c>
      <c r="C1153" s="4" t="s">
        <v>267</v>
      </c>
      <c r="D1153" s="1" t="str">
        <f t="shared" si="92"/>
        <v>FB</v>
      </c>
      <c r="E1153" s="5" t="s">
        <v>1720</v>
      </c>
      <c r="F1153" s="2" t="s">
        <v>1331</v>
      </c>
      <c r="G1153" s="1" t="s">
        <v>224</v>
      </c>
      <c r="H1153" s="1" t="s">
        <v>149</v>
      </c>
      <c r="I1153" s="1">
        <v>130000</v>
      </c>
      <c r="J1153" s="45">
        <v>1071151</v>
      </c>
      <c r="K1153" s="1" t="str">
        <f>TRIM(Cleaned_CRM_Data!H1153)</f>
        <v>Rejected</v>
      </c>
      <c r="L1153" t="str">
        <f>IFERROR(VLOOKUP(K1153, Status_Mapping!A:B, 2,), "Not Found")</f>
        <v>Rejected</v>
      </c>
      <c r="N1153" s="29" t="str">
        <f>IF(M1153="","",M1153-B1153)</f>
        <v/>
      </c>
      <c r="O1153" s="1" t="str">
        <f t="shared" si="93"/>
        <v>Starter</v>
      </c>
      <c r="P1153" t="str">
        <f>TEXT(B1153, "mmmm")</f>
        <v>December</v>
      </c>
      <c r="Q1153" t="str">
        <f t="shared" si="94"/>
        <v>Q4</v>
      </c>
      <c r="R1153" t="str">
        <f>IFERROR(VLOOKUP(TRIM(CLEAN(G1153)),Sheet14!$A$2:$B$19,2,FALSE),"Not Mapped")</f>
        <v>West</v>
      </c>
    </row>
    <row r="1154" spans="1:18">
      <c r="A1154" t="str">
        <f t="shared" si="91"/>
        <v>EOS1153</v>
      </c>
      <c r="B1154" s="35">
        <v>46006</v>
      </c>
      <c r="C1154" s="1" t="s">
        <v>1314</v>
      </c>
      <c r="D1154" s="1" t="str">
        <f t="shared" si="92"/>
        <v>Fb</v>
      </c>
      <c r="E1154" s="5" t="s">
        <v>1721</v>
      </c>
      <c r="F1154" s="1" t="s">
        <v>300</v>
      </c>
      <c r="G1154" s="1" t="s">
        <v>224</v>
      </c>
      <c r="H1154" s="1" t="s">
        <v>69</v>
      </c>
      <c r="I1154" s="1">
        <v>308000</v>
      </c>
      <c r="J1154" s="45">
        <v>1071152</v>
      </c>
      <c r="K1154" s="1" t="str">
        <f>TRIM(Cleaned_CRM_Data!H1154)</f>
        <v>Follow up</v>
      </c>
      <c r="L1154" t="str">
        <f>IFERROR(VLOOKUP(K1154, Status_Mapping!A:B, 2,), "Not Found")</f>
        <v>Follow Up</v>
      </c>
      <c r="N1154" s="29" t="str">
        <f>IF(M1154="","",M1154-B1154)</f>
        <v/>
      </c>
      <c r="O1154" s="1" t="str">
        <f t="shared" si="93"/>
        <v>Premium</v>
      </c>
      <c r="P1154" t="str">
        <f>TEXT(B1154, "mmmm")</f>
        <v>December</v>
      </c>
      <c r="Q1154" t="str">
        <f t="shared" si="94"/>
        <v>Q4</v>
      </c>
      <c r="R1154" t="str">
        <f>IFERROR(VLOOKUP(TRIM(CLEAN(G1154)),Sheet14!$A$2:$B$19,2,FALSE),"Not Mapped")</f>
        <v>West</v>
      </c>
    </row>
    <row r="1155" spans="1:18">
      <c r="A1155" t="str">
        <f t="shared" ref="A1155:A1218" si="95">"EOS"&amp;TEXT(ROW()-1,"0000")</f>
        <v>EOS1154</v>
      </c>
      <c r="B1155" s="35">
        <v>46006</v>
      </c>
      <c r="C1155" s="4" t="s">
        <v>267</v>
      </c>
      <c r="D1155" s="1" t="str">
        <f t="shared" ref="D1155:D1193" si="96">TRIM(CLEAN(SUBSTITUTE(C1155,CHAR(160),"")))</f>
        <v>FB</v>
      </c>
      <c r="E1155" s="5" t="s">
        <v>1722</v>
      </c>
      <c r="F1155" s="5" t="s">
        <v>1113</v>
      </c>
      <c r="G1155" s="1" t="s">
        <v>224</v>
      </c>
      <c r="H1155" s="1" t="s">
        <v>149</v>
      </c>
      <c r="I1155" s="1">
        <v>108000</v>
      </c>
      <c r="J1155" s="45">
        <v>1071153</v>
      </c>
      <c r="K1155" s="1" t="str">
        <f>TRIM(Cleaned_CRM_Data!H1155)</f>
        <v>Rejected</v>
      </c>
      <c r="L1155" t="str">
        <f>IFERROR(VLOOKUP(K1155, Status_Mapping!A:B, 2,), "Not Found")</f>
        <v>Rejected</v>
      </c>
      <c r="N1155" s="29" t="str">
        <f>IF(M1155="","",M1155-B1155)</f>
        <v/>
      </c>
      <c r="O1155" s="1" t="str">
        <f t="shared" ref="O1155:O1218" si="97">IF(OR(I1155=108000,I1155=130000),"Starter",IF(I1155=177000,"Growth","Premium"))</f>
        <v>Starter</v>
      </c>
      <c r="P1155" t="str">
        <f>TEXT(B1155, "mmmm")</f>
        <v>December</v>
      </c>
      <c r="Q1155" t="str">
        <f t="shared" ref="Q1155:Q1218" si="98">"Q"&amp;ROUNDUP(MONTH(B1155)/3,0)</f>
        <v>Q4</v>
      </c>
      <c r="R1155" t="str">
        <f>IFERROR(VLOOKUP(TRIM(CLEAN(G1155)),Sheet14!$A$2:$B$19,2,FALSE),"Not Mapped")</f>
        <v>West</v>
      </c>
    </row>
    <row r="1156" spans="1:18">
      <c r="A1156" t="str">
        <f t="shared" si="95"/>
        <v>EOS1155</v>
      </c>
      <c r="B1156" s="35">
        <v>46006</v>
      </c>
      <c r="C1156" s="1" t="s">
        <v>1314</v>
      </c>
      <c r="D1156" s="1" t="str">
        <f t="shared" si="96"/>
        <v>Fb</v>
      </c>
      <c r="E1156" s="5" t="s">
        <v>1723</v>
      </c>
      <c r="F1156" s="1" t="s">
        <v>271</v>
      </c>
      <c r="G1156" s="1" t="s">
        <v>224</v>
      </c>
      <c r="H1156" s="1" t="s">
        <v>69</v>
      </c>
      <c r="I1156" s="1">
        <v>177000</v>
      </c>
      <c r="J1156" s="45">
        <v>1071154</v>
      </c>
      <c r="K1156" s="1" t="str">
        <f>TRIM(Cleaned_CRM_Data!H1156)</f>
        <v>Follow up</v>
      </c>
      <c r="L1156" t="str">
        <f>IFERROR(VLOOKUP(K1156, Status_Mapping!A:B, 2,), "Not Found")</f>
        <v>Follow Up</v>
      </c>
      <c r="N1156" s="29" t="str">
        <f>IF(M1156="","",M1156-B1156)</f>
        <v/>
      </c>
      <c r="O1156" s="1" t="str">
        <f t="shared" si="97"/>
        <v>Growth</v>
      </c>
      <c r="P1156" t="str">
        <f>TEXT(B1156, "mmmm")</f>
        <v>December</v>
      </c>
      <c r="Q1156" t="str">
        <f t="shared" si="98"/>
        <v>Q4</v>
      </c>
      <c r="R1156" t="str">
        <f>IFERROR(VLOOKUP(TRIM(CLEAN(G1156)),Sheet14!$A$2:$B$19,2,FALSE),"Not Mapped")</f>
        <v>West</v>
      </c>
    </row>
    <row r="1157" spans="1:18">
      <c r="A1157" t="str">
        <f t="shared" si="95"/>
        <v>EOS1156</v>
      </c>
      <c r="B1157" s="35">
        <v>46006</v>
      </c>
      <c r="C1157" s="4" t="s">
        <v>267</v>
      </c>
      <c r="D1157" s="1" t="str">
        <f t="shared" si="96"/>
        <v>FB</v>
      </c>
      <c r="E1157" s="5" t="s">
        <v>1724</v>
      </c>
      <c r="F1157" s="5" t="s">
        <v>518</v>
      </c>
      <c r="G1157" s="1" t="s">
        <v>224</v>
      </c>
      <c r="H1157" s="1" t="s">
        <v>69</v>
      </c>
      <c r="I1157" s="1">
        <v>108000</v>
      </c>
      <c r="J1157" s="45">
        <v>1071155</v>
      </c>
      <c r="K1157" s="1" t="str">
        <f>TRIM(Cleaned_CRM_Data!H1157)</f>
        <v>Follow up</v>
      </c>
      <c r="L1157" t="str">
        <f>IFERROR(VLOOKUP(K1157, Status_Mapping!A:B, 2,), "Not Found")</f>
        <v>Follow Up</v>
      </c>
      <c r="N1157" s="29" t="str">
        <f>IF(M1157="","",M1157-B1157)</f>
        <v/>
      </c>
      <c r="O1157" s="1" t="str">
        <f t="shared" si="97"/>
        <v>Starter</v>
      </c>
      <c r="P1157" t="str">
        <f>TEXT(B1157, "mmmm")</f>
        <v>December</v>
      </c>
      <c r="Q1157" t="str">
        <f t="shared" si="98"/>
        <v>Q4</v>
      </c>
      <c r="R1157" t="str">
        <f>IFERROR(VLOOKUP(TRIM(CLEAN(G1157)),Sheet14!$A$2:$B$19,2,FALSE),"Not Mapped")</f>
        <v>West</v>
      </c>
    </row>
    <row r="1158" spans="1:18">
      <c r="A1158" t="str">
        <f t="shared" si="95"/>
        <v>EOS1157</v>
      </c>
      <c r="B1158" s="35">
        <v>46006</v>
      </c>
      <c r="C1158" s="4" t="s">
        <v>267</v>
      </c>
      <c r="D1158" s="1" t="str">
        <f t="shared" si="96"/>
        <v>FB</v>
      </c>
      <c r="E1158" s="5" t="s">
        <v>1725</v>
      </c>
      <c r="F1158" s="1" t="s">
        <v>300</v>
      </c>
      <c r="G1158" s="1" t="s">
        <v>224</v>
      </c>
      <c r="H1158" s="1" t="s">
        <v>149</v>
      </c>
      <c r="I1158" s="1">
        <v>177000</v>
      </c>
      <c r="J1158" s="45">
        <v>1071156</v>
      </c>
      <c r="K1158" s="1" t="str">
        <f>TRIM(Cleaned_CRM_Data!H1158)</f>
        <v>Rejected</v>
      </c>
      <c r="L1158" t="str">
        <f>IFERROR(VLOOKUP(K1158, Status_Mapping!A:B, 2,), "Not Found")</f>
        <v>Rejected</v>
      </c>
      <c r="N1158" s="29" t="str">
        <f>IF(M1158="","",M1158-B1158)</f>
        <v/>
      </c>
      <c r="O1158" s="1" t="str">
        <f t="shared" si="97"/>
        <v>Growth</v>
      </c>
      <c r="P1158" t="str">
        <f>TEXT(B1158, "mmmm")</f>
        <v>December</v>
      </c>
      <c r="Q1158" t="str">
        <f t="shared" si="98"/>
        <v>Q4</v>
      </c>
      <c r="R1158" t="str">
        <f>IFERROR(VLOOKUP(TRIM(CLEAN(G1158)),Sheet14!$A$2:$B$19,2,FALSE),"Not Mapped")</f>
        <v>West</v>
      </c>
    </row>
    <row r="1159" spans="1:18">
      <c r="A1159" t="str">
        <f t="shared" si="95"/>
        <v>EOS1158</v>
      </c>
      <c r="B1159" s="35">
        <v>46006</v>
      </c>
      <c r="C1159" s="1" t="s">
        <v>1314</v>
      </c>
      <c r="D1159" s="1" t="str">
        <f t="shared" si="96"/>
        <v>Fb</v>
      </c>
      <c r="E1159" s="5" t="s">
        <v>1718</v>
      </c>
      <c r="F1159" s="1" t="s">
        <v>860</v>
      </c>
      <c r="G1159" s="1" t="s">
        <v>224</v>
      </c>
      <c r="H1159" s="1" t="s">
        <v>69</v>
      </c>
      <c r="I1159" s="1">
        <v>130000</v>
      </c>
      <c r="J1159" s="45">
        <v>1071157</v>
      </c>
      <c r="K1159" s="1" t="str">
        <f>TRIM(Cleaned_CRM_Data!H1159)</f>
        <v>Follow up</v>
      </c>
      <c r="L1159" t="str">
        <f>IFERROR(VLOOKUP(K1159, Status_Mapping!A:B, 2,), "Not Found")</f>
        <v>Follow Up</v>
      </c>
      <c r="N1159" s="29" t="str">
        <f>IF(M1159="","",M1159-B1159)</f>
        <v/>
      </c>
      <c r="O1159" s="1" t="str">
        <f t="shared" si="97"/>
        <v>Starter</v>
      </c>
      <c r="P1159" t="str">
        <f>TEXT(B1159, "mmmm")</f>
        <v>December</v>
      </c>
      <c r="Q1159" t="str">
        <f t="shared" si="98"/>
        <v>Q4</v>
      </c>
      <c r="R1159" t="str">
        <f>IFERROR(VLOOKUP(TRIM(CLEAN(G1159)),Sheet14!$A$2:$B$19,2,FALSE),"Not Mapped")</f>
        <v>West</v>
      </c>
    </row>
    <row r="1160" spans="1:18">
      <c r="A1160" t="str">
        <f t="shared" si="95"/>
        <v>EOS1159</v>
      </c>
      <c r="B1160" s="35">
        <v>46009</v>
      </c>
      <c r="C1160" s="4" t="s">
        <v>267</v>
      </c>
      <c r="D1160" s="1" t="str">
        <f t="shared" si="96"/>
        <v>FB</v>
      </c>
      <c r="E1160" s="5" t="s">
        <v>1726</v>
      </c>
      <c r="F1160" s="1" t="s">
        <v>324</v>
      </c>
      <c r="G1160" s="1" t="s">
        <v>224</v>
      </c>
      <c r="H1160" s="1" t="s">
        <v>149</v>
      </c>
      <c r="I1160" s="1">
        <v>130000</v>
      </c>
      <c r="J1160" s="45">
        <v>1071158</v>
      </c>
      <c r="K1160" s="1" t="str">
        <f>TRIM(Cleaned_CRM_Data!H1160)</f>
        <v>Rejected</v>
      </c>
      <c r="L1160" t="str">
        <f>IFERROR(VLOOKUP(K1160, Status_Mapping!A:B, 2,), "Not Found")</f>
        <v>Rejected</v>
      </c>
      <c r="N1160" s="29" t="str">
        <f>IF(M1160="","",M1160-B1160)</f>
        <v/>
      </c>
      <c r="O1160" s="1" t="str">
        <f t="shared" si="97"/>
        <v>Starter</v>
      </c>
      <c r="P1160" t="str">
        <f>TEXT(B1160, "mmmm")</f>
        <v>December</v>
      </c>
      <c r="Q1160" t="str">
        <f t="shared" si="98"/>
        <v>Q4</v>
      </c>
      <c r="R1160" t="str">
        <f>IFERROR(VLOOKUP(TRIM(CLEAN(G1160)),Sheet14!$A$2:$B$19,2,FALSE),"Not Mapped")</f>
        <v>West</v>
      </c>
    </row>
    <row r="1161" spans="1:18">
      <c r="A1161" t="str">
        <f t="shared" si="95"/>
        <v>EOS1160</v>
      </c>
      <c r="B1161" s="35">
        <v>46009</v>
      </c>
      <c r="C1161" s="1" t="s">
        <v>267</v>
      </c>
      <c r="D1161" s="1" t="str">
        <f t="shared" si="96"/>
        <v>FB</v>
      </c>
      <c r="E1161" s="1" t="s">
        <v>1253</v>
      </c>
      <c r="F1161" s="1" t="s">
        <v>1727</v>
      </c>
      <c r="G1161" s="1" t="s">
        <v>224</v>
      </c>
      <c r="H1161" s="1" t="s">
        <v>69</v>
      </c>
      <c r="I1161" s="1">
        <v>108000</v>
      </c>
      <c r="J1161" s="45">
        <v>1071159</v>
      </c>
      <c r="K1161" s="1" t="str">
        <f>TRIM(Cleaned_CRM_Data!H1161)</f>
        <v>Follow up</v>
      </c>
      <c r="L1161" t="str">
        <f>IFERROR(VLOOKUP(K1161, Status_Mapping!A:B, 2,), "Not Found")</f>
        <v>Follow Up</v>
      </c>
      <c r="N1161" s="29" t="str">
        <f>IF(M1161="","",M1161-B1161)</f>
        <v/>
      </c>
      <c r="O1161" s="1" t="str">
        <f t="shared" si="97"/>
        <v>Starter</v>
      </c>
      <c r="P1161" t="str">
        <f>TEXT(B1161, "mmmm")</f>
        <v>December</v>
      </c>
      <c r="Q1161" t="str">
        <f t="shared" si="98"/>
        <v>Q4</v>
      </c>
      <c r="R1161" t="str">
        <f>IFERROR(VLOOKUP(TRIM(CLEAN(G1161)),Sheet14!$A$2:$B$19,2,FALSE),"Not Mapped")</f>
        <v>West</v>
      </c>
    </row>
    <row r="1162" spans="1:18">
      <c r="A1162" t="str">
        <f t="shared" si="95"/>
        <v>EOS1161</v>
      </c>
      <c r="B1162" s="35">
        <v>46009</v>
      </c>
      <c r="C1162" s="4" t="s">
        <v>267</v>
      </c>
      <c r="D1162" s="1" t="str">
        <f t="shared" si="96"/>
        <v>FB</v>
      </c>
      <c r="E1162" s="5" t="s">
        <v>1728</v>
      </c>
      <c r="F1162" s="1" t="s">
        <v>275</v>
      </c>
      <c r="G1162" s="1" t="s">
        <v>224</v>
      </c>
      <c r="H1162" s="1" t="s">
        <v>69</v>
      </c>
      <c r="I1162" s="1">
        <v>130000</v>
      </c>
      <c r="J1162" s="45">
        <v>1071160</v>
      </c>
      <c r="K1162" s="1" t="str">
        <f>TRIM(Cleaned_CRM_Data!H1162)</f>
        <v>Follow up</v>
      </c>
      <c r="L1162" t="str">
        <f>IFERROR(VLOOKUP(K1162, Status_Mapping!A:B, 2,), "Not Found")</f>
        <v>Follow Up</v>
      </c>
      <c r="N1162" s="29" t="str">
        <f>IF(M1162="","",M1162-B1162)</f>
        <v/>
      </c>
      <c r="O1162" s="1" t="str">
        <f t="shared" si="97"/>
        <v>Starter</v>
      </c>
      <c r="P1162" t="str">
        <f>TEXT(B1162, "mmmm")</f>
        <v>December</v>
      </c>
      <c r="Q1162" t="str">
        <f t="shared" si="98"/>
        <v>Q4</v>
      </c>
      <c r="R1162" t="str">
        <f>IFERROR(VLOOKUP(TRIM(CLEAN(G1162)),Sheet14!$A$2:$B$19,2,FALSE),"Not Mapped")</f>
        <v>West</v>
      </c>
    </row>
    <row r="1163" spans="1:18">
      <c r="A1163" t="str">
        <f t="shared" si="95"/>
        <v>EOS1162</v>
      </c>
      <c r="B1163" s="35">
        <v>46010</v>
      </c>
      <c r="C1163" s="4" t="s">
        <v>267</v>
      </c>
      <c r="D1163" s="1" t="str">
        <f t="shared" si="96"/>
        <v>FB</v>
      </c>
      <c r="E1163" s="5" t="s">
        <v>1729</v>
      </c>
      <c r="F1163" s="1" t="s">
        <v>1730</v>
      </c>
      <c r="G1163" s="1" t="s">
        <v>224</v>
      </c>
      <c r="H1163" s="1" t="s">
        <v>69</v>
      </c>
      <c r="I1163" s="1">
        <v>177000</v>
      </c>
      <c r="J1163" s="45">
        <v>1071161</v>
      </c>
      <c r="K1163" s="1" t="str">
        <f>TRIM(Cleaned_CRM_Data!H1163)</f>
        <v>Follow up</v>
      </c>
      <c r="L1163" t="str">
        <f>IFERROR(VLOOKUP(K1163, Status_Mapping!A:B, 2,), "Not Found")</f>
        <v>Follow Up</v>
      </c>
      <c r="N1163" s="29" t="str">
        <f>IF(M1163="","",M1163-B1163)</f>
        <v/>
      </c>
      <c r="O1163" s="1" t="str">
        <f t="shared" si="97"/>
        <v>Growth</v>
      </c>
      <c r="P1163" t="str">
        <f>TEXT(B1163, "mmmm")</f>
        <v>December</v>
      </c>
      <c r="Q1163" t="str">
        <f t="shared" si="98"/>
        <v>Q4</v>
      </c>
      <c r="R1163" t="str">
        <f>IFERROR(VLOOKUP(TRIM(CLEAN(G1163)),Sheet14!$A$2:$B$19,2,FALSE),"Not Mapped")</f>
        <v>West</v>
      </c>
    </row>
    <row r="1164" spans="1:18">
      <c r="A1164" t="str">
        <f t="shared" si="95"/>
        <v>EOS1163</v>
      </c>
      <c r="B1164" s="35">
        <v>46010</v>
      </c>
      <c r="C1164" s="4" t="s">
        <v>267</v>
      </c>
      <c r="D1164" s="1" t="str">
        <f t="shared" si="96"/>
        <v>FB</v>
      </c>
      <c r="E1164" s="1" t="s">
        <v>1731</v>
      </c>
      <c r="F1164" s="1" t="s">
        <v>333</v>
      </c>
      <c r="G1164" s="1" t="s">
        <v>224</v>
      </c>
      <c r="H1164" s="1" t="s">
        <v>69</v>
      </c>
      <c r="I1164" s="1">
        <v>130000</v>
      </c>
      <c r="J1164" s="45">
        <v>1071162</v>
      </c>
      <c r="K1164" s="1" t="str">
        <f>TRIM(Cleaned_CRM_Data!H1164)</f>
        <v>Follow up</v>
      </c>
      <c r="L1164" t="str">
        <f>IFERROR(VLOOKUP(K1164, Status_Mapping!A:B, 2,), "Not Found")</f>
        <v>Follow Up</v>
      </c>
      <c r="N1164" s="29" t="str">
        <f>IF(M1164="","",M1164-B1164)</f>
        <v/>
      </c>
      <c r="O1164" s="1" t="str">
        <f t="shared" si="97"/>
        <v>Starter</v>
      </c>
      <c r="P1164" t="str">
        <f>TEXT(B1164, "mmmm")</f>
        <v>December</v>
      </c>
      <c r="Q1164" t="str">
        <f t="shared" si="98"/>
        <v>Q4</v>
      </c>
      <c r="R1164" t="str">
        <f>IFERROR(VLOOKUP(TRIM(CLEAN(G1164)),Sheet14!$A$2:$B$19,2,FALSE),"Not Mapped")</f>
        <v>West</v>
      </c>
    </row>
    <row r="1165" spans="1:18">
      <c r="A1165" t="str">
        <f t="shared" si="95"/>
        <v>EOS1164</v>
      </c>
      <c r="B1165" s="35">
        <v>46010</v>
      </c>
      <c r="C1165" s="4" t="s">
        <v>267</v>
      </c>
      <c r="D1165" s="1" t="str">
        <f t="shared" si="96"/>
        <v>FB</v>
      </c>
      <c r="E1165" s="5" t="s">
        <v>1732</v>
      </c>
      <c r="F1165" s="1" t="s">
        <v>275</v>
      </c>
      <c r="G1165" s="1" t="s">
        <v>224</v>
      </c>
      <c r="H1165" s="1" t="s">
        <v>69</v>
      </c>
      <c r="I1165" s="1">
        <v>130000</v>
      </c>
      <c r="J1165" s="45">
        <v>1071163</v>
      </c>
      <c r="K1165" s="1" t="str">
        <f>TRIM(Cleaned_CRM_Data!H1165)</f>
        <v>Follow up</v>
      </c>
      <c r="L1165" t="str">
        <f>IFERROR(VLOOKUP(K1165, Status_Mapping!A:B, 2,), "Not Found")</f>
        <v>Follow Up</v>
      </c>
      <c r="N1165" s="29" t="str">
        <f>IF(M1165="","",M1165-B1165)</f>
        <v/>
      </c>
      <c r="O1165" s="1" t="str">
        <f t="shared" si="97"/>
        <v>Starter</v>
      </c>
      <c r="P1165" t="str">
        <f>TEXT(B1165, "mmmm")</f>
        <v>December</v>
      </c>
      <c r="Q1165" t="str">
        <f t="shared" si="98"/>
        <v>Q4</v>
      </c>
      <c r="R1165" t="str">
        <f>IFERROR(VLOOKUP(TRIM(CLEAN(G1165)),Sheet14!$A$2:$B$19,2,FALSE),"Not Mapped")</f>
        <v>West</v>
      </c>
    </row>
    <row r="1166" spans="1:18">
      <c r="A1166" t="str">
        <f t="shared" si="95"/>
        <v>EOS1165</v>
      </c>
      <c r="B1166" s="35">
        <v>46011</v>
      </c>
      <c r="C1166" s="4" t="s">
        <v>267</v>
      </c>
      <c r="D1166" s="1" t="str">
        <f t="shared" si="96"/>
        <v>FB</v>
      </c>
      <c r="E1166" s="5" t="s">
        <v>1733</v>
      </c>
      <c r="F1166" s="1" t="s">
        <v>275</v>
      </c>
      <c r="G1166" s="1" t="s">
        <v>224</v>
      </c>
      <c r="H1166" s="1" t="s">
        <v>69</v>
      </c>
      <c r="I1166" s="1">
        <v>177000</v>
      </c>
      <c r="J1166" s="45">
        <v>1071164</v>
      </c>
      <c r="K1166" s="1" t="str">
        <f>TRIM(Cleaned_CRM_Data!H1166)</f>
        <v>Follow up</v>
      </c>
      <c r="L1166" t="str">
        <f>IFERROR(VLOOKUP(K1166, Status_Mapping!A:B, 2,), "Not Found")</f>
        <v>Follow Up</v>
      </c>
      <c r="N1166" s="29" t="str">
        <f>IF(M1166="","",M1166-B1166)</f>
        <v/>
      </c>
      <c r="O1166" s="1" t="str">
        <f t="shared" si="97"/>
        <v>Growth</v>
      </c>
      <c r="P1166" t="str">
        <f>TEXT(B1166, "mmmm")</f>
        <v>December</v>
      </c>
      <c r="Q1166" t="str">
        <f t="shared" si="98"/>
        <v>Q4</v>
      </c>
      <c r="R1166" t="str">
        <f>IFERROR(VLOOKUP(TRIM(CLEAN(G1166)),Sheet14!$A$2:$B$19,2,FALSE),"Not Mapped")</f>
        <v>West</v>
      </c>
    </row>
    <row r="1167" spans="1:18">
      <c r="A1167" t="str">
        <f t="shared" si="95"/>
        <v>EOS1166</v>
      </c>
      <c r="B1167" s="35">
        <v>46014</v>
      </c>
      <c r="C1167" s="4" t="s">
        <v>267</v>
      </c>
      <c r="D1167" s="1" t="str">
        <f t="shared" si="96"/>
        <v>FB</v>
      </c>
      <c r="E1167" s="5" t="s">
        <v>1734</v>
      </c>
      <c r="F1167" s="1" t="s">
        <v>778</v>
      </c>
      <c r="G1167" s="1" t="s">
        <v>224</v>
      </c>
      <c r="H1167" s="1" t="s">
        <v>69</v>
      </c>
      <c r="I1167" s="1">
        <v>130000</v>
      </c>
      <c r="J1167" s="45">
        <v>1071165</v>
      </c>
      <c r="K1167" s="1" t="str">
        <f>TRIM(Cleaned_CRM_Data!H1167)</f>
        <v>Follow up</v>
      </c>
      <c r="L1167" t="str">
        <f>IFERROR(VLOOKUP(K1167, Status_Mapping!A:B, 2,), "Not Found")</f>
        <v>Follow Up</v>
      </c>
      <c r="N1167" s="29" t="str">
        <f>IF(M1167="","",M1167-B1167)</f>
        <v/>
      </c>
      <c r="O1167" s="1" t="str">
        <f t="shared" si="97"/>
        <v>Starter</v>
      </c>
      <c r="P1167" t="str">
        <f>TEXT(B1167, "mmmm")</f>
        <v>December</v>
      </c>
      <c r="Q1167" t="str">
        <f t="shared" si="98"/>
        <v>Q4</v>
      </c>
      <c r="R1167" t="str">
        <f>IFERROR(VLOOKUP(TRIM(CLEAN(G1167)),Sheet14!$A$2:$B$19,2,FALSE),"Not Mapped")</f>
        <v>West</v>
      </c>
    </row>
    <row r="1168" spans="1:18">
      <c r="A1168" t="str">
        <f t="shared" si="95"/>
        <v>EOS1167</v>
      </c>
      <c r="B1168" s="35">
        <v>46014</v>
      </c>
      <c r="C1168" s="4" t="s">
        <v>267</v>
      </c>
      <c r="D1168" s="1" t="str">
        <f t="shared" si="96"/>
        <v>FB</v>
      </c>
      <c r="E1168" s="5" t="s">
        <v>1735</v>
      </c>
      <c r="F1168" s="1" t="s">
        <v>1736</v>
      </c>
      <c r="G1168" s="1" t="s">
        <v>224</v>
      </c>
      <c r="H1168" s="1" t="s">
        <v>69</v>
      </c>
      <c r="I1168" s="1">
        <v>108000</v>
      </c>
      <c r="J1168" s="45">
        <v>1071166</v>
      </c>
      <c r="K1168" s="1" t="str">
        <f>TRIM(Cleaned_CRM_Data!H1168)</f>
        <v>Follow up</v>
      </c>
      <c r="L1168" t="str">
        <f>IFERROR(VLOOKUP(K1168, Status_Mapping!A:B, 2,), "Not Found")</f>
        <v>Follow Up</v>
      </c>
      <c r="N1168" s="29" t="str">
        <f>IF(M1168="","",M1168-B1168)</f>
        <v/>
      </c>
      <c r="O1168" s="1" t="str">
        <f t="shared" si="97"/>
        <v>Starter</v>
      </c>
      <c r="P1168" t="str">
        <f>TEXT(B1168, "mmmm")</f>
        <v>December</v>
      </c>
      <c r="Q1168" t="str">
        <f t="shared" si="98"/>
        <v>Q4</v>
      </c>
      <c r="R1168" t="str">
        <f>IFERROR(VLOOKUP(TRIM(CLEAN(G1168)),Sheet14!$A$2:$B$19,2,FALSE),"Not Mapped")</f>
        <v>West</v>
      </c>
    </row>
    <row r="1169" spans="1:18">
      <c r="A1169" t="str">
        <f t="shared" si="95"/>
        <v>EOS1168</v>
      </c>
      <c r="B1169" s="35">
        <v>46014</v>
      </c>
      <c r="C1169" s="4" t="s">
        <v>267</v>
      </c>
      <c r="D1169" s="1" t="str">
        <f t="shared" si="96"/>
        <v>FB</v>
      </c>
      <c r="E1169" s="5" t="s">
        <v>1737</v>
      </c>
      <c r="F1169" s="1" t="s">
        <v>661</v>
      </c>
      <c r="G1169" s="1" t="s">
        <v>224</v>
      </c>
      <c r="H1169" s="1" t="s">
        <v>69</v>
      </c>
      <c r="I1169" s="1">
        <v>130000</v>
      </c>
      <c r="J1169" s="45">
        <v>1071167</v>
      </c>
      <c r="K1169" s="1" t="str">
        <f>TRIM(Cleaned_CRM_Data!H1169)</f>
        <v>Follow up</v>
      </c>
      <c r="L1169" t="str">
        <f>IFERROR(VLOOKUP(K1169, Status_Mapping!A:B, 2,), "Not Found")</f>
        <v>Follow Up</v>
      </c>
      <c r="N1169" s="29" t="str">
        <f>IF(M1169="","",M1169-B1169)</f>
        <v/>
      </c>
      <c r="O1169" s="1" t="str">
        <f t="shared" si="97"/>
        <v>Starter</v>
      </c>
      <c r="P1169" t="str">
        <f>TEXT(B1169, "mmmm")</f>
        <v>December</v>
      </c>
      <c r="Q1169" t="str">
        <f t="shared" si="98"/>
        <v>Q4</v>
      </c>
      <c r="R1169" t="str">
        <f>IFERROR(VLOOKUP(TRIM(CLEAN(G1169)),Sheet14!$A$2:$B$19,2,FALSE),"Not Mapped")</f>
        <v>West</v>
      </c>
    </row>
    <row r="1170" spans="1:18">
      <c r="A1170" t="str">
        <f t="shared" si="95"/>
        <v>EOS1169</v>
      </c>
      <c r="B1170" s="35">
        <v>46014</v>
      </c>
      <c r="C1170" s="4" t="s">
        <v>267</v>
      </c>
      <c r="D1170" s="1" t="str">
        <f t="shared" si="96"/>
        <v>FB</v>
      </c>
      <c r="E1170" s="5" t="s">
        <v>1738</v>
      </c>
      <c r="F1170" s="1"/>
      <c r="G1170" s="1" t="s">
        <v>224</v>
      </c>
      <c r="H1170" s="1" t="s">
        <v>69</v>
      </c>
      <c r="I1170" s="1">
        <v>177000</v>
      </c>
      <c r="J1170" s="45">
        <v>1071168</v>
      </c>
      <c r="K1170" s="1" t="str">
        <f>TRIM(Cleaned_CRM_Data!H1170)</f>
        <v>Follow up</v>
      </c>
      <c r="L1170" t="str">
        <f>IFERROR(VLOOKUP(K1170, Status_Mapping!A:B, 2,), "Not Found")</f>
        <v>Follow Up</v>
      </c>
      <c r="N1170" s="29" t="str">
        <f>IF(M1170="","",M1170-B1170)</f>
        <v/>
      </c>
      <c r="O1170" s="1" t="str">
        <f t="shared" si="97"/>
        <v>Growth</v>
      </c>
      <c r="P1170" t="str">
        <f>TEXT(B1170, "mmmm")</f>
        <v>December</v>
      </c>
      <c r="Q1170" t="str">
        <f t="shared" si="98"/>
        <v>Q4</v>
      </c>
      <c r="R1170" t="str">
        <f>IFERROR(VLOOKUP(TRIM(CLEAN(G1170)),Sheet14!$A$2:$B$19,2,FALSE),"Not Mapped")</f>
        <v>West</v>
      </c>
    </row>
    <row r="1171" spans="1:18">
      <c r="A1171" t="str">
        <f t="shared" si="95"/>
        <v>EOS1170</v>
      </c>
      <c r="B1171" s="35">
        <v>46014</v>
      </c>
      <c r="C1171" s="4" t="s">
        <v>267</v>
      </c>
      <c r="D1171" s="1" t="str">
        <f t="shared" si="96"/>
        <v>FB</v>
      </c>
      <c r="E1171" s="5" t="s">
        <v>284</v>
      </c>
      <c r="F1171" s="1" t="s">
        <v>275</v>
      </c>
      <c r="G1171" s="1" t="s">
        <v>224</v>
      </c>
      <c r="H1171" s="1" t="s">
        <v>69</v>
      </c>
      <c r="I1171" s="1">
        <v>130000</v>
      </c>
      <c r="J1171" s="45">
        <v>1071169</v>
      </c>
      <c r="K1171" s="1" t="str">
        <f>TRIM(Cleaned_CRM_Data!H1171)</f>
        <v>Follow up</v>
      </c>
      <c r="L1171" t="str">
        <f>IFERROR(VLOOKUP(K1171, Status_Mapping!A:B, 2,), "Not Found")</f>
        <v>Follow Up</v>
      </c>
      <c r="N1171" s="29" t="str">
        <f>IF(M1171="","",M1171-B1171)</f>
        <v/>
      </c>
      <c r="O1171" s="1" t="str">
        <f t="shared" si="97"/>
        <v>Starter</v>
      </c>
      <c r="P1171" t="str">
        <f>TEXT(B1171, "mmmm")</f>
        <v>December</v>
      </c>
      <c r="Q1171" t="str">
        <f t="shared" si="98"/>
        <v>Q4</v>
      </c>
      <c r="R1171" t="str">
        <f>IFERROR(VLOOKUP(TRIM(CLEAN(G1171)),Sheet14!$A$2:$B$19,2,FALSE),"Not Mapped")</f>
        <v>West</v>
      </c>
    </row>
    <row r="1172" spans="1:18">
      <c r="A1172" t="str">
        <f t="shared" si="95"/>
        <v>EOS1171</v>
      </c>
      <c r="B1172" s="35">
        <v>46020</v>
      </c>
      <c r="C1172" s="4" t="s">
        <v>267</v>
      </c>
      <c r="D1172" s="1" t="str">
        <f t="shared" si="96"/>
        <v>FB</v>
      </c>
      <c r="E1172" s="5" t="s">
        <v>1739</v>
      </c>
      <c r="F1172" s="5" t="s">
        <v>304</v>
      </c>
      <c r="G1172" s="1" t="s">
        <v>224</v>
      </c>
      <c r="H1172" s="1" t="s">
        <v>149</v>
      </c>
      <c r="I1172" s="1">
        <v>177000</v>
      </c>
      <c r="J1172" s="45">
        <v>1071170</v>
      </c>
      <c r="K1172" s="1" t="str">
        <f>TRIM(Cleaned_CRM_Data!H1172)</f>
        <v>Rejected</v>
      </c>
      <c r="L1172" t="str">
        <f>IFERROR(VLOOKUP(K1172, Status_Mapping!A:B, 2,), "Not Found")</f>
        <v>Rejected</v>
      </c>
      <c r="N1172" s="29" t="str">
        <f>IF(M1172="","",M1172-B1172)</f>
        <v/>
      </c>
      <c r="O1172" s="1" t="str">
        <f t="shared" si="97"/>
        <v>Growth</v>
      </c>
      <c r="P1172" t="str">
        <f>TEXT(B1172, "mmmm")</f>
        <v>December</v>
      </c>
      <c r="Q1172" t="str">
        <f t="shared" si="98"/>
        <v>Q4</v>
      </c>
      <c r="R1172" t="str">
        <f>IFERROR(VLOOKUP(TRIM(CLEAN(G1172)),Sheet14!$A$2:$B$19,2,FALSE),"Not Mapped")</f>
        <v>West</v>
      </c>
    </row>
    <row r="1173" spans="1:18">
      <c r="A1173" t="str">
        <f t="shared" si="95"/>
        <v>EOS1172</v>
      </c>
      <c r="B1173" s="35">
        <v>46020</v>
      </c>
      <c r="C1173" s="1" t="s">
        <v>267</v>
      </c>
      <c r="D1173" s="1" t="str">
        <f t="shared" si="96"/>
        <v>FB</v>
      </c>
      <c r="E1173" s="5" t="s">
        <v>1740</v>
      </c>
      <c r="F1173" s="1" t="s">
        <v>778</v>
      </c>
      <c r="G1173" s="1" t="s">
        <v>224</v>
      </c>
      <c r="H1173" s="1" t="s">
        <v>69</v>
      </c>
      <c r="I1173" s="1">
        <v>130000</v>
      </c>
      <c r="J1173" s="45">
        <v>1071171</v>
      </c>
      <c r="K1173" s="1" t="str">
        <f>TRIM(Cleaned_CRM_Data!H1173)</f>
        <v>Follow up</v>
      </c>
      <c r="L1173" t="str">
        <f>IFERROR(VLOOKUP(K1173, Status_Mapping!A:B, 2,), "Not Found")</f>
        <v>Follow Up</v>
      </c>
      <c r="N1173" s="29" t="str">
        <f>IF(M1173="","",M1173-B1173)</f>
        <v/>
      </c>
      <c r="O1173" s="1" t="str">
        <f t="shared" si="97"/>
        <v>Starter</v>
      </c>
      <c r="P1173" t="str">
        <f>TEXT(B1173, "mmmm")</f>
        <v>December</v>
      </c>
      <c r="Q1173" t="str">
        <f t="shared" si="98"/>
        <v>Q4</v>
      </c>
      <c r="R1173" t="str">
        <f>IFERROR(VLOOKUP(TRIM(CLEAN(G1173)),Sheet14!$A$2:$B$19,2,FALSE),"Not Mapped")</f>
        <v>West</v>
      </c>
    </row>
    <row r="1174" spans="1:18">
      <c r="A1174" t="str">
        <f t="shared" si="95"/>
        <v>EOS1173</v>
      </c>
      <c r="B1174" s="35">
        <v>46020</v>
      </c>
      <c r="C1174" s="4" t="s">
        <v>267</v>
      </c>
      <c r="D1174" s="1" t="str">
        <f t="shared" si="96"/>
        <v>FB</v>
      </c>
      <c r="E1174" s="5" t="s">
        <v>1741</v>
      </c>
      <c r="F1174" s="5" t="s">
        <v>281</v>
      </c>
      <c r="G1174" s="1" t="s">
        <v>224</v>
      </c>
      <c r="H1174" s="1" t="s">
        <v>69</v>
      </c>
      <c r="I1174" s="1">
        <v>108000</v>
      </c>
      <c r="J1174" s="45">
        <v>1071172</v>
      </c>
      <c r="K1174" s="1" t="str">
        <f>TRIM(Cleaned_CRM_Data!H1174)</f>
        <v>Follow up</v>
      </c>
      <c r="L1174" t="str">
        <f>IFERROR(VLOOKUP(K1174, Status_Mapping!A:B, 2,), "Not Found")</f>
        <v>Follow Up</v>
      </c>
      <c r="N1174" s="29" t="str">
        <f>IF(M1174="","",M1174-B1174)</f>
        <v/>
      </c>
      <c r="O1174" s="1" t="str">
        <f t="shared" si="97"/>
        <v>Starter</v>
      </c>
      <c r="P1174" t="str">
        <f>TEXT(B1174, "mmmm")</f>
        <v>December</v>
      </c>
      <c r="Q1174" t="str">
        <f t="shared" si="98"/>
        <v>Q4</v>
      </c>
      <c r="R1174" t="str">
        <f>IFERROR(VLOOKUP(TRIM(CLEAN(G1174)),Sheet14!$A$2:$B$19,2,FALSE),"Not Mapped")</f>
        <v>West</v>
      </c>
    </row>
    <row r="1175" spans="1:18">
      <c r="A1175" t="str">
        <f t="shared" si="95"/>
        <v>EOS1174</v>
      </c>
      <c r="B1175" s="35">
        <v>46020</v>
      </c>
      <c r="C1175" s="4" t="s">
        <v>267</v>
      </c>
      <c r="D1175" s="1" t="str">
        <f t="shared" si="96"/>
        <v>FB</v>
      </c>
      <c r="E1175" s="1" t="s">
        <v>1742</v>
      </c>
      <c r="F1175" s="1" t="s">
        <v>1743</v>
      </c>
      <c r="G1175" s="1" t="s">
        <v>237</v>
      </c>
      <c r="H1175" s="1" t="s">
        <v>149</v>
      </c>
      <c r="I1175" s="1">
        <v>108000</v>
      </c>
      <c r="J1175" s="45">
        <v>1071173</v>
      </c>
      <c r="K1175" s="1" t="str">
        <f>TRIM(Cleaned_CRM_Data!H1175)</f>
        <v>Rejected</v>
      </c>
      <c r="L1175" t="str">
        <f>IFERROR(VLOOKUP(K1175, Status_Mapping!A:B, 2,), "Not Found")</f>
        <v>Rejected</v>
      </c>
      <c r="N1175" s="29" t="str">
        <f>IF(M1175="","",M1175-B1175)</f>
        <v/>
      </c>
      <c r="O1175" s="1" t="str">
        <f t="shared" si="97"/>
        <v>Starter</v>
      </c>
      <c r="P1175" t="str">
        <f>TEXT(B1175, "mmmm")</f>
        <v>December</v>
      </c>
      <c r="Q1175" t="str">
        <f t="shared" si="98"/>
        <v>Q4</v>
      </c>
      <c r="R1175" t="str">
        <f>IFERROR(VLOOKUP(TRIM(CLEAN(G1175)),Sheet14!$A$2:$B$19,2,FALSE),"Not Mapped")</f>
        <v>North</v>
      </c>
    </row>
    <row r="1176" spans="1:18">
      <c r="A1176" t="str">
        <f t="shared" si="95"/>
        <v>EOS1175</v>
      </c>
      <c r="B1176" s="35">
        <v>46024</v>
      </c>
      <c r="C1176" s="1" t="s">
        <v>267</v>
      </c>
      <c r="D1176" s="1" t="str">
        <f t="shared" si="96"/>
        <v>FB</v>
      </c>
      <c r="E1176" s="5" t="s">
        <v>1744</v>
      </c>
      <c r="F1176" s="1" t="s">
        <v>778</v>
      </c>
      <c r="G1176" s="1" t="s">
        <v>224</v>
      </c>
      <c r="H1176" s="1" t="s">
        <v>149</v>
      </c>
      <c r="I1176" s="1">
        <v>130000</v>
      </c>
      <c r="J1176" s="45">
        <v>1071174</v>
      </c>
      <c r="K1176" s="1" t="str">
        <f>TRIM(Cleaned_CRM_Data!H1176)</f>
        <v>Rejected</v>
      </c>
      <c r="L1176" t="str">
        <f>IFERROR(VLOOKUP(K1176, Status_Mapping!A:B, 2,), "Not Found")</f>
        <v>Rejected</v>
      </c>
      <c r="N1176" s="29" t="str">
        <f>IF(M1176="","",M1176-B1176)</f>
        <v/>
      </c>
      <c r="O1176" s="1" t="str">
        <f t="shared" si="97"/>
        <v>Starter</v>
      </c>
      <c r="P1176" t="str">
        <f>TEXT(B1176, "mmmm")</f>
        <v>January</v>
      </c>
      <c r="Q1176" t="str">
        <f t="shared" si="98"/>
        <v>Q1</v>
      </c>
      <c r="R1176" t="str">
        <f>IFERROR(VLOOKUP(TRIM(CLEAN(G1176)),Sheet14!$A$2:$B$19,2,FALSE),"Not Mapped")</f>
        <v>West</v>
      </c>
    </row>
    <row r="1177" spans="1:18">
      <c r="A1177" t="str">
        <f t="shared" si="95"/>
        <v>EOS1176</v>
      </c>
      <c r="B1177" s="35">
        <v>46024</v>
      </c>
      <c r="C1177" s="1" t="s">
        <v>267</v>
      </c>
      <c r="D1177" s="1" t="str">
        <f t="shared" si="96"/>
        <v>FB</v>
      </c>
      <c r="E1177" s="5" t="s">
        <v>1745</v>
      </c>
      <c r="F1177" s="1" t="s">
        <v>1746</v>
      </c>
      <c r="G1177" s="1" t="s">
        <v>224</v>
      </c>
      <c r="H1177" s="1" t="s">
        <v>149</v>
      </c>
      <c r="I1177" s="1">
        <v>130000</v>
      </c>
      <c r="J1177" s="45">
        <v>1071175</v>
      </c>
      <c r="K1177" s="1" t="str">
        <f>TRIM(Cleaned_CRM_Data!H1177)</f>
        <v>Rejected</v>
      </c>
      <c r="L1177" t="str">
        <f>IFERROR(VLOOKUP(K1177, Status_Mapping!A:B, 2,), "Not Found")</f>
        <v>Rejected</v>
      </c>
      <c r="N1177" s="29" t="str">
        <f>IF(M1177="","",M1177-B1177)</f>
        <v/>
      </c>
      <c r="O1177" s="1" t="str">
        <f t="shared" si="97"/>
        <v>Starter</v>
      </c>
      <c r="P1177" t="str">
        <f>TEXT(B1177, "mmmm")</f>
        <v>January</v>
      </c>
      <c r="Q1177" t="str">
        <f t="shared" si="98"/>
        <v>Q1</v>
      </c>
      <c r="R1177" t="str">
        <f>IFERROR(VLOOKUP(TRIM(CLEAN(G1177)),Sheet14!$A$2:$B$19,2,FALSE),"Not Mapped")</f>
        <v>West</v>
      </c>
    </row>
    <row r="1178" spans="1:18">
      <c r="A1178" t="str">
        <f t="shared" si="95"/>
        <v>EOS1177</v>
      </c>
      <c r="B1178" s="35">
        <v>46024</v>
      </c>
      <c r="C1178" s="1" t="s">
        <v>267</v>
      </c>
      <c r="D1178" s="1" t="str">
        <f t="shared" si="96"/>
        <v>FB</v>
      </c>
      <c r="E1178" s="5" t="s">
        <v>1747</v>
      </c>
      <c r="F1178" s="1" t="s">
        <v>326</v>
      </c>
      <c r="G1178" s="1" t="s">
        <v>224</v>
      </c>
      <c r="H1178" s="1" t="s">
        <v>69</v>
      </c>
      <c r="I1178" s="1">
        <v>130000</v>
      </c>
      <c r="J1178" s="45">
        <v>1071176</v>
      </c>
      <c r="K1178" s="1" t="str">
        <f>TRIM(Cleaned_CRM_Data!H1178)</f>
        <v>Follow up</v>
      </c>
      <c r="L1178" t="str">
        <f>IFERROR(VLOOKUP(K1178, Status_Mapping!A:B, 2,), "Not Found")</f>
        <v>Follow Up</v>
      </c>
      <c r="N1178" s="29" t="str">
        <f>IF(M1178="","",M1178-B1178)</f>
        <v/>
      </c>
      <c r="O1178" s="1" t="str">
        <f t="shared" si="97"/>
        <v>Starter</v>
      </c>
      <c r="P1178" t="str">
        <f>TEXT(B1178, "mmmm")</f>
        <v>January</v>
      </c>
      <c r="Q1178" t="str">
        <f t="shared" si="98"/>
        <v>Q1</v>
      </c>
      <c r="R1178" t="str">
        <f>IFERROR(VLOOKUP(TRIM(CLEAN(G1178)),Sheet14!$A$2:$B$19,2,FALSE),"Not Mapped")</f>
        <v>West</v>
      </c>
    </row>
    <row r="1179" spans="1:18">
      <c r="A1179" t="str">
        <f t="shared" si="95"/>
        <v>EOS1178</v>
      </c>
      <c r="B1179" s="35">
        <v>46024</v>
      </c>
      <c r="C1179" s="4" t="s">
        <v>267</v>
      </c>
      <c r="D1179" s="1" t="str">
        <f t="shared" si="96"/>
        <v>FB</v>
      </c>
      <c r="E1179" s="5" t="s">
        <v>1748</v>
      </c>
      <c r="F1179" s="1" t="s">
        <v>415</v>
      </c>
      <c r="G1179" s="1" t="s">
        <v>1195</v>
      </c>
      <c r="H1179" s="1" t="s">
        <v>149</v>
      </c>
      <c r="I1179" s="1">
        <v>108000</v>
      </c>
      <c r="J1179" s="45">
        <v>1071177</v>
      </c>
      <c r="K1179" s="1" t="str">
        <f>TRIM(Cleaned_CRM_Data!H1179)</f>
        <v>Rejected</v>
      </c>
      <c r="L1179" t="str">
        <f>IFERROR(VLOOKUP(K1179, Status_Mapping!A:B, 2,), "Not Found")</f>
        <v>Rejected</v>
      </c>
      <c r="N1179" s="29" t="str">
        <f>IF(M1179="","",M1179-B1179)</f>
        <v/>
      </c>
      <c r="O1179" s="1" t="str">
        <f t="shared" si="97"/>
        <v>Starter</v>
      </c>
      <c r="P1179" t="str">
        <f>TEXT(B1179, "mmmm")</f>
        <v>January</v>
      </c>
      <c r="Q1179" t="str">
        <f t="shared" si="98"/>
        <v>Q1</v>
      </c>
      <c r="R1179" t="str">
        <f>IFERROR(VLOOKUP(TRIM(CLEAN(G1179)),Sheet14!$A$2:$B$19,2,FALSE),"Not Mapped")</f>
        <v>West</v>
      </c>
    </row>
    <row r="1180" spans="1:18">
      <c r="A1180" t="str">
        <f t="shared" si="95"/>
        <v>EOS1179</v>
      </c>
      <c r="B1180" s="35">
        <v>46024</v>
      </c>
      <c r="C1180" s="1" t="s">
        <v>267</v>
      </c>
      <c r="D1180" s="1" t="str">
        <f t="shared" si="96"/>
        <v>FB</v>
      </c>
      <c r="E1180" s="5" t="s">
        <v>1749</v>
      </c>
      <c r="F1180" s="1" t="s">
        <v>271</v>
      </c>
      <c r="G1180" s="1" t="s">
        <v>224</v>
      </c>
      <c r="H1180" s="1" t="s">
        <v>69</v>
      </c>
      <c r="I1180" s="1">
        <v>108000</v>
      </c>
      <c r="J1180" s="45">
        <v>1071178</v>
      </c>
      <c r="K1180" s="1" t="str">
        <f>TRIM(Cleaned_CRM_Data!H1180)</f>
        <v>Follow up</v>
      </c>
      <c r="L1180" t="str">
        <f>IFERROR(VLOOKUP(K1180, Status_Mapping!A:B, 2,), "Not Found")</f>
        <v>Follow Up</v>
      </c>
      <c r="N1180" s="29" t="str">
        <f>IF(M1180="","",M1180-B1180)</f>
        <v/>
      </c>
      <c r="O1180" s="1" t="str">
        <f t="shared" si="97"/>
        <v>Starter</v>
      </c>
      <c r="P1180" t="str">
        <f>TEXT(B1180, "mmmm")</f>
        <v>January</v>
      </c>
      <c r="Q1180" t="str">
        <f t="shared" si="98"/>
        <v>Q1</v>
      </c>
      <c r="R1180" t="str">
        <f>IFERROR(VLOOKUP(TRIM(CLEAN(G1180)),Sheet14!$A$2:$B$19,2,FALSE),"Not Mapped")</f>
        <v>West</v>
      </c>
    </row>
    <row r="1181" spans="1:18">
      <c r="A1181" t="str">
        <f t="shared" si="95"/>
        <v>EOS1180</v>
      </c>
      <c r="B1181" s="35">
        <v>46024</v>
      </c>
      <c r="C1181" s="4" t="s">
        <v>267</v>
      </c>
      <c r="D1181" s="1" t="str">
        <f t="shared" si="96"/>
        <v>FB</v>
      </c>
      <c r="E1181" s="5" t="s">
        <v>1750</v>
      </c>
      <c r="F1181" s="1" t="s">
        <v>1334</v>
      </c>
      <c r="G1181" s="1" t="s">
        <v>224</v>
      </c>
      <c r="H1181" s="1" t="s">
        <v>149</v>
      </c>
      <c r="I1181" s="1">
        <v>108000</v>
      </c>
      <c r="J1181" s="45">
        <v>1071179</v>
      </c>
      <c r="K1181" s="1" t="str">
        <f>TRIM(Cleaned_CRM_Data!H1181)</f>
        <v>Rejected</v>
      </c>
      <c r="L1181" t="str">
        <f>IFERROR(VLOOKUP(K1181, Status_Mapping!A:B, 2,), "Not Found")</f>
        <v>Rejected</v>
      </c>
      <c r="N1181" s="29" t="str">
        <f>IF(M1181="","",M1181-B1181)</f>
        <v/>
      </c>
      <c r="O1181" s="1" t="str">
        <f t="shared" si="97"/>
        <v>Starter</v>
      </c>
      <c r="P1181" t="str">
        <f>TEXT(B1181, "mmmm")</f>
        <v>January</v>
      </c>
      <c r="Q1181" t="str">
        <f t="shared" si="98"/>
        <v>Q1</v>
      </c>
      <c r="R1181" t="str">
        <f>IFERROR(VLOOKUP(TRIM(CLEAN(G1181)),Sheet14!$A$2:$B$19,2,FALSE),"Not Mapped")</f>
        <v>West</v>
      </c>
    </row>
    <row r="1182" spans="1:18">
      <c r="A1182" t="str">
        <f t="shared" si="95"/>
        <v>EOS1181</v>
      </c>
      <c r="B1182" s="35">
        <v>46024</v>
      </c>
      <c r="C1182" s="1" t="s">
        <v>267</v>
      </c>
      <c r="D1182" s="1" t="str">
        <f t="shared" si="96"/>
        <v>FB</v>
      </c>
      <c r="E1182" s="5" t="s">
        <v>1751</v>
      </c>
      <c r="F1182" s="1" t="s">
        <v>412</v>
      </c>
      <c r="G1182" s="1" t="s">
        <v>224</v>
      </c>
      <c r="H1182" s="1" t="s">
        <v>69</v>
      </c>
      <c r="I1182" s="1">
        <v>130000</v>
      </c>
      <c r="J1182" s="45">
        <v>1071180</v>
      </c>
      <c r="K1182" s="1" t="str">
        <f>TRIM(Cleaned_CRM_Data!H1182)</f>
        <v>Follow up</v>
      </c>
      <c r="L1182" t="str">
        <f>IFERROR(VLOOKUP(K1182, Status_Mapping!A:B, 2,), "Not Found")</f>
        <v>Follow Up</v>
      </c>
      <c r="N1182" s="29" t="str">
        <f>IF(M1182="","",M1182-B1182)</f>
        <v/>
      </c>
      <c r="O1182" s="1" t="str">
        <f t="shared" si="97"/>
        <v>Starter</v>
      </c>
      <c r="P1182" t="str">
        <f>TEXT(B1182, "mmmm")</f>
        <v>January</v>
      </c>
      <c r="Q1182" t="str">
        <f t="shared" si="98"/>
        <v>Q1</v>
      </c>
      <c r="R1182" t="str">
        <f>IFERROR(VLOOKUP(TRIM(CLEAN(G1182)),Sheet14!$A$2:$B$19,2,FALSE),"Not Mapped")</f>
        <v>West</v>
      </c>
    </row>
    <row r="1183" spans="1:18">
      <c r="A1183" t="str">
        <f t="shared" si="95"/>
        <v>EOS1182</v>
      </c>
      <c r="B1183" s="35">
        <v>46024</v>
      </c>
      <c r="C1183" s="4" t="s">
        <v>267</v>
      </c>
      <c r="D1183" s="1" t="str">
        <f t="shared" si="96"/>
        <v>FB</v>
      </c>
      <c r="E1183" s="5" t="s">
        <v>1752</v>
      </c>
      <c r="F1183" s="1" t="s">
        <v>860</v>
      </c>
      <c r="G1183" s="1" t="s">
        <v>224</v>
      </c>
      <c r="H1183" s="1" t="s">
        <v>69</v>
      </c>
      <c r="I1183" s="1">
        <v>108000</v>
      </c>
      <c r="J1183" s="45">
        <v>1071181</v>
      </c>
      <c r="K1183" s="1" t="str">
        <f>TRIM(Cleaned_CRM_Data!H1183)</f>
        <v>Follow up</v>
      </c>
      <c r="L1183" t="str">
        <f>IFERROR(VLOOKUP(K1183, Status_Mapping!A:B, 2,), "Not Found")</f>
        <v>Follow Up</v>
      </c>
      <c r="N1183" s="29" t="str">
        <f>IF(M1183="","",M1183-B1183)</f>
        <v/>
      </c>
      <c r="O1183" s="1" t="str">
        <f t="shared" si="97"/>
        <v>Starter</v>
      </c>
      <c r="P1183" t="str">
        <f>TEXT(B1183, "mmmm")</f>
        <v>January</v>
      </c>
      <c r="Q1183" t="str">
        <f t="shared" si="98"/>
        <v>Q1</v>
      </c>
      <c r="R1183" t="str">
        <f>IFERROR(VLOOKUP(TRIM(CLEAN(G1183)),Sheet14!$A$2:$B$19,2,FALSE),"Not Mapped")</f>
        <v>West</v>
      </c>
    </row>
    <row r="1184" spans="1:18">
      <c r="A1184" t="str">
        <f t="shared" si="95"/>
        <v>EOS1183</v>
      </c>
      <c r="B1184" s="35">
        <v>46024</v>
      </c>
      <c r="C1184" s="4" t="s">
        <v>267</v>
      </c>
      <c r="D1184" s="1" t="str">
        <f t="shared" si="96"/>
        <v>FB</v>
      </c>
      <c r="E1184" s="5" t="s">
        <v>1753</v>
      </c>
      <c r="F1184" s="1" t="s">
        <v>860</v>
      </c>
      <c r="G1184" s="1" t="s">
        <v>224</v>
      </c>
      <c r="H1184" s="1" t="s">
        <v>69</v>
      </c>
      <c r="I1184" s="1">
        <v>130000</v>
      </c>
      <c r="J1184" s="45">
        <v>1071182</v>
      </c>
      <c r="K1184" s="1" t="str">
        <f>TRIM(Cleaned_CRM_Data!H1184)</f>
        <v>Follow up</v>
      </c>
      <c r="L1184" t="str">
        <f>IFERROR(VLOOKUP(K1184, Status_Mapping!A:B, 2,), "Not Found")</f>
        <v>Follow Up</v>
      </c>
      <c r="N1184" s="29" t="str">
        <f>IF(M1184="","",M1184-B1184)</f>
        <v/>
      </c>
      <c r="O1184" s="1" t="str">
        <f t="shared" si="97"/>
        <v>Starter</v>
      </c>
      <c r="P1184" t="str">
        <f>TEXT(B1184, "mmmm")</f>
        <v>January</v>
      </c>
      <c r="Q1184" t="str">
        <f t="shared" si="98"/>
        <v>Q1</v>
      </c>
      <c r="R1184" t="str">
        <f>IFERROR(VLOOKUP(TRIM(CLEAN(G1184)),Sheet14!$A$2:$B$19,2,FALSE),"Not Mapped")</f>
        <v>West</v>
      </c>
    </row>
    <row r="1185" spans="1:18">
      <c r="A1185" t="str">
        <f t="shared" si="95"/>
        <v>EOS1184</v>
      </c>
      <c r="B1185" s="35">
        <v>46024</v>
      </c>
      <c r="C1185" s="4" t="s">
        <v>267</v>
      </c>
      <c r="D1185" s="1" t="str">
        <f t="shared" si="96"/>
        <v>FB</v>
      </c>
      <c r="E1185" s="5" t="s">
        <v>1754</v>
      </c>
      <c r="F1185" s="1" t="s">
        <v>1755</v>
      </c>
      <c r="G1185" s="1" t="s">
        <v>1195</v>
      </c>
      <c r="H1185" s="1" t="s">
        <v>149</v>
      </c>
      <c r="I1185" s="1">
        <v>177000</v>
      </c>
      <c r="J1185" s="45">
        <v>1071183</v>
      </c>
      <c r="K1185" s="1" t="str">
        <f>TRIM(Cleaned_CRM_Data!H1185)</f>
        <v>Rejected</v>
      </c>
      <c r="L1185" t="str">
        <f>IFERROR(VLOOKUP(K1185, Status_Mapping!A:B, 2,), "Not Found")</f>
        <v>Rejected</v>
      </c>
      <c r="N1185" s="29" t="str">
        <f>IF(M1185="","",M1185-B1185)</f>
        <v/>
      </c>
      <c r="O1185" s="1" t="str">
        <f t="shared" si="97"/>
        <v>Growth</v>
      </c>
      <c r="P1185" t="str">
        <f>TEXT(B1185, "mmmm")</f>
        <v>January</v>
      </c>
      <c r="Q1185" t="str">
        <f t="shared" si="98"/>
        <v>Q1</v>
      </c>
      <c r="R1185" t="str">
        <f>IFERROR(VLOOKUP(TRIM(CLEAN(G1185)),Sheet14!$A$2:$B$19,2,FALSE),"Not Mapped")</f>
        <v>West</v>
      </c>
    </row>
    <row r="1186" spans="1:18">
      <c r="A1186" t="str">
        <f t="shared" si="95"/>
        <v>EOS1185</v>
      </c>
      <c r="B1186" s="35">
        <v>46024</v>
      </c>
      <c r="C1186" s="1" t="s">
        <v>267</v>
      </c>
      <c r="D1186" s="1" t="str">
        <f t="shared" si="96"/>
        <v>FB</v>
      </c>
      <c r="E1186" s="5" t="s">
        <v>1756</v>
      </c>
      <c r="F1186" s="1" t="s">
        <v>350</v>
      </c>
      <c r="G1186" s="1" t="s">
        <v>224</v>
      </c>
      <c r="H1186" s="1" t="s">
        <v>69</v>
      </c>
      <c r="I1186" s="1">
        <v>108000</v>
      </c>
      <c r="J1186" s="45">
        <v>1071184</v>
      </c>
      <c r="K1186" s="1" t="str">
        <f>TRIM(Cleaned_CRM_Data!H1186)</f>
        <v>Follow up</v>
      </c>
      <c r="L1186" t="str">
        <f>IFERROR(VLOOKUP(K1186, Status_Mapping!A:B, 2,), "Not Found")</f>
        <v>Follow Up</v>
      </c>
      <c r="N1186" s="29" t="str">
        <f>IF(M1186="","",M1186-B1186)</f>
        <v/>
      </c>
      <c r="O1186" s="1" t="str">
        <f t="shared" si="97"/>
        <v>Starter</v>
      </c>
      <c r="P1186" t="str">
        <f>TEXT(B1186, "mmmm")</f>
        <v>January</v>
      </c>
      <c r="Q1186" t="str">
        <f t="shared" si="98"/>
        <v>Q1</v>
      </c>
      <c r="R1186" t="str">
        <f>IFERROR(VLOOKUP(TRIM(CLEAN(G1186)),Sheet14!$A$2:$B$19,2,FALSE),"Not Mapped")</f>
        <v>West</v>
      </c>
    </row>
    <row r="1187" spans="1:18">
      <c r="A1187" t="str">
        <f t="shared" si="95"/>
        <v>EOS1186</v>
      </c>
      <c r="B1187" s="35">
        <v>46025</v>
      </c>
      <c r="C1187" s="4" t="s">
        <v>267</v>
      </c>
      <c r="D1187" s="1" t="str">
        <f t="shared" si="96"/>
        <v>FB</v>
      </c>
      <c r="E1187" s="5" t="s">
        <v>1757</v>
      </c>
      <c r="F1187" s="1" t="s">
        <v>364</v>
      </c>
      <c r="G1187" s="1" t="s">
        <v>224</v>
      </c>
      <c r="H1187" s="1" t="s">
        <v>69</v>
      </c>
      <c r="I1187" s="1">
        <v>108000</v>
      </c>
      <c r="J1187" s="45">
        <v>1071185</v>
      </c>
      <c r="K1187" s="1" t="str">
        <f>TRIM(Cleaned_CRM_Data!H1187)</f>
        <v>Follow up</v>
      </c>
      <c r="L1187" t="str">
        <f>IFERROR(VLOOKUP(K1187, Status_Mapping!A:B, 2,), "Not Found")</f>
        <v>Follow Up</v>
      </c>
      <c r="N1187" s="29" t="str">
        <f>IF(M1187="","",M1187-B1187)</f>
        <v/>
      </c>
      <c r="O1187" s="1" t="str">
        <f t="shared" si="97"/>
        <v>Starter</v>
      </c>
      <c r="P1187" t="str">
        <f>TEXT(B1187, "mmmm")</f>
        <v>January</v>
      </c>
      <c r="Q1187" t="str">
        <f t="shared" si="98"/>
        <v>Q1</v>
      </c>
      <c r="R1187" t="str">
        <f>IFERROR(VLOOKUP(TRIM(CLEAN(G1187)),Sheet14!$A$2:$B$19,2,FALSE),"Not Mapped")</f>
        <v>West</v>
      </c>
    </row>
    <row r="1188" spans="1:18">
      <c r="A1188" t="str">
        <f t="shared" si="95"/>
        <v>EOS1187</v>
      </c>
      <c r="B1188" s="35">
        <v>46025</v>
      </c>
      <c r="C1188" s="4" t="s">
        <v>267</v>
      </c>
      <c r="D1188" s="1" t="str">
        <f t="shared" si="96"/>
        <v>FB</v>
      </c>
      <c r="E1188" s="5" t="s">
        <v>1758</v>
      </c>
      <c r="F1188" s="1" t="s">
        <v>326</v>
      </c>
      <c r="G1188" s="1" t="s">
        <v>224</v>
      </c>
      <c r="H1188" s="1" t="s">
        <v>69</v>
      </c>
      <c r="I1188" s="1">
        <v>108000</v>
      </c>
      <c r="J1188" s="45">
        <v>1071186</v>
      </c>
      <c r="K1188" s="1" t="str">
        <f>TRIM(Cleaned_CRM_Data!H1188)</f>
        <v>Follow up</v>
      </c>
      <c r="L1188" t="str">
        <f>IFERROR(VLOOKUP(K1188, Status_Mapping!A:B, 2,), "Not Found")</f>
        <v>Follow Up</v>
      </c>
      <c r="N1188" s="29" t="str">
        <f>IF(M1188="","",M1188-B1188)</f>
        <v/>
      </c>
      <c r="O1188" s="1" t="str">
        <f t="shared" si="97"/>
        <v>Starter</v>
      </c>
      <c r="P1188" t="str">
        <f>TEXT(B1188, "mmmm")</f>
        <v>January</v>
      </c>
      <c r="Q1188" t="str">
        <f t="shared" si="98"/>
        <v>Q1</v>
      </c>
      <c r="R1188" t="str">
        <f>IFERROR(VLOOKUP(TRIM(CLEAN(G1188)),Sheet14!$A$2:$B$19,2,FALSE),"Not Mapped")</f>
        <v>West</v>
      </c>
    </row>
    <row r="1189" spans="1:18">
      <c r="A1189" t="str">
        <f t="shared" si="95"/>
        <v>EOS1188</v>
      </c>
      <c r="B1189" s="35">
        <v>46025</v>
      </c>
      <c r="C1189" s="4" t="s">
        <v>267</v>
      </c>
      <c r="D1189" s="1" t="str">
        <f t="shared" si="96"/>
        <v>FB</v>
      </c>
      <c r="E1189" s="5" t="s">
        <v>1759</v>
      </c>
      <c r="F1189" s="1" t="s">
        <v>321</v>
      </c>
      <c r="G1189" s="1" t="s">
        <v>224</v>
      </c>
      <c r="H1189" s="1" t="s">
        <v>69</v>
      </c>
      <c r="I1189" s="1">
        <v>177000</v>
      </c>
      <c r="J1189" s="45">
        <v>1071187</v>
      </c>
      <c r="K1189" s="1" t="str">
        <f>TRIM(Cleaned_CRM_Data!H1189)</f>
        <v>Follow up</v>
      </c>
      <c r="L1189" t="str">
        <f>IFERROR(VLOOKUP(K1189, Status_Mapping!A:B, 2,), "Not Found")</f>
        <v>Follow Up</v>
      </c>
      <c r="N1189" s="29" t="str">
        <f>IF(M1189="","",M1189-B1189)</f>
        <v/>
      </c>
      <c r="O1189" s="1" t="str">
        <f t="shared" si="97"/>
        <v>Growth</v>
      </c>
      <c r="P1189" t="str">
        <f>TEXT(B1189, "mmmm")</f>
        <v>January</v>
      </c>
      <c r="Q1189" t="str">
        <f t="shared" si="98"/>
        <v>Q1</v>
      </c>
      <c r="R1189" t="str">
        <f>IFERROR(VLOOKUP(TRIM(CLEAN(G1189)),Sheet14!$A$2:$B$19,2,FALSE),"Not Mapped")</f>
        <v>West</v>
      </c>
    </row>
    <row r="1190" spans="1:18">
      <c r="A1190" t="str">
        <f t="shared" si="95"/>
        <v>EOS1189</v>
      </c>
      <c r="B1190" s="35">
        <v>46025</v>
      </c>
      <c r="C1190" s="4" t="s">
        <v>267</v>
      </c>
      <c r="D1190" s="1" t="str">
        <f t="shared" si="96"/>
        <v>FB</v>
      </c>
      <c r="E1190" s="5" t="s">
        <v>1760</v>
      </c>
      <c r="F1190" s="1" t="s">
        <v>275</v>
      </c>
      <c r="G1190" s="1" t="s">
        <v>224</v>
      </c>
      <c r="H1190" s="1" t="s">
        <v>69</v>
      </c>
      <c r="I1190" s="1">
        <v>108000</v>
      </c>
      <c r="J1190" s="45">
        <v>1071188</v>
      </c>
      <c r="K1190" s="1" t="str">
        <f>TRIM(Cleaned_CRM_Data!H1190)</f>
        <v>Follow up</v>
      </c>
      <c r="L1190" t="str">
        <f>IFERROR(VLOOKUP(K1190, Status_Mapping!A:B, 2,), "Not Found")</f>
        <v>Follow Up</v>
      </c>
      <c r="N1190" s="29" t="str">
        <f>IF(M1190="","",M1190-B1190)</f>
        <v/>
      </c>
      <c r="O1190" s="1" t="str">
        <f t="shared" si="97"/>
        <v>Starter</v>
      </c>
      <c r="P1190" t="str">
        <f>TEXT(B1190, "mmmm")</f>
        <v>January</v>
      </c>
      <c r="Q1190" t="str">
        <f t="shared" si="98"/>
        <v>Q1</v>
      </c>
      <c r="R1190" t="str">
        <f>IFERROR(VLOOKUP(TRIM(CLEAN(G1190)),Sheet14!$A$2:$B$19,2,FALSE),"Not Mapped")</f>
        <v>West</v>
      </c>
    </row>
    <row r="1191" spans="1:18">
      <c r="A1191" t="str">
        <f t="shared" si="95"/>
        <v>EOS1190</v>
      </c>
      <c r="B1191" s="35">
        <v>46025</v>
      </c>
      <c r="C1191" s="4" t="s">
        <v>267</v>
      </c>
      <c r="D1191" s="1" t="str">
        <f t="shared" si="96"/>
        <v>FB</v>
      </c>
      <c r="E1191" s="5" t="s">
        <v>1761</v>
      </c>
      <c r="F1191" s="1" t="s">
        <v>601</v>
      </c>
      <c r="G1191" s="1" t="s">
        <v>224</v>
      </c>
      <c r="H1191" s="1" t="s">
        <v>69</v>
      </c>
      <c r="I1191" s="1">
        <v>130000</v>
      </c>
      <c r="J1191" s="45">
        <v>1071189</v>
      </c>
      <c r="K1191" s="1" t="str">
        <f>TRIM(Cleaned_CRM_Data!H1191)</f>
        <v>Follow up</v>
      </c>
      <c r="L1191" t="str">
        <f>IFERROR(VLOOKUP(K1191, Status_Mapping!A:B, 2,), "Not Found")</f>
        <v>Follow Up</v>
      </c>
      <c r="N1191" s="29" t="str">
        <f>IF(M1191="","",M1191-B1191)</f>
        <v/>
      </c>
      <c r="O1191" s="1" t="str">
        <f t="shared" si="97"/>
        <v>Starter</v>
      </c>
      <c r="P1191" t="str">
        <f>TEXT(B1191, "mmmm")</f>
        <v>January</v>
      </c>
      <c r="Q1191" t="str">
        <f t="shared" si="98"/>
        <v>Q1</v>
      </c>
      <c r="R1191" t="str">
        <f>IFERROR(VLOOKUP(TRIM(CLEAN(G1191)),Sheet14!$A$2:$B$19,2,FALSE),"Not Mapped")</f>
        <v>West</v>
      </c>
    </row>
    <row r="1192" spans="1:18">
      <c r="A1192" t="str">
        <f t="shared" si="95"/>
        <v>EOS1191</v>
      </c>
      <c r="B1192" s="35">
        <v>46025</v>
      </c>
      <c r="C1192" s="4" t="s">
        <v>267</v>
      </c>
      <c r="D1192" s="1" t="str">
        <f t="shared" si="96"/>
        <v>FB</v>
      </c>
      <c r="E1192" s="5" t="s">
        <v>1762</v>
      </c>
      <c r="F1192" s="1"/>
      <c r="G1192" s="1" t="s">
        <v>224</v>
      </c>
      <c r="H1192" s="1" t="s">
        <v>69</v>
      </c>
      <c r="I1192" s="1">
        <v>130000</v>
      </c>
      <c r="J1192" s="45">
        <v>1071190</v>
      </c>
      <c r="K1192" s="1" t="str">
        <f>TRIM(Cleaned_CRM_Data!H1192)</f>
        <v>Follow up</v>
      </c>
      <c r="L1192" t="str">
        <f>IFERROR(VLOOKUP(K1192, Status_Mapping!A:B, 2,), "Not Found")</f>
        <v>Follow Up</v>
      </c>
      <c r="N1192" s="29" t="str">
        <f>IF(M1192="","",M1192-B1192)</f>
        <v/>
      </c>
      <c r="O1192" s="1" t="str">
        <f t="shared" si="97"/>
        <v>Starter</v>
      </c>
      <c r="P1192" t="str">
        <f>TEXT(B1192, "mmmm")</f>
        <v>January</v>
      </c>
      <c r="Q1192" t="str">
        <f t="shared" si="98"/>
        <v>Q1</v>
      </c>
      <c r="R1192" t="str">
        <f>IFERROR(VLOOKUP(TRIM(CLEAN(G1192)),Sheet14!$A$2:$B$19,2,FALSE),"Not Mapped")</f>
        <v>West</v>
      </c>
    </row>
    <row r="1193" spans="1:18">
      <c r="A1193" t="str">
        <f t="shared" si="95"/>
        <v>EOS1192</v>
      </c>
      <c r="B1193" s="35">
        <v>46025</v>
      </c>
      <c r="C1193" s="4" t="s">
        <v>267</v>
      </c>
      <c r="D1193" s="1" t="str">
        <f t="shared" si="96"/>
        <v>FB</v>
      </c>
      <c r="E1193" s="5" t="s">
        <v>1407</v>
      </c>
      <c r="F1193" s="1"/>
      <c r="G1193" s="1" t="s">
        <v>1195</v>
      </c>
      <c r="H1193" s="1" t="s">
        <v>149</v>
      </c>
      <c r="I1193" s="1">
        <v>130000</v>
      </c>
      <c r="J1193" s="45">
        <v>1071191</v>
      </c>
      <c r="K1193" s="1" t="str">
        <f>TRIM(Cleaned_CRM_Data!H1193)</f>
        <v>Rejected</v>
      </c>
      <c r="L1193" t="str">
        <f>IFERROR(VLOOKUP(K1193, Status_Mapping!A:B, 2,), "Not Found")</f>
        <v>Rejected</v>
      </c>
      <c r="N1193" s="29" t="str">
        <f>IF(M1193="","",M1193-B1193)</f>
        <v/>
      </c>
      <c r="O1193" s="1" t="str">
        <f t="shared" si="97"/>
        <v>Starter</v>
      </c>
      <c r="P1193" t="str">
        <f>TEXT(B1193, "mmmm")</f>
        <v>January</v>
      </c>
      <c r="Q1193" t="str">
        <f t="shared" si="98"/>
        <v>Q1</v>
      </c>
      <c r="R1193" t="str">
        <f>IFERROR(VLOOKUP(TRIM(CLEAN(G1193)),Sheet14!$A$2:$B$19,2,FALSE),"Not Mapped")</f>
        <v>West</v>
      </c>
    </row>
    <row r="1194" spans="1:18">
      <c r="A1194" t="str">
        <f t="shared" si="95"/>
        <v>EOS1193</v>
      </c>
      <c r="B1194" s="35">
        <v>46025</v>
      </c>
      <c r="C1194" s="1" t="s">
        <v>911</v>
      </c>
      <c r="D1194" s="1"/>
      <c r="E1194" s="5" t="s">
        <v>1763</v>
      </c>
      <c r="F1194" s="1" t="s">
        <v>300</v>
      </c>
      <c r="G1194" s="1" t="s">
        <v>224</v>
      </c>
      <c r="H1194" s="1" t="s">
        <v>69</v>
      </c>
      <c r="I1194" s="1">
        <v>130000</v>
      </c>
      <c r="J1194" s="45">
        <v>1071192</v>
      </c>
      <c r="K1194" s="1" t="str">
        <f>TRIM(Cleaned_CRM_Data!H1194)</f>
        <v>Follow up</v>
      </c>
      <c r="L1194" t="str">
        <f>IFERROR(VLOOKUP(K1194, Status_Mapping!A:B, 2,), "Not Found")</f>
        <v>Follow Up</v>
      </c>
      <c r="N1194" s="29" t="str">
        <f>IF(M1194="","",M1194-B1194)</f>
        <v/>
      </c>
      <c r="O1194" s="1" t="str">
        <f t="shared" si="97"/>
        <v>Starter</v>
      </c>
      <c r="P1194" t="str">
        <f>TEXT(B1194, "mmmm")</f>
        <v>January</v>
      </c>
      <c r="Q1194" t="str">
        <f t="shared" si="98"/>
        <v>Q1</v>
      </c>
      <c r="R1194" t="str">
        <f>IFERROR(VLOOKUP(TRIM(CLEAN(G1194)),Sheet14!$A$2:$B$19,2,FALSE),"Not Mapped")</f>
        <v>West</v>
      </c>
    </row>
    <row r="1195" spans="1:18">
      <c r="A1195" t="str">
        <f t="shared" si="95"/>
        <v>EOS1194</v>
      </c>
      <c r="B1195" s="35">
        <v>46027</v>
      </c>
      <c r="C1195" s="4" t="s">
        <v>267</v>
      </c>
      <c r="D1195" s="1" t="str">
        <f t="shared" ref="D1195:D1258" si="99">TRIM(CLEAN(SUBSTITUTE(C1195,CHAR(160),"")))</f>
        <v>FB</v>
      </c>
      <c r="E1195" s="5" t="s">
        <v>1764</v>
      </c>
      <c r="F1195" s="1" t="s">
        <v>661</v>
      </c>
      <c r="G1195" s="1" t="s">
        <v>1195</v>
      </c>
      <c r="H1195" s="1" t="s">
        <v>149</v>
      </c>
      <c r="I1195" s="1">
        <v>130000</v>
      </c>
      <c r="J1195" s="45">
        <v>1071193</v>
      </c>
      <c r="K1195" s="1" t="str">
        <f>TRIM(Cleaned_CRM_Data!H1195)</f>
        <v>Rejected</v>
      </c>
      <c r="L1195" t="str">
        <f>IFERROR(VLOOKUP(K1195, Status_Mapping!A:B, 2,), "Not Found")</f>
        <v>Rejected</v>
      </c>
      <c r="N1195" s="29" t="str">
        <f>IF(M1195="","",M1195-B1195)</f>
        <v/>
      </c>
      <c r="O1195" s="1" t="str">
        <f t="shared" si="97"/>
        <v>Starter</v>
      </c>
      <c r="P1195" t="str">
        <f>TEXT(B1195, "mmmm")</f>
        <v>January</v>
      </c>
      <c r="Q1195" t="str">
        <f t="shared" si="98"/>
        <v>Q1</v>
      </c>
      <c r="R1195" t="str">
        <f>IFERROR(VLOOKUP(TRIM(CLEAN(G1195)),Sheet14!$A$2:$B$19,2,FALSE),"Not Mapped")</f>
        <v>West</v>
      </c>
    </row>
    <row r="1196" spans="1:18">
      <c r="A1196" t="str">
        <f t="shared" si="95"/>
        <v>EOS1195</v>
      </c>
      <c r="B1196" s="35">
        <v>46027</v>
      </c>
      <c r="C1196" s="1" t="s">
        <v>1765</v>
      </c>
      <c r="D1196" s="1" t="str">
        <f t="shared" si="99"/>
        <v>FB</v>
      </c>
      <c r="E1196" s="5" t="s">
        <v>1766</v>
      </c>
      <c r="F1196" s="1" t="s">
        <v>903</v>
      </c>
      <c r="G1196" s="1" t="s">
        <v>1195</v>
      </c>
      <c r="H1196" s="1" t="s">
        <v>149</v>
      </c>
      <c r="I1196" s="1">
        <v>177000</v>
      </c>
      <c r="J1196" s="45">
        <v>1071194</v>
      </c>
      <c r="K1196" s="1" t="str">
        <f>TRIM(Cleaned_CRM_Data!H1196)</f>
        <v>Rejected</v>
      </c>
      <c r="L1196" t="str">
        <f>IFERROR(VLOOKUP(K1196, Status_Mapping!A:B, 2,), "Not Found")</f>
        <v>Rejected</v>
      </c>
      <c r="N1196" s="29" t="str">
        <f>IF(M1196="","",M1196-B1196)</f>
        <v/>
      </c>
      <c r="O1196" s="1" t="str">
        <f t="shared" si="97"/>
        <v>Growth</v>
      </c>
      <c r="P1196" t="str">
        <f>TEXT(B1196, "mmmm")</f>
        <v>January</v>
      </c>
      <c r="Q1196" t="str">
        <f t="shared" si="98"/>
        <v>Q1</v>
      </c>
      <c r="R1196" t="str">
        <f>IFERROR(VLOOKUP(TRIM(CLEAN(G1196)),Sheet14!$A$2:$B$19,2,FALSE),"Not Mapped")</f>
        <v>West</v>
      </c>
    </row>
    <row r="1197" spans="1:18">
      <c r="A1197" t="str">
        <f t="shared" si="95"/>
        <v>EOS1196</v>
      </c>
      <c r="B1197" s="35">
        <v>46027</v>
      </c>
      <c r="C1197" s="1" t="s">
        <v>1765</v>
      </c>
      <c r="D1197" s="1" t="str">
        <f t="shared" si="99"/>
        <v>FB</v>
      </c>
      <c r="E1197" s="5" t="s">
        <v>1767</v>
      </c>
      <c r="F1197" s="1" t="s">
        <v>860</v>
      </c>
      <c r="G1197" s="1" t="s">
        <v>1195</v>
      </c>
      <c r="H1197" s="1" t="s">
        <v>149</v>
      </c>
      <c r="I1197" s="1">
        <v>130000</v>
      </c>
      <c r="J1197" s="45">
        <v>1071195</v>
      </c>
      <c r="K1197" s="1" t="str">
        <f>TRIM(Cleaned_CRM_Data!H1197)</f>
        <v>Rejected</v>
      </c>
      <c r="L1197" t="str">
        <f>IFERROR(VLOOKUP(K1197, Status_Mapping!A:B, 2,), "Not Found")</f>
        <v>Rejected</v>
      </c>
      <c r="N1197" s="29" t="str">
        <f>IF(M1197="","",M1197-B1197)</f>
        <v/>
      </c>
      <c r="O1197" s="1" t="str">
        <f t="shared" si="97"/>
        <v>Starter</v>
      </c>
      <c r="P1197" t="str">
        <f>TEXT(B1197, "mmmm")</f>
        <v>January</v>
      </c>
      <c r="Q1197" t="str">
        <f t="shared" si="98"/>
        <v>Q1</v>
      </c>
      <c r="R1197" t="str">
        <f>IFERROR(VLOOKUP(TRIM(CLEAN(G1197)),Sheet14!$A$2:$B$19,2,FALSE),"Not Mapped")</f>
        <v>West</v>
      </c>
    </row>
    <row r="1198" spans="1:18">
      <c r="A1198" t="str">
        <f t="shared" si="95"/>
        <v>EOS1197</v>
      </c>
      <c r="B1198" s="35">
        <v>46027</v>
      </c>
      <c r="C1198" s="1" t="s">
        <v>1765</v>
      </c>
      <c r="D1198" s="1" t="str">
        <f t="shared" si="99"/>
        <v>FB</v>
      </c>
      <c r="E1198" s="5" t="s">
        <v>1768</v>
      </c>
      <c r="F1198" s="1" t="s">
        <v>1113</v>
      </c>
      <c r="G1198" s="1" t="s">
        <v>1195</v>
      </c>
      <c r="H1198" s="1" t="s">
        <v>149</v>
      </c>
      <c r="I1198" s="1">
        <v>108000</v>
      </c>
      <c r="J1198" s="45">
        <v>1071196</v>
      </c>
      <c r="K1198" s="1" t="str">
        <f>TRIM(Cleaned_CRM_Data!H1198)</f>
        <v>Rejected</v>
      </c>
      <c r="L1198" t="str">
        <f>IFERROR(VLOOKUP(K1198, Status_Mapping!A:B, 2,), "Not Found")</f>
        <v>Rejected</v>
      </c>
      <c r="N1198" s="29" t="str">
        <f>IF(M1198="","",M1198-B1198)</f>
        <v/>
      </c>
      <c r="O1198" s="1" t="str">
        <f t="shared" si="97"/>
        <v>Starter</v>
      </c>
      <c r="P1198" t="str">
        <f>TEXT(B1198, "mmmm")</f>
        <v>January</v>
      </c>
      <c r="Q1198" t="str">
        <f t="shared" si="98"/>
        <v>Q1</v>
      </c>
      <c r="R1198" t="str">
        <f>IFERROR(VLOOKUP(TRIM(CLEAN(G1198)),Sheet14!$A$2:$B$19,2,FALSE),"Not Mapped")</f>
        <v>West</v>
      </c>
    </row>
    <row r="1199" spans="1:18">
      <c r="A1199" t="str">
        <f t="shared" si="95"/>
        <v>EOS1198</v>
      </c>
      <c r="B1199" s="35">
        <v>46027</v>
      </c>
      <c r="C1199" s="1" t="s">
        <v>1765</v>
      </c>
      <c r="D1199" s="1" t="str">
        <f t="shared" si="99"/>
        <v>FB</v>
      </c>
      <c r="E1199" s="5" t="s">
        <v>1769</v>
      </c>
      <c r="F1199" s="1" t="s">
        <v>1770</v>
      </c>
      <c r="G1199" s="1" t="s">
        <v>1195</v>
      </c>
      <c r="H1199" s="1" t="s">
        <v>149</v>
      </c>
      <c r="I1199" s="1">
        <v>108000</v>
      </c>
      <c r="J1199" s="45">
        <v>1071197</v>
      </c>
      <c r="K1199" s="1" t="str">
        <f>TRIM(Cleaned_CRM_Data!H1199)</f>
        <v>Rejected</v>
      </c>
      <c r="L1199" t="str">
        <f>IFERROR(VLOOKUP(K1199, Status_Mapping!A:B, 2,), "Not Found")</f>
        <v>Rejected</v>
      </c>
      <c r="N1199" s="29" t="str">
        <f>IF(M1199="","",M1199-B1199)</f>
        <v/>
      </c>
      <c r="O1199" s="1" t="str">
        <f t="shared" si="97"/>
        <v>Starter</v>
      </c>
      <c r="P1199" t="str">
        <f>TEXT(B1199, "mmmm")</f>
        <v>January</v>
      </c>
      <c r="Q1199" t="str">
        <f t="shared" si="98"/>
        <v>Q1</v>
      </c>
      <c r="R1199" t="str">
        <f>IFERROR(VLOOKUP(TRIM(CLEAN(G1199)),Sheet14!$A$2:$B$19,2,FALSE),"Not Mapped")</f>
        <v>West</v>
      </c>
    </row>
    <row r="1200" spans="1:18">
      <c r="A1200" t="str">
        <f t="shared" si="95"/>
        <v>EOS1199</v>
      </c>
      <c r="B1200" s="35">
        <v>46027</v>
      </c>
      <c r="C1200" s="1" t="s">
        <v>1765</v>
      </c>
      <c r="D1200" s="1" t="str">
        <f t="shared" si="99"/>
        <v>FB</v>
      </c>
      <c r="E1200" s="5" t="s">
        <v>1771</v>
      </c>
      <c r="F1200" s="1" t="s">
        <v>296</v>
      </c>
      <c r="G1200" s="1" t="s">
        <v>224</v>
      </c>
      <c r="H1200" s="1" t="s">
        <v>69</v>
      </c>
      <c r="I1200" s="1">
        <v>130000</v>
      </c>
      <c r="J1200" s="45">
        <v>1071198</v>
      </c>
      <c r="K1200" s="1" t="str">
        <f>TRIM(Cleaned_CRM_Data!H1200)</f>
        <v>Follow up</v>
      </c>
      <c r="L1200" t="str">
        <f>IFERROR(VLOOKUP(K1200, Status_Mapping!A:B, 2,), "Not Found")</f>
        <v>Follow Up</v>
      </c>
      <c r="N1200" s="29" t="str">
        <f>IF(M1200="","",M1200-B1200)</f>
        <v/>
      </c>
      <c r="O1200" s="1" t="str">
        <f t="shared" si="97"/>
        <v>Starter</v>
      </c>
      <c r="P1200" t="str">
        <f>TEXT(B1200, "mmmm")</f>
        <v>January</v>
      </c>
      <c r="Q1200" t="str">
        <f t="shared" si="98"/>
        <v>Q1</v>
      </c>
      <c r="R1200" t="str">
        <f>IFERROR(VLOOKUP(TRIM(CLEAN(G1200)),Sheet14!$A$2:$B$19,2,FALSE),"Not Mapped")</f>
        <v>West</v>
      </c>
    </row>
    <row r="1201" spans="1:18">
      <c r="A1201" t="str">
        <f t="shared" si="95"/>
        <v>EOS1200</v>
      </c>
      <c r="B1201" s="35">
        <v>46027</v>
      </c>
      <c r="C1201" s="4" t="s">
        <v>267</v>
      </c>
      <c r="D1201" s="1" t="str">
        <f t="shared" si="99"/>
        <v>FB</v>
      </c>
      <c r="E1201" s="5" t="s">
        <v>970</v>
      </c>
      <c r="F1201" s="1" t="s">
        <v>361</v>
      </c>
      <c r="G1201" s="1" t="s">
        <v>224</v>
      </c>
      <c r="H1201" s="1" t="s">
        <v>149</v>
      </c>
      <c r="I1201" s="1">
        <v>177000</v>
      </c>
      <c r="J1201" s="45">
        <v>1071199</v>
      </c>
      <c r="K1201" s="1" t="str">
        <f>TRIM(Cleaned_CRM_Data!H1201)</f>
        <v>Rejected</v>
      </c>
      <c r="L1201" t="str">
        <f>IFERROR(VLOOKUP(K1201, Status_Mapping!A:B, 2,), "Not Found")</f>
        <v>Rejected</v>
      </c>
      <c r="N1201" s="29" t="str">
        <f>IF(M1201="","",M1201-B1201)</f>
        <v/>
      </c>
      <c r="O1201" s="1" t="str">
        <f t="shared" si="97"/>
        <v>Growth</v>
      </c>
      <c r="P1201" t="str">
        <f>TEXT(B1201, "mmmm")</f>
        <v>January</v>
      </c>
      <c r="Q1201" t="str">
        <f t="shared" si="98"/>
        <v>Q1</v>
      </c>
      <c r="R1201" t="str">
        <f>IFERROR(VLOOKUP(TRIM(CLEAN(G1201)),Sheet14!$A$2:$B$19,2,FALSE),"Not Mapped")</f>
        <v>West</v>
      </c>
    </row>
    <row r="1202" spans="1:18">
      <c r="A1202" t="str">
        <f t="shared" si="95"/>
        <v>EOS1201</v>
      </c>
      <c r="B1202" s="35">
        <v>46027</v>
      </c>
      <c r="C1202" s="1" t="s">
        <v>1765</v>
      </c>
      <c r="D1202" s="1" t="str">
        <f t="shared" si="99"/>
        <v>FB</v>
      </c>
      <c r="E1202" s="1"/>
      <c r="F1202" s="1"/>
      <c r="G1202" s="1" t="s">
        <v>224</v>
      </c>
      <c r="H1202" s="1" t="s">
        <v>69</v>
      </c>
      <c r="I1202" s="1">
        <v>130000</v>
      </c>
      <c r="J1202" s="45">
        <v>1071200</v>
      </c>
      <c r="K1202" s="1" t="str">
        <f>TRIM(Cleaned_CRM_Data!H1202)</f>
        <v>Follow up</v>
      </c>
      <c r="L1202" t="str">
        <f>IFERROR(VLOOKUP(K1202, Status_Mapping!A:B, 2,), "Not Found")</f>
        <v>Follow Up</v>
      </c>
      <c r="N1202" s="29" t="str">
        <f>IF(M1202="","",M1202-B1202)</f>
        <v/>
      </c>
      <c r="O1202" s="1" t="str">
        <f t="shared" si="97"/>
        <v>Starter</v>
      </c>
      <c r="P1202" t="str">
        <f>TEXT(B1202, "mmmm")</f>
        <v>January</v>
      </c>
      <c r="Q1202" t="str">
        <f t="shared" si="98"/>
        <v>Q1</v>
      </c>
      <c r="R1202" t="str">
        <f>IFERROR(VLOOKUP(TRIM(CLEAN(G1202)),Sheet14!$A$2:$B$19,2,FALSE),"Not Mapped")</f>
        <v>West</v>
      </c>
    </row>
    <row r="1203" spans="1:18">
      <c r="A1203" t="str">
        <f t="shared" si="95"/>
        <v>EOS1202</v>
      </c>
      <c r="B1203" s="35">
        <v>46027</v>
      </c>
      <c r="C1203" s="4" t="s">
        <v>267</v>
      </c>
      <c r="D1203" s="1" t="str">
        <f t="shared" si="99"/>
        <v>FB</v>
      </c>
      <c r="E1203" s="5" t="s">
        <v>1772</v>
      </c>
      <c r="F1203" s="1" t="s">
        <v>1466</v>
      </c>
      <c r="G1203" s="1" t="s">
        <v>224</v>
      </c>
      <c r="H1203" s="1" t="s">
        <v>69</v>
      </c>
      <c r="I1203" s="1">
        <v>130000</v>
      </c>
      <c r="J1203" s="45">
        <v>1071201</v>
      </c>
      <c r="K1203" s="1" t="str">
        <f>TRIM(Cleaned_CRM_Data!H1203)</f>
        <v>Follow up</v>
      </c>
      <c r="L1203" t="str">
        <f>IFERROR(VLOOKUP(K1203, Status_Mapping!A:B, 2,), "Not Found")</f>
        <v>Follow Up</v>
      </c>
      <c r="N1203" s="29" t="str">
        <f>IF(M1203="","",M1203-B1203)</f>
        <v/>
      </c>
      <c r="O1203" s="1" t="str">
        <f t="shared" si="97"/>
        <v>Starter</v>
      </c>
      <c r="P1203" t="str">
        <f>TEXT(B1203, "mmmm")</f>
        <v>January</v>
      </c>
      <c r="Q1203" t="str">
        <f t="shared" si="98"/>
        <v>Q1</v>
      </c>
      <c r="R1203" t="str">
        <f>IFERROR(VLOOKUP(TRIM(CLEAN(G1203)),Sheet14!$A$2:$B$19,2,FALSE),"Not Mapped")</f>
        <v>West</v>
      </c>
    </row>
    <row r="1204" spans="1:18">
      <c r="A1204" t="str">
        <f t="shared" si="95"/>
        <v>EOS1203</v>
      </c>
      <c r="B1204" s="35">
        <v>46027</v>
      </c>
      <c r="C1204" s="4" t="s">
        <v>267</v>
      </c>
      <c r="D1204" s="1" t="str">
        <f t="shared" si="99"/>
        <v>FB</v>
      </c>
      <c r="E1204" s="5" t="s">
        <v>1773</v>
      </c>
      <c r="F1204" s="1" t="s">
        <v>326</v>
      </c>
      <c r="G1204" s="1" t="s">
        <v>224</v>
      </c>
      <c r="H1204" s="1" t="s">
        <v>69</v>
      </c>
      <c r="I1204" s="1">
        <v>177000</v>
      </c>
      <c r="J1204" s="45">
        <v>1071202</v>
      </c>
      <c r="K1204" s="1" t="str">
        <f>TRIM(Cleaned_CRM_Data!H1204)</f>
        <v>Follow up</v>
      </c>
      <c r="L1204" t="str">
        <f>IFERROR(VLOOKUP(K1204, Status_Mapping!A:B, 2,), "Not Found")</f>
        <v>Follow Up</v>
      </c>
      <c r="N1204" s="29" t="str">
        <f>IF(M1204="","",M1204-B1204)</f>
        <v/>
      </c>
      <c r="O1204" s="1" t="str">
        <f t="shared" si="97"/>
        <v>Growth</v>
      </c>
      <c r="P1204" t="str">
        <f>TEXT(B1204, "mmmm")</f>
        <v>January</v>
      </c>
      <c r="Q1204" t="str">
        <f t="shared" si="98"/>
        <v>Q1</v>
      </c>
      <c r="R1204" t="str">
        <f>IFERROR(VLOOKUP(TRIM(CLEAN(G1204)),Sheet14!$A$2:$B$19,2,FALSE),"Not Mapped")</f>
        <v>West</v>
      </c>
    </row>
    <row r="1205" spans="1:18">
      <c r="A1205" t="str">
        <f t="shared" si="95"/>
        <v>EOS1204</v>
      </c>
      <c r="B1205" s="35">
        <v>46027</v>
      </c>
      <c r="C1205" s="4" t="s">
        <v>267</v>
      </c>
      <c r="D1205" s="1" t="str">
        <f t="shared" si="99"/>
        <v>FB</v>
      </c>
      <c r="E1205" s="5" t="s">
        <v>1774</v>
      </c>
      <c r="F1205" s="1" t="s">
        <v>860</v>
      </c>
      <c r="G1205" s="1" t="s">
        <v>224</v>
      </c>
      <c r="H1205" s="1" t="s">
        <v>69</v>
      </c>
      <c r="I1205" s="1">
        <v>177000</v>
      </c>
      <c r="J1205" s="45">
        <v>1071203</v>
      </c>
      <c r="K1205" s="1" t="str">
        <f>TRIM(Cleaned_CRM_Data!H1205)</f>
        <v>Follow up</v>
      </c>
      <c r="L1205" t="str">
        <f>IFERROR(VLOOKUP(K1205, Status_Mapping!A:B, 2,), "Not Found")</f>
        <v>Follow Up</v>
      </c>
      <c r="N1205" s="29" t="str">
        <f>IF(M1205="","",M1205-B1205)</f>
        <v/>
      </c>
      <c r="O1205" s="1" t="str">
        <f t="shared" si="97"/>
        <v>Growth</v>
      </c>
      <c r="P1205" t="str">
        <f>TEXT(B1205, "mmmm")</f>
        <v>January</v>
      </c>
      <c r="Q1205" t="str">
        <f t="shared" si="98"/>
        <v>Q1</v>
      </c>
      <c r="R1205" t="str">
        <f>IFERROR(VLOOKUP(TRIM(CLEAN(G1205)),Sheet14!$A$2:$B$19,2,FALSE),"Not Mapped")</f>
        <v>West</v>
      </c>
    </row>
    <row r="1206" spans="1:18">
      <c r="A1206" t="str">
        <f t="shared" si="95"/>
        <v>EOS1205</v>
      </c>
      <c r="B1206" s="35">
        <v>46027</v>
      </c>
      <c r="C1206" s="4" t="s">
        <v>267</v>
      </c>
      <c r="D1206" s="1" t="str">
        <f t="shared" si="99"/>
        <v>FB</v>
      </c>
      <c r="E1206" s="1" t="s">
        <v>1775</v>
      </c>
      <c r="F1206" s="1" t="s">
        <v>275</v>
      </c>
      <c r="G1206" s="1" t="s">
        <v>224</v>
      </c>
      <c r="H1206" s="1" t="s">
        <v>69</v>
      </c>
      <c r="I1206" s="1">
        <v>177000</v>
      </c>
      <c r="J1206" s="45">
        <v>1071204</v>
      </c>
      <c r="K1206" s="1" t="str">
        <f>TRIM(Cleaned_CRM_Data!H1206)</f>
        <v>Follow up</v>
      </c>
      <c r="L1206" t="str">
        <f>IFERROR(VLOOKUP(K1206, Status_Mapping!A:B, 2,), "Not Found")</f>
        <v>Follow Up</v>
      </c>
      <c r="N1206" s="29" t="str">
        <f>IF(M1206="","",M1206-B1206)</f>
        <v/>
      </c>
      <c r="O1206" s="1" t="str">
        <f t="shared" si="97"/>
        <v>Growth</v>
      </c>
      <c r="P1206" t="str">
        <f>TEXT(B1206, "mmmm")</f>
        <v>January</v>
      </c>
      <c r="Q1206" t="str">
        <f t="shared" si="98"/>
        <v>Q1</v>
      </c>
      <c r="R1206" t="str">
        <f>IFERROR(VLOOKUP(TRIM(CLEAN(G1206)),Sheet14!$A$2:$B$19,2,FALSE),"Not Mapped")</f>
        <v>West</v>
      </c>
    </row>
    <row r="1207" spans="1:18">
      <c r="A1207" t="str">
        <f t="shared" si="95"/>
        <v>EOS1206</v>
      </c>
      <c r="B1207" s="35">
        <v>46027</v>
      </c>
      <c r="C1207" s="4" t="s">
        <v>267</v>
      </c>
      <c r="D1207" s="1" t="str">
        <f t="shared" si="99"/>
        <v>FB</v>
      </c>
      <c r="E1207" s="5" t="s">
        <v>1776</v>
      </c>
      <c r="F1207" s="1" t="s">
        <v>1777</v>
      </c>
      <c r="G1207" s="1" t="s">
        <v>1195</v>
      </c>
      <c r="H1207" s="1" t="s">
        <v>149</v>
      </c>
      <c r="I1207" s="1">
        <v>108000</v>
      </c>
      <c r="J1207" s="45">
        <v>1071205</v>
      </c>
      <c r="K1207" s="1" t="str">
        <f>TRIM(Cleaned_CRM_Data!H1207)</f>
        <v>Rejected</v>
      </c>
      <c r="L1207" t="str">
        <f>IFERROR(VLOOKUP(K1207, Status_Mapping!A:B, 2,), "Not Found")</f>
        <v>Rejected</v>
      </c>
      <c r="N1207" s="29" t="str">
        <f>IF(M1207="","",M1207-B1207)</f>
        <v/>
      </c>
      <c r="O1207" s="1" t="str">
        <f t="shared" si="97"/>
        <v>Starter</v>
      </c>
      <c r="P1207" t="str">
        <f>TEXT(B1207, "mmmm")</f>
        <v>January</v>
      </c>
      <c r="Q1207" t="str">
        <f t="shared" si="98"/>
        <v>Q1</v>
      </c>
      <c r="R1207" t="str">
        <f>IFERROR(VLOOKUP(TRIM(CLEAN(G1207)),Sheet14!$A$2:$B$19,2,FALSE),"Not Mapped")</f>
        <v>West</v>
      </c>
    </row>
    <row r="1208" spans="1:18">
      <c r="A1208" t="str">
        <f t="shared" si="95"/>
        <v>EOS1207</v>
      </c>
      <c r="B1208" s="35">
        <v>46027</v>
      </c>
      <c r="C1208" s="1" t="s">
        <v>1765</v>
      </c>
      <c r="D1208" s="1" t="str">
        <f t="shared" si="99"/>
        <v>FB</v>
      </c>
      <c r="E1208" s="5" t="s">
        <v>1778</v>
      </c>
      <c r="F1208" s="1" t="s">
        <v>860</v>
      </c>
      <c r="G1208" s="1" t="s">
        <v>1195</v>
      </c>
      <c r="H1208" s="1" t="s">
        <v>149</v>
      </c>
      <c r="I1208" s="1">
        <v>177000</v>
      </c>
      <c r="J1208" s="45">
        <v>1071206</v>
      </c>
      <c r="K1208" s="1" t="str">
        <f>TRIM(Cleaned_CRM_Data!H1208)</f>
        <v>Rejected</v>
      </c>
      <c r="L1208" t="str">
        <f>IFERROR(VLOOKUP(K1208, Status_Mapping!A:B, 2,), "Not Found")</f>
        <v>Rejected</v>
      </c>
      <c r="N1208" s="29" t="str">
        <f>IF(M1208="","",M1208-B1208)</f>
        <v/>
      </c>
      <c r="O1208" s="1" t="str">
        <f t="shared" si="97"/>
        <v>Growth</v>
      </c>
      <c r="P1208" t="str">
        <f>TEXT(B1208, "mmmm")</f>
        <v>January</v>
      </c>
      <c r="Q1208" t="str">
        <f t="shared" si="98"/>
        <v>Q1</v>
      </c>
      <c r="R1208" t="str">
        <f>IFERROR(VLOOKUP(TRIM(CLEAN(G1208)),Sheet14!$A$2:$B$19,2,FALSE),"Not Mapped")</f>
        <v>West</v>
      </c>
    </row>
    <row r="1209" spans="1:18">
      <c r="A1209" t="str">
        <f t="shared" si="95"/>
        <v>EOS1208</v>
      </c>
      <c r="B1209" s="35">
        <v>46027</v>
      </c>
      <c r="C1209" s="1" t="s">
        <v>1765</v>
      </c>
      <c r="D1209" s="1" t="str">
        <f t="shared" si="99"/>
        <v>FB</v>
      </c>
      <c r="E1209" s="5" t="s">
        <v>1779</v>
      </c>
      <c r="F1209" s="1" t="s">
        <v>1780</v>
      </c>
      <c r="G1209" s="1" t="s">
        <v>1781</v>
      </c>
      <c r="H1209" s="1" t="s">
        <v>69</v>
      </c>
      <c r="I1209" s="1">
        <v>108000</v>
      </c>
      <c r="J1209" s="45">
        <v>1071207</v>
      </c>
      <c r="K1209" s="1" t="str">
        <f>TRIM(Cleaned_CRM_Data!H1209)</f>
        <v>Follow up</v>
      </c>
      <c r="L1209" t="str">
        <f>IFERROR(VLOOKUP(K1209, Status_Mapping!A:B, 2,), "Not Found")</f>
        <v>Follow Up</v>
      </c>
      <c r="N1209" s="29" t="str">
        <f>IF(M1209="","",M1209-B1209)</f>
        <v/>
      </c>
      <c r="O1209" s="1" t="str">
        <f t="shared" si="97"/>
        <v>Starter</v>
      </c>
      <c r="P1209" t="str">
        <f>TEXT(B1209, "mmmm")</f>
        <v>January</v>
      </c>
      <c r="Q1209" t="str">
        <f t="shared" si="98"/>
        <v>Q1</v>
      </c>
      <c r="R1209" t="str">
        <f>IFERROR(VLOOKUP(TRIM(CLEAN(G1209)),Sheet14!$A$2:$B$19,2,FALSE),"Not Mapped")</f>
        <v>North</v>
      </c>
    </row>
    <row r="1210" spans="1:18">
      <c r="A1210" t="str">
        <f t="shared" si="95"/>
        <v>EOS1209</v>
      </c>
      <c r="B1210" s="35">
        <v>46027</v>
      </c>
      <c r="C1210" s="4" t="s">
        <v>267</v>
      </c>
      <c r="D1210" s="1" t="str">
        <f t="shared" si="99"/>
        <v>FB</v>
      </c>
      <c r="E1210" s="5" t="s">
        <v>1782</v>
      </c>
      <c r="F1210" s="1" t="s">
        <v>1579</v>
      </c>
      <c r="G1210" s="1" t="s">
        <v>1781</v>
      </c>
      <c r="H1210" s="1" t="s">
        <v>69</v>
      </c>
      <c r="I1210" s="1">
        <v>130000</v>
      </c>
      <c r="J1210" s="45">
        <v>1071208</v>
      </c>
      <c r="K1210" s="1" t="str">
        <f>TRIM(Cleaned_CRM_Data!H1210)</f>
        <v>Follow up</v>
      </c>
      <c r="L1210" t="str">
        <f>IFERROR(VLOOKUP(K1210, Status_Mapping!A:B, 2,), "Not Found")</f>
        <v>Follow Up</v>
      </c>
      <c r="N1210" s="29" t="str">
        <f>IF(M1210="","",M1210-B1210)</f>
        <v/>
      </c>
      <c r="O1210" s="1" t="str">
        <f t="shared" si="97"/>
        <v>Starter</v>
      </c>
      <c r="P1210" t="str">
        <f>TEXT(B1210, "mmmm")</f>
        <v>January</v>
      </c>
      <c r="Q1210" t="str">
        <f t="shared" si="98"/>
        <v>Q1</v>
      </c>
      <c r="R1210" t="str">
        <f>IFERROR(VLOOKUP(TRIM(CLEAN(G1210)),Sheet14!$A$2:$B$19,2,FALSE),"Not Mapped")</f>
        <v>North</v>
      </c>
    </row>
    <row r="1211" spans="1:18">
      <c r="A1211" t="str">
        <f t="shared" si="95"/>
        <v>EOS1210</v>
      </c>
      <c r="B1211" s="35">
        <v>46027</v>
      </c>
      <c r="C1211" s="4" t="s">
        <v>267</v>
      </c>
      <c r="D1211" s="1" t="str">
        <f t="shared" si="99"/>
        <v>FB</v>
      </c>
      <c r="E1211" s="5" t="s">
        <v>1783</v>
      </c>
      <c r="F1211" s="1" t="s">
        <v>1784</v>
      </c>
      <c r="G1211" s="1" t="s">
        <v>1195</v>
      </c>
      <c r="H1211" s="1" t="s">
        <v>149</v>
      </c>
      <c r="I1211" s="1">
        <v>108000</v>
      </c>
      <c r="J1211" s="45">
        <v>1071209</v>
      </c>
      <c r="K1211" s="1" t="str">
        <f>TRIM(Cleaned_CRM_Data!H1211)</f>
        <v>Rejected</v>
      </c>
      <c r="L1211" t="str">
        <f>IFERROR(VLOOKUP(K1211, Status_Mapping!A:B, 2,), "Not Found")</f>
        <v>Rejected</v>
      </c>
      <c r="N1211" s="29" t="str">
        <f>IF(M1211="","",M1211-B1211)</f>
        <v/>
      </c>
      <c r="O1211" s="1" t="str">
        <f t="shared" si="97"/>
        <v>Starter</v>
      </c>
      <c r="P1211" t="str">
        <f>TEXT(B1211, "mmmm")</f>
        <v>January</v>
      </c>
      <c r="Q1211" t="str">
        <f t="shared" si="98"/>
        <v>Q1</v>
      </c>
      <c r="R1211" t="str">
        <f>IFERROR(VLOOKUP(TRIM(CLEAN(G1211)),Sheet14!$A$2:$B$19,2,FALSE),"Not Mapped")</f>
        <v>West</v>
      </c>
    </row>
    <row r="1212" spans="1:18">
      <c r="A1212" t="str">
        <f t="shared" si="95"/>
        <v>EOS1211</v>
      </c>
      <c r="B1212" s="35">
        <v>46028</v>
      </c>
      <c r="C1212" s="1" t="s">
        <v>267</v>
      </c>
      <c r="D1212" s="1" t="str">
        <f t="shared" si="99"/>
        <v>FB</v>
      </c>
      <c r="E1212" s="5" t="s">
        <v>1785</v>
      </c>
      <c r="F1212" s="1" t="s">
        <v>412</v>
      </c>
      <c r="G1212" s="1" t="s">
        <v>224</v>
      </c>
      <c r="H1212" s="1" t="s">
        <v>69</v>
      </c>
      <c r="I1212" s="1">
        <v>108000</v>
      </c>
      <c r="J1212" s="45">
        <v>1071210</v>
      </c>
      <c r="K1212" s="1" t="str">
        <f>TRIM(Cleaned_CRM_Data!H1212)</f>
        <v>Follow up</v>
      </c>
      <c r="L1212" t="str">
        <f>IFERROR(VLOOKUP(K1212, Status_Mapping!A:B, 2,), "Not Found")</f>
        <v>Follow Up</v>
      </c>
      <c r="N1212" s="29" t="str">
        <f>IF(M1212="","",M1212-B1212)</f>
        <v/>
      </c>
      <c r="O1212" s="1" t="str">
        <f t="shared" si="97"/>
        <v>Starter</v>
      </c>
      <c r="P1212" t="str">
        <f>TEXT(B1212, "mmmm")</f>
        <v>January</v>
      </c>
      <c r="Q1212" t="str">
        <f t="shared" si="98"/>
        <v>Q1</v>
      </c>
      <c r="R1212" t="str">
        <f>IFERROR(VLOOKUP(TRIM(CLEAN(G1212)),Sheet14!$A$2:$B$19,2,FALSE),"Not Mapped")</f>
        <v>West</v>
      </c>
    </row>
    <row r="1213" spans="1:18">
      <c r="A1213" t="str">
        <f t="shared" si="95"/>
        <v>EOS1212</v>
      </c>
      <c r="B1213" s="35">
        <v>46028</v>
      </c>
      <c r="C1213" s="4" t="s">
        <v>267</v>
      </c>
      <c r="D1213" s="1" t="str">
        <f t="shared" si="99"/>
        <v>FB</v>
      </c>
      <c r="E1213" s="5" t="s">
        <v>1786</v>
      </c>
      <c r="F1213" s="1" t="s">
        <v>1787</v>
      </c>
      <c r="G1213" s="1" t="s">
        <v>1195</v>
      </c>
      <c r="H1213" s="1" t="s">
        <v>149</v>
      </c>
      <c r="I1213" s="1">
        <v>177000</v>
      </c>
      <c r="J1213" s="45">
        <v>1071211</v>
      </c>
      <c r="K1213" s="1" t="str">
        <f>TRIM(Cleaned_CRM_Data!H1213)</f>
        <v>Rejected</v>
      </c>
      <c r="L1213" t="str">
        <f>IFERROR(VLOOKUP(K1213, Status_Mapping!A:B, 2,), "Not Found")</f>
        <v>Rejected</v>
      </c>
      <c r="N1213" s="29" t="str">
        <f>IF(M1213="","",M1213-B1213)</f>
        <v/>
      </c>
      <c r="O1213" s="1" t="str">
        <f t="shared" si="97"/>
        <v>Growth</v>
      </c>
      <c r="P1213" t="str">
        <f>TEXT(B1213, "mmmm")</f>
        <v>January</v>
      </c>
      <c r="Q1213" t="str">
        <f t="shared" si="98"/>
        <v>Q1</v>
      </c>
      <c r="R1213" t="str">
        <f>IFERROR(VLOOKUP(TRIM(CLEAN(G1213)),Sheet14!$A$2:$B$19,2,FALSE),"Not Mapped")</f>
        <v>West</v>
      </c>
    </row>
    <row r="1214" spans="1:18">
      <c r="A1214" t="str">
        <f t="shared" si="95"/>
        <v>EOS1213</v>
      </c>
      <c r="B1214" s="35">
        <v>46028</v>
      </c>
      <c r="C1214" s="1" t="s">
        <v>267</v>
      </c>
      <c r="D1214" s="1" t="str">
        <f t="shared" si="99"/>
        <v>FB</v>
      </c>
      <c r="E1214" s="5" t="s">
        <v>1788</v>
      </c>
      <c r="F1214" s="1" t="s">
        <v>661</v>
      </c>
      <c r="G1214" s="1" t="s">
        <v>224</v>
      </c>
      <c r="H1214" s="1" t="s">
        <v>69</v>
      </c>
      <c r="I1214" s="1">
        <v>108000</v>
      </c>
      <c r="J1214" s="45">
        <v>1071212</v>
      </c>
      <c r="K1214" s="1" t="str">
        <f>TRIM(Cleaned_CRM_Data!H1214)</f>
        <v>Follow up</v>
      </c>
      <c r="L1214" t="str">
        <f>IFERROR(VLOOKUP(K1214, Status_Mapping!A:B, 2,), "Not Found")</f>
        <v>Follow Up</v>
      </c>
      <c r="N1214" s="29" t="str">
        <f>IF(M1214="","",M1214-B1214)</f>
        <v/>
      </c>
      <c r="O1214" s="1" t="str">
        <f t="shared" si="97"/>
        <v>Starter</v>
      </c>
      <c r="P1214" t="str">
        <f>TEXT(B1214, "mmmm")</f>
        <v>January</v>
      </c>
      <c r="Q1214" t="str">
        <f t="shared" si="98"/>
        <v>Q1</v>
      </c>
      <c r="R1214" t="str">
        <f>IFERROR(VLOOKUP(TRIM(CLEAN(G1214)),Sheet14!$A$2:$B$19,2,FALSE),"Not Mapped")</f>
        <v>West</v>
      </c>
    </row>
    <row r="1215" spans="1:18">
      <c r="A1215" t="str">
        <f t="shared" si="95"/>
        <v>EOS1214</v>
      </c>
      <c r="B1215" s="35">
        <v>46028</v>
      </c>
      <c r="C1215" s="4" t="s">
        <v>267</v>
      </c>
      <c r="D1215" s="1" t="str">
        <f t="shared" si="99"/>
        <v>FB</v>
      </c>
      <c r="E1215" s="5" t="s">
        <v>1789</v>
      </c>
      <c r="F1215" s="1" t="s">
        <v>300</v>
      </c>
      <c r="G1215" s="1" t="s">
        <v>1195</v>
      </c>
      <c r="H1215" s="1" t="s">
        <v>149</v>
      </c>
      <c r="I1215" s="1">
        <v>308000</v>
      </c>
      <c r="J1215" s="45">
        <v>1071213</v>
      </c>
      <c r="K1215" s="1" t="str">
        <f>TRIM(Cleaned_CRM_Data!H1215)</f>
        <v>Rejected</v>
      </c>
      <c r="L1215" t="str">
        <f>IFERROR(VLOOKUP(K1215, Status_Mapping!A:B, 2,), "Not Found")</f>
        <v>Rejected</v>
      </c>
      <c r="N1215" s="29" t="str">
        <f>IF(M1215="","",M1215-B1215)</f>
        <v/>
      </c>
      <c r="O1215" s="1" t="str">
        <f t="shared" si="97"/>
        <v>Premium</v>
      </c>
      <c r="P1215" t="str">
        <f>TEXT(B1215, "mmmm")</f>
        <v>January</v>
      </c>
      <c r="Q1215" t="str">
        <f t="shared" si="98"/>
        <v>Q1</v>
      </c>
      <c r="R1215" t="str">
        <f>IFERROR(VLOOKUP(TRIM(CLEAN(G1215)),Sheet14!$A$2:$B$19,2,FALSE),"Not Mapped")</f>
        <v>West</v>
      </c>
    </row>
    <row r="1216" spans="1:18">
      <c r="A1216" t="str">
        <f t="shared" si="95"/>
        <v>EOS1215</v>
      </c>
      <c r="B1216" s="35">
        <v>46028</v>
      </c>
      <c r="C1216" s="1" t="s">
        <v>267</v>
      </c>
      <c r="D1216" s="1" t="str">
        <f t="shared" si="99"/>
        <v>FB</v>
      </c>
      <c r="E1216" s="5" t="s">
        <v>1790</v>
      </c>
      <c r="F1216" s="1" t="s">
        <v>275</v>
      </c>
      <c r="G1216" s="1" t="s">
        <v>224</v>
      </c>
      <c r="H1216" s="1" t="s">
        <v>69</v>
      </c>
      <c r="I1216" s="1">
        <v>130000</v>
      </c>
      <c r="J1216" s="45">
        <v>1071214</v>
      </c>
      <c r="K1216" s="1" t="str">
        <f>TRIM(Cleaned_CRM_Data!H1216)</f>
        <v>Follow up</v>
      </c>
      <c r="L1216" t="str">
        <f>IFERROR(VLOOKUP(K1216, Status_Mapping!A:B, 2,), "Not Found")</f>
        <v>Follow Up</v>
      </c>
      <c r="N1216" s="29" t="str">
        <f>IF(M1216="","",M1216-B1216)</f>
        <v/>
      </c>
      <c r="O1216" s="1" t="str">
        <f t="shared" si="97"/>
        <v>Starter</v>
      </c>
      <c r="P1216" t="str">
        <f>TEXT(B1216, "mmmm")</f>
        <v>January</v>
      </c>
      <c r="Q1216" t="str">
        <f t="shared" si="98"/>
        <v>Q1</v>
      </c>
      <c r="R1216" t="str">
        <f>IFERROR(VLOOKUP(TRIM(CLEAN(G1216)),Sheet14!$A$2:$B$19,2,FALSE),"Not Mapped")</f>
        <v>West</v>
      </c>
    </row>
    <row r="1217" spans="1:18">
      <c r="A1217" t="str">
        <f t="shared" si="95"/>
        <v>EOS1216</v>
      </c>
      <c r="B1217" s="35">
        <v>46029</v>
      </c>
      <c r="C1217" s="4" t="s">
        <v>267</v>
      </c>
      <c r="D1217" s="1" t="str">
        <f t="shared" si="99"/>
        <v>FB</v>
      </c>
      <c r="E1217" s="5" t="s">
        <v>1791</v>
      </c>
      <c r="F1217" s="1" t="s">
        <v>304</v>
      </c>
      <c r="G1217" s="1" t="s">
        <v>224</v>
      </c>
      <c r="H1217" s="1" t="s">
        <v>69</v>
      </c>
      <c r="I1217" s="1">
        <v>108000</v>
      </c>
      <c r="J1217" s="45">
        <v>1071215</v>
      </c>
      <c r="K1217" s="1" t="str">
        <f>TRIM(Cleaned_CRM_Data!H1217)</f>
        <v>Follow up</v>
      </c>
      <c r="L1217" t="str">
        <f>IFERROR(VLOOKUP(K1217, Status_Mapping!A:B, 2,), "Not Found")</f>
        <v>Follow Up</v>
      </c>
      <c r="N1217" s="29" t="str">
        <f>IF(M1217="","",M1217-B1217)</f>
        <v/>
      </c>
      <c r="O1217" s="1" t="str">
        <f t="shared" si="97"/>
        <v>Starter</v>
      </c>
      <c r="P1217" t="str">
        <f>TEXT(B1217, "mmmm")</f>
        <v>January</v>
      </c>
      <c r="Q1217" t="str">
        <f t="shared" si="98"/>
        <v>Q1</v>
      </c>
      <c r="R1217" t="str">
        <f>IFERROR(VLOOKUP(TRIM(CLEAN(G1217)),Sheet14!$A$2:$B$19,2,FALSE),"Not Mapped")</f>
        <v>West</v>
      </c>
    </row>
    <row r="1218" spans="1:18">
      <c r="A1218" t="str">
        <f t="shared" si="95"/>
        <v>EOS1217</v>
      </c>
      <c r="B1218" s="35">
        <v>46029</v>
      </c>
      <c r="C1218" s="4" t="s">
        <v>267</v>
      </c>
      <c r="D1218" s="1" t="str">
        <f t="shared" si="99"/>
        <v>FB</v>
      </c>
      <c r="E1218" s="5" t="s">
        <v>1792</v>
      </c>
      <c r="F1218" s="1"/>
      <c r="G1218" s="1" t="s">
        <v>224</v>
      </c>
      <c r="H1218" s="1" t="s">
        <v>69</v>
      </c>
      <c r="I1218" s="1">
        <v>108000</v>
      </c>
      <c r="J1218" s="45">
        <v>1071216</v>
      </c>
      <c r="K1218" s="1" t="str">
        <f>TRIM(Cleaned_CRM_Data!H1218)</f>
        <v>Follow up</v>
      </c>
      <c r="L1218" t="str">
        <f>IFERROR(VLOOKUP(K1218, Status_Mapping!A:B, 2,), "Not Found")</f>
        <v>Follow Up</v>
      </c>
      <c r="N1218" s="29" t="str">
        <f>IF(M1218="","",M1218-B1218)</f>
        <v/>
      </c>
      <c r="O1218" s="1" t="str">
        <f t="shared" si="97"/>
        <v>Starter</v>
      </c>
      <c r="P1218" t="str">
        <f>TEXT(B1218, "mmmm")</f>
        <v>January</v>
      </c>
      <c r="Q1218" t="str">
        <f t="shared" si="98"/>
        <v>Q1</v>
      </c>
      <c r="R1218" t="str">
        <f>IFERROR(VLOOKUP(TRIM(CLEAN(G1218)),Sheet14!$A$2:$B$19,2,FALSE),"Not Mapped")</f>
        <v>West</v>
      </c>
    </row>
    <row r="1219" spans="1:18">
      <c r="A1219" t="str">
        <f t="shared" ref="A1219:A1282" si="100">"EOS"&amp;TEXT(ROW()-1,"0000")</f>
        <v>EOS1218</v>
      </c>
      <c r="B1219" s="35">
        <v>46029</v>
      </c>
      <c r="C1219" s="4" t="s">
        <v>267</v>
      </c>
      <c r="D1219" s="1" t="str">
        <f t="shared" si="99"/>
        <v>FB</v>
      </c>
      <c r="E1219" s="5" t="s">
        <v>1793</v>
      </c>
      <c r="F1219" s="1"/>
      <c r="G1219" s="1" t="s">
        <v>224</v>
      </c>
      <c r="H1219" s="1" t="s">
        <v>69</v>
      </c>
      <c r="I1219" s="1">
        <v>108000</v>
      </c>
      <c r="J1219" s="45">
        <v>1071217</v>
      </c>
      <c r="K1219" s="1" t="str">
        <f>TRIM(Cleaned_CRM_Data!H1219)</f>
        <v>Follow up</v>
      </c>
      <c r="L1219" t="str">
        <f>IFERROR(VLOOKUP(K1219, Status_Mapping!A:B, 2,), "Not Found")</f>
        <v>Follow Up</v>
      </c>
      <c r="N1219" s="29" t="str">
        <f>IF(M1219="","",M1219-B1219)</f>
        <v/>
      </c>
      <c r="O1219" s="1" t="str">
        <f t="shared" ref="O1219:O1282" si="101">IF(OR(I1219=108000,I1219=130000),"Starter",IF(I1219=177000,"Growth","Premium"))</f>
        <v>Starter</v>
      </c>
      <c r="P1219" t="str">
        <f>TEXT(B1219, "mmmm")</f>
        <v>January</v>
      </c>
      <c r="Q1219" t="str">
        <f t="shared" ref="Q1219:Q1282" si="102">"Q"&amp;ROUNDUP(MONTH(B1219)/3,0)</f>
        <v>Q1</v>
      </c>
      <c r="R1219" t="str">
        <f>IFERROR(VLOOKUP(TRIM(CLEAN(G1219)),Sheet14!$A$2:$B$19,2,FALSE),"Not Mapped")</f>
        <v>West</v>
      </c>
    </row>
    <row r="1220" spans="1:18">
      <c r="A1220" t="str">
        <f t="shared" si="100"/>
        <v>EOS1219</v>
      </c>
      <c r="B1220" s="35">
        <v>46029</v>
      </c>
      <c r="C1220" s="4" t="s">
        <v>267</v>
      </c>
      <c r="D1220" s="1" t="str">
        <f t="shared" si="99"/>
        <v>FB</v>
      </c>
      <c r="E1220" s="5" t="s">
        <v>410</v>
      </c>
      <c r="F1220" s="1"/>
      <c r="G1220" s="1" t="s">
        <v>224</v>
      </c>
      <c r="H1220" s="1" t="s">
        <v>69</v>
      </c>
      <c r="I1220" s="1">
        <v>108000</v>
      </c>
      <c r="J1220" s="45">
        <v>1071218</v>
      </c>
      <c r="K1220" s="1" t="str">
        <f>TRIM(Cleaned_CRM_Data!H1220)</f>
        <v>Follow up</v>
      </c>
      <c r="L1220" t="str">
        <f>IFERROR(VLOOKUP(K1220, Status_Mapping!A:B, 2,), "Not Found")</f>
        <v>Follow Up</v>
      </c>
      <c r="N1220" s="29" t="str">
        <f>IF(M1220="","",M1220-B1220)</f>
        <v/>
      </c>
      <c r="O1220" s="1" t="str">
        <f t="shared" si="101"/>
        <v>Starter</v>
      </c>
      <c r="P1220" t="str">
        <f>TEXT(B1220, "mmmm")</f>
        <v>January</v>
      </c>
      <c r="Q1220" t="str">
        <f t="shared" si="102"/>
        <v>Q1</v>
      </c>
      <c r="R1220" t="str">
        <f>IFERROR(VLOOKUP(TRIM(CLEAN(G1220)),Sheet14!$A$2:$B$19,2,FALSE),"Not Mapped")</f>
        <v>West</v>
      </c>
    </row>
    <row r="1221" spans="1:18">
      <c r="A1221" t="str">
        <f t="shared" si="100"/>
        <v>EOS1220</v>
      </c>
      <c r="B1221" s="35">
        <v>46029</v>
      </c>
      <c r="C1221" s="4" t="s">
        <v>267</v>
      </c>
      <c r="D1221" s="1" t="str">
        <f t="shared" si="99"/>
        <v>FB</v>
      </c>
      <c r="E1221" s="5" t="s">
        <v>1794</v>
      </c>
      <c r="F1221" s="1" t="s">
        <v>412</v>
      </c>
      <c r="G1221" s="1" t="s">
        <v>224</v>
      </c>
      <c r="H1221" s="1" t="s">
        <v>69</v>
      </c>
      <c r="I1221" s="1">
        <v>108000</v>
      </c>
      <c r="J1221" s="45">
        <v>1071219</v>
      </c>
      <c r="K1221" s="1" t="str">
        <f>TRIM(Cleaned_CRM_Data!H1221)</f>
        <v>Follow up</v>
      </c>
      <c r="L1221" t="str">
        <f>IFERROR(VLOOKUP(K1221, Status_Mapping!A:B, 2,), "Not Found")</f>
        <v>Follow Up</v>
      </c>
      <c r="N1221" s="29" t="str">
        <f>IF(M1221="","",M1221-B1221)</f>
        <v/>
      </c>
      <c r="O1221" s="1" t="str">
        <f t="shared" si="101"/>
        <v>Starter</v>
      </c>
      <c r="P1221" t="str">
        <f>TEXT(B1221, "mmmm")</f>
        <v>January</v>
      </c>
      <c r="Q1221" t="str">
        <f t="shared" si="102"/>
        <v>Q1</v>
      </c>
      <c r="R1221" t="str">
        <f>IFERROR(VLOOKUP(TRIM(CLEAN(G1221)),Sheet14!$A$2:$B$19,2,FALSE),"Not Mapped")</f>
        <v>West</v>
      </c>
    </row>
    <row r="1222" spans="1:18">
      <c r="A1222" t="str">
        <f t="shared" si="100"/>
        <v>EOS1221</v>
      </c>
      <c r="B1222" s="35">
        <v>46029</v>
      </c>
      <c r="C1222" s="4" t="s">
        <v>267</v>
      </c>
      <c r="D1222" s="1" t="str">
        <f t="shared" si="99"/>
        <v>FB</v>
      </c>
      <c r="E1222" s="5" t="s">
        <v>1795</v>
      </c>
      <c r="F1222" s="1"/>
      <c r="G1222" s="1" t="s">
        <v>224</v>
      </c>
      <c r="H1222" s="1" t="s">
        <v>69</v>
      </c>
      <c r="I1222" s="1">
        <v>130000</v>
      </c>
      <c r="J1222" s="45">
        <v>1071220</v>
      </c>
      <c r="K1222" s="1" t="str">
        <f>TRIM(Cleaned_CRM_Data!H1222)</f>
        <v>Follow up</v>
      </c>
      <c r="L1222" t="str">
        <f>IFERROR(VLOOKUP(K1222, Status_Mapping!A:B, 2,), "Not Found")</f>
        <v>Follow Up</v>
      </c>
      <c r="N1222" s="29" t="str">
        <f>IF(M1222="","",M1222-B1222)</f>
        <v/>
      </c>
      <c r="O1222" s="1" t="str">
        <f t="shared" si="101"/>
        <v>Starter</v>
      </c>
      <c r="P1222" t="str">
        <f>TEXT(B1222, "mmmm")</f>
        <v>January</v>
      </c>
      <c r="Q1222" t="str">
        <f t="shared" si="102"/>
        <v>Q1</v>
      </c>
      <c r="R1222" t="str">
        <f>IFERROR(VLOOKUP(TRIM(CLEAN(G1222)),Sheet14!$A$2:$B$19,2,FALSE),"Not Mapped")</f>
        <v>West</v>
      </c>
    </row>
    <row r="1223" spans="1:18">
      <c r="A1223" t="str">
        <f t="shared" si="100"/>
        <v>EOS1222</v>
      </c>
      <c r="B1223" s="35">
        <v>46029</v>
      </c>
      <c r="C1223" s="4" t="s">
        <v>267</v>
      </c>
      <c r="D1223" s="1" t="str">
        <f t="shared" si="99"/>
        <v>FB</v>
      </c>
      <c r="E1223" s="5" t="s">
        <v>1796</v>
      </c>
      <c r="F1223" s="1"/>
      <c r="G1223" s="1" t="s">
        <v>224</v>
      </c>
      <c r="H1223" s="1" t="s">
        <v>69</v>
      </c>
      <c r="I1223" s="1">
        <v>108000</v>
      </c>
      <c r="J1223" s="45">
        <v>1071221</v>
      </c>
      <c r="K1223" s="1" t="str">
        <f>TRIM(Cleaned_CRM_Data!H1223)</f>
        <v>Follow up</v>
      </c>
      <c r="L1223" t="str">
        <f>IFERROR(VLOOKUP(K1223, Status_Mapping!A:B, 2,), "Not Found")</f>
        <v>Follow Up</v>
      </c>
      <c r="N1223" s="29" t="str">
        <f>IF(M1223="","",M1223-B1223)</f>
        <v/>
      </c>
      <c r="O1223" s="1" t="str">
        <f t="shared" si="101"/>
        <v>Starter</v>
      </c>
      <c r="P1223" t="str">
        <f>TEXT(B1223, "mmmm")</f>
        <v>January</v>
      </c>
      <c r="Q1223" t="str">
        <f t="shared" si="102"/>
        <v>Q1</v>
      </c>
      <c r="R1223" t="str">
        <f>IFERROR(VLOOKUP(TRIM(CLEAN(G1223)),Sheet14!$A$2:$B$19,2,FALSE),"Not Mapped")</f>
        <v>West</v>
      </c>
    </row>
    <row r="1224" spans="1:18">
      <c r="A1224" t="str">
        <f t="shared" si="100"/>
        <v>EOS1223</v>
      </c>
      <c r="B1224" s="35">
        <v>46029</v>
      </c>
      <c r="C1224" s="4" t="s">
        <v>267</v>
      </c>
      <c r="D1224" s="1" t="str">
        <f t="shared" si="99"/>
        <v>FB</v>
      </c>
      <c r="E1224" s="5" t="s">
        <v>1797</v>
      </c>
      <c r="F1224" s="1" t="s">
        <v>1798</v>
      </c>
      <c r="G1224" s="1" t="s">
        <v>224</v>
      </c>
      <c r="H1224" s="1" t="s">
        <v>69</v>
      </c>
      <c r="I1224" s="1">
        <v>130000</v>
      </c>
      <c r="J1224" s="45">
        <v>1071222</v>
      </c>
      <c r="K1224" s="1" t="str">
        <f>TRIM(Cleaned_CRM_Data!H1224)</f>
        <v>Follow up</v>
      </c>
      <c r="L1224" t="str">
        <f>IFERROR(VLOOKUP(K1224, Status_Mapping!A:B, 2,), "Not Found")</f>
        <v>Follow Up</v>
      </c>
      <c r="N1224" s="29" t="str">
        <f>IF(M1224="","",M1224-B1224)</f>
        <v/>
      </c>
      <c r="O1224" s="1" t="str">
        <f t="shared" si="101"/>
        <v>Starter</v>
      </c>
      <c r="P1224" t="str">
        <f>TEXT(B1224, "mmmm")</f>
        <v>January</v>
      </c>
      <c r="Q1224" t="str">
        <f t="shared" si="102"/>
        <v>Q1</v>
      </c>
      <c r="R1224" t="str">
        <f>IFERROR(VLOOKUP(TRIM(CLEAN(G1224)),Sheet14!$A$2:$B$19,2,FALSE),"Not Mapped")</f>
        <v>West</v>
      </c>
    </row>
    <row r="1225" spans="1:18">
      <c r="A1225" t="str">
        <f t="shared" si="100"/>
        <v>EOS1224</v>
      </c>
      <c r="B1225" s="35">
        <v>46030</v>
      </c>
      <c r="C1225" s="4" t="s">
        <v>267</v>
      </c>
      <c r="D1225" s="1" t="str">
        <f t="shared" si="99"/>
        <v>FB</v>
      </c>
      <c r="E1225" s="5" t="s">
        <v>376</v>
      </c>
      <c r="F1225" s="1"/>
      <c r="G1225" s="1" t="s">
        <v>224</v>
      </c>
      <c r="H1225" s="1" t="s">
        <v>69</v>
      </c>
      <c r="I1225" s="1">
        <v>130000</v>
      </c>
      <c r="J1225" s="45">
        <v>1071223</v>
      </c>
      <c r="K1225" s="1" t="str">
        <f>TRIM(Cleaned_CRM_Data!H1225)</f>
        <v>Follow up</v>
      </c>
      <c r="L1225" t="str">
        <f>IFERROR(VLOOKUP(K1225, Status_Mapping!A:B, 2,), "Not Found")</f>
        <v>Follow Up</v>
      </c>
      <c r="N1225" s="29" t="str">
        <f>IF(M1225="","",M1225-B1225)</f>
        <v/>
      </c>
      <c r="O1225" s="1" t="str">
        <f t="shared" si="101"/>
        <v>Starter</v>
      </c>
      <c r="P1225" t="str">
        <f>TEXT(B1225, "mmmm")</f>
        <v>January</v>
      </c>
      <c r="Q1225" t="str">
        <f t="shared" si="102"/>
        <v>Q1</v>
      </c>
      <c r="R1225" t="str">
        <f>IFERROR(VLOOKUP(TRIM(CLEAN(G1225)),Sheet14!$A$2:$B$19,2,FALSE),"Not Mapped")</f>
        <v>West</v>
      </c>
    </row>
    <row r="1226" spans="1:18">
      <c r="A1226" t="str">
        <f t="shared" si="100"/>
        <v>EOS1225</v>
      </c>
      <c r="B1226" s="35">
        <v>46030</v>
      </c>
      <c r="C1226" s="4" t="s">
        <v>267</v>
      </c>
      <c r="D1226" s="1" t="str">
        <f t="shared" si="99"/>
        <v>FB</v>
      </c>
      <c r="E1226" s="5" t="s">
        <v>1799</v>
      </c>
      <c r="F1226" s="1"/>
      <c r="G1226" s="1" t="s">
        <v>224</v>
      </c>
      <c r="H1226" s="1" t="s">
        <v>69</v>
      </c>
      <c r="I1226" s="1">
        <v>177000</v>
      </c>
      <c r="J1226" s="45">
        <v>1071224</v>
      </c>
      <c r="K1226" s="1" t="str">
        <f>TRIM(Cleaned_CRM_Data!H1226)</f>
        <v>Follow up</v>
      </c>
      <c r="L1226" t="str">
        <f>IFERROR(VLOOKUP(K1226, Status_Mapping!A:B, 2,), "Not Found")</f>
        <v>Follow Up</v>
      </c>
      <c r="N1226" s="29" t="str">
        <f>IF(M1226="","",M1226-B1226)</f>
        <v/>
      </c>
      <c r="O1226" s="1" t="str">
        <f t="shared" si="101"/>
        <v>Growth</v>
      </c>
      <c r="P1226" t="str">
        <f>TEXT(B1226, "mmmm")</f>
        <v>January</v>
      </c>
      <c r="Q1226" t="str">
        <f t="shared" si="102"/>
        <v>Q1</v>
      </c>
      <c r="R1226" t="str">
        <f>IFERROR(VLOOKUP(TRIM(CLEAN(G1226)),Sheet14!$A$2:$B$19,2,FALSE),"Not Mapped")</f>
        <v>West</v>
      </c>
    </row>
    <row r="1227" spans="1:18">
      <c r="A1227" t="str">
        <f t="shared" si="100"/>
        <v>EOS1226</v>
      </c>
      <c r="B1227" s="35">
        <v>46030</v>
      </c>
      <c r="C1227" s="4" t="s">
        <v>267</v>
      </c>
      <c r="D1227" s="1" t="str">
        <f t="shared" si="99"/>
        <v>FB</v>
      </c>
      <c r="E1227" s="5" t="s">
        <v>1800</v>
      </c>
      <c r="F1227" s="1"/>
      <c r="G1227" s="1" t="s">
        <v>224</v>
      </c>
      <c r="H1227" s="1" t="s">
        <v>69</v>
      </c>
      <c r="I1227" s="1">
        <v>108000</v>
      </c>
      <c r="J1227" s="45">
        <v>1071225</v>
      </c>
      <c r="K1227" s="1" t="str">
        <f>TRIM(Cleaned_CRM_Data!H1227)</f>
        <v>Follow up</v>
      </c>
      <c r="L1227" t="str">
        <f>IFERROR(VLOOKUP(K1227, Status_Mapping!A:B, 2,), "Not Found")</f>
        <v>Follow Up</v>
      </c>
      <c r="N1227" s="29" t="str">
        <f>IF(M1227="","",M1227-B1227)</f>
        <v/>
      </c>
      <c r="O1227" s="1" t="str">
        <f t="shared" si="101"/>
        <v>Starter</v>
      </c>
      <c r="P1227" t="str">
        <f>TEXT(B1227, "mmmm")</f>
        <v>January</v>
      </c>
      <c r="Q1227" t="str">
        <f t="shared" si="102"/>
        <v>Q1</v>
      </c>
      <c r="R1227" t="str">
        <f>IFERROR(VLOOKUP(TRIM(CLEAN(G1227)),Sheet14!$A$2:$B$19,2,FALSE),"Not Mapped")</f>
        <v>West</v>
      </c>
    </row>
    <row r="1228" spans="1:18">
      <c r="A1228" t="str">
        <f t="shared" si="100"/>
        <v>EOS1227</v>
      </c>
      <c r="B1228" s="35">
        <v>46030</v>
      </c>
      <c r="C1228" s="4" t="s">
        <v>267</v>
      </c>
      <c r="D1228" s="1" t="str">
        <f t="shared" si="99"/>
        <v>FB</v>
      </c>
      <c r="E1228" s="1" t="s">
        <v>1801</v>
      </c>
      <c r="F1228" s="5" t="s">
        <v>860</v>
      </c>
      <c r="G1228" s="1" t="s">
        <v>224</v>
      </c>
      <c r="H1228" s="1" t="s">
        <v>69</v>
      </c>
      <c r="I1228" s="1">
        <v>130000</v>
      </c>
      <c r="J1228" s="45">
        <v>1071226</v>
      </c>
      <c r="K1228" s="1" t="str">
        <f>TRIM(Cleaned_CRM_Data!H1228)</f>
        <v>Follow up</v>
      </c>
      <c r="L1228" t="str">
        <f>IFERROR(VLOOKUP(K1228, Status_Mapping!A:B, 2,), "Not Found")</f>
        <v>Follow Up</v>
      </c>
      <c r="N1228" s="29" t="str">
        <f>IF(M1228="","",M1228-B1228)</f>
        <v/>
      </c>
      <c r="O1228" s="1" t="str">
        <f t="shared" si="101"/>
        <v>Starter</v>
      </c>
      <c r="P1228" t="str">
        <f>TEXT(B1228, "mmmm")</f>
        <v>January</v>
      </c>
      <c r="Q1228" t="str">
        <f t="shared" si="102"/>
        <v>Q1</v>
      </c>
      <c r="R1228" t="str">
        <f>IFERROR(VLOOKUP(TRIM(CLEAN(G1228)),Sheet14!$A$2:$B$19,2,FALSE),"Not Mapped")</f>
        <v>West</v>
      </c>
    </row>
    <row r="1229" spans="1:18">
      <c r="A1229" t="str">
        <f t="shared" si="100"/>
        <v>EOS1228</v>
      </c>
      <c r="B1229" s="35">
        <v>46031</v>
      </c>
      <c r="C1229" s="4" t="s">
        <v>267</v>
      </c>
      <c r="D1229" s="1" t="str">
        <f t="shared" si="99"/>
        <v>FB</v>
      </c>
      <c r="E1229" s="5" t="s">
        <v>1802</v>
      </c>
      <c r="F1229" s="5" t="s">
        <v>1803</v>
      </c>
      <c r="G1229" s="1" t="s">
        <v>224</v>
      </c>
      <c r="H1229" s="1" t="s">
        <v>69</v>
      </c>
      <c r="I1229" s="1">
        <v>108000</v>
      </c>
      <c r="J1229" s="45">
        <v>1071227</v>
      </c>
      <c r="K1229" s="1" t="str">
        <f>TRIM(Cleaned_CRM_Data!H1229)</f>
        <v>Follow up</v>
      </c>
      <c r="L1229" t="str">
        <f>IFERROR(VLOOKUP(K1229, Status_Mapping!A:B, 2,), "Not Found")</f>
        <v>Follow Up</v>
      </c>
      <c r="N1229" s="29" t="str">
        <f>IF(M1229="","",M1229-B1229)</f>
        <v/>
      </c>
      <c r="O1229" s="1" t="str">
        <f t="shared" si="101"/>
        <v>Starter</v>
      </c>
      <c r="P1229" t="str">
        <f>TEXT(B1229, "mmmm")</f>
        <v>January</v>
      </c>
      <c r="Q1229" t="str">
        <f t="shared" si="102"/>
        <v>Q1</v>
      </c>
      <c r="R1229" t="str">
        <f>IFERROR(VLOOKUP(TRIM(CLEAN(G1229)),Sheet14!$A$2:$B$19,2,FALSE),"Not Mapped")</f>
        <v>West</v>
      </c>
    </row>
    <row r="1230" spans="1:18">
      <c r="A1230" t="str">
        <f t="shared" si="100"/>
        <v>EOS1229</v>
      </c>
      <c r="B1230" s="35">
        <v>46031</v>
      </c>
      <c r="C1230" s="4" t="s">
        <v>267</v>
      </c>
      <c r="D1230" s="1" t="str">
        <f t="shared" si="99"/>
        <v>FB</v>
      </c>
      <c r="E1230" s="1"/>
      <c r="F1230" s="1"/>
      <c r="G1230" s="1" t="s">
        <v>224</v>
      </c>
      <c r="H1230" s="1" t="s">
        <v>69</v>
      </c>
      <c r="I1230" s="1">
        <v>108000</v>
      </c>
      <c r="J1230" s="45">
        <v>1071228</v>
      </c>
      <c r="K1230" s="1" t="str">
        <f>TRIM(Cleaned_CRM_Data!H1230)</f>
        <v>Follow up</v>
      </c>
      <c r="L1230" t="str">
        <f>IFERROR(VLOOKUP(K1230, Status_Mapping!A:B, 2,), "Not Found")</f>
        <v>Follow Up</v>
      </c>
      <c r="N1230" s="29" t="str">
        <f>IF(M1230="","",M1230-B1230)</f>
        <v/>
      </c>
      <c r="O1230" s="1" t="str">
        <f t="shared" si="101"/>
        <v>Starter</v>
      </c>
      <c r="P1230" t="str">
        <f>TEXT(B1230, "mmmm")</f>
        <v>January</v>
      </c>
      <c r="Q1230" t="str">
        <f t="shared" si="102"/>
        <v>Q1</v>
      </c>
      <c r="R1230" t="str">
        <f>IFERROR(VLOOKUP(TRIM(CLEAN(G1230)),Sheet14!$A$2:$B$19,2,FALSE),"Not Mapped")</f>
        <v>West</v>
      </c>
    </row>
    <row r="1231" spans="1:18">
      <c r="A1231" t="str">
        <f t="shared" si="100"/>
        <v>EOS1230</v>
      </c>
      <c r="B1231" s="35">
        <v>46034</v>
      </c>
      <c r="C1231" s="4" t="s">
        <v>267</v>
      </c>
      <c r="D1231" s="1" t="str">
        <f t="shared" si="99"/>
        <v>FB</v>
      </c>
      <c r="E1231" s="5" t="s">
        <v>1804</v>
      </c>
      <c r="F1231" s="1"/>
      <c r="G1231" s="1" t="s">
        <v>224</v>
      </c>
      <c r="H1231" s="1" t="s">
        <v>69</v>
      </c>
      <c r="I1231" s="1">
        <v>177000</v>
      </c>
      <c r="J1231" s="45">
        <v>1071229</v>
      </c>
      <c r="K1231" s="1" t="str">
        <f>TRIM(Cleaned_CRM_Data!H1231)</f>
        <v>Follow up</v>
      </c>
      <c r="L1231" t="str">
        <f>IFERROR(VLOOKUP(K1231, Status_Mapping!A:B, 2,), "Not Found")</f>
        <v>Follow Up</v>
      </c>
      <c r="N1231" s="29" t="str">
        <f>IF(M1231="","",M1231-B1231)</f>
        <v/>
      </c>
      <c r="O1231" s="1" t="str">
        <f t="shared" si="101"/>
        <v>Growth</v>
      </c>
      <c r="P1231" t="str">
        <f>TEXT(B1231, "mmmm")</f>
        <v>January</v>
      </c>
      <c r="Q1231" t="str">
        <f t="shared" si="102"/>
        <v>Q1</v>
      </c>
      <c r="R1231" t="str">
        <f>IFERROR(VLOOKUP(TRIM(CLEAN(G1231)),Sheet14!$A$2:$B$19,2,FALSE),"Not Mapped")</f>
        <v>West</v>
      </c>
    </row>
    <row r="1232" spans="1:18">
      <c r="A1232" t="str">
        <f t="shared" si="100"/>
        <v>EOS1231</v>
      </c>
      <c r="B1232" s="35">
        <v>46034</v>
      </c>
      <c r="C1232" s="4" t="s">
        <v>267</v>
      </c>
      <c r="D1232" s="1" t="str">
        <f t="shared" si="99"/>
        <v>FB</v>
      </c>
      <c r="E1232" s="5" t="s">
        <v>1805</v>
      </c>
      <c r="F1232" s="1" t="s">
        <v>275</v>
      </c>
      <c r="G1232" s="1" t="s">
        <v>224</v>
      </c>
      <c r="H1232" s="1" t="s">
        <v>69</v>
      </c>
      <c r="I1232" s="1">
        <v>177000</v>
      </c>
      <c r="J1232" s="45">
        <v>1071230</v>
      </c>
      <c r="K1232" s="1" t="str">
        <f>TRIM(Cleaned_CRM_Data!H1232)</f>
        <v>Follow up</v>
      </c>
      <c r="L1232" t="str">
        <f>IFERROR(VLOOKUP(K1232, Status_Mapping!A:B, 2,), "Not Found")</f>
        <v>Follow Up</v>
      </c>
      <c r="N1232" s="29" t="str">
        <f>IF(M1232="","",M1232-B1232)</f>
        <v/>
      </c>
      <c r="O1232" s="1" t="str">
        <f t="shared" si="101"/>
        <v>Growth</v>
      </c>
      <c r="P1232" t="str">
        <f>TEXT(B1232, "mmmm")</f>
        <v>January</v>
      </c>
      <c r="Q1232" t="str">
        <f t="shared" si="102"/>
        <v>Q1</v>
      </c>
      <c r="R1232" t="str">
        <f>IFERROR(VLOOKUP(TRIM(CLEAN(G1232)),Sheet14!$A$2:$B$19,2,FALSE),"Not Mapped")</f>
        <v>West</v>
      </c>
    </row>
    <row r="1233" spans="1:18">
      <c r="A1233" t="str">
        <f t="shared" si="100"/>
        <v>EOS1232</v>
      </c>
      <c r="B1233" s="35">
        <v>46035</v>
      </c>
      <c r="C1233" s="4" t="s">
        <v>267</v>
      </c>
      <c r="D1233" s="1" t="str">
        <f t="shared" si="99"/>
        <v>FB</v>
      </c>
      <c r="E1233" s="5" t="s">
        <v>1806</v>
      </c>
      <c r="F1233" s="5" t="s">
        <v>1807</v>
      </c>
      <c r="G1233" s="1" t="s">
        <v>224</v>
      </c>
      <c r="H1233" s="1" t="s">
        <v>69</v>
      </c>
      <c r="I1233" s="1">
        <v>108000</v>
      </c>
      <c r="J1233" s="45">
        <v>1071231</v>
      </c>
      <c r="K1233" s="1" t="str">
        <f>TRIM(Cleaned_CRM_Data!H1233)</f>
        <v>Follow up</v>
      </c>
      <c r="L1233" t="str">
        <f>IFERROR(VLOOKUP(K1233, Status_Mapping!A:B, 2,), "Not Found")</f>
        <v>Follow Up</v>
      </c>
      <c r="N1233" s="29" t="str">
        <f>IF(M1233="","",M1233-B1233)</f>
        <v/>
      </c>
      <c r="O1233" s="1" t="str">
        <f t="shared" si="101"/>
        <v>Starter</v>
      </c>
      <c r="P1233" t="str">
        <f>TEXT(B1233, "mmmm")</f>
        <v>January</v>
      </c>
      <c r="Q1233" t="str">
        <f t="shared" si="102"/>
        <v>Q1</v>
      </c>
      <c r="R1233" t="str">
        <f>IFERROR(VLOOKUP(TRIM(CLEAN(G1233)),Sheet14!$A$2:$B$19,2,FALSE),"Not Mapped")</f>
        <v>West</v>
      </c>
    </row>
    <row r="1234" spans="1:18">
      <c r="A1234" t="str">
        <f t="shared" si="100"/>
        <v>EOS1233</v>
      </c>
      <c r="B1234" s="35">
        <v>46035</v>
      </c>
      <c r="C1234" s="4" t="s">
        <v>267</v>
      </c>
      <c r="D1234" s="1" t="str">
        <f t="shared" si="99"/>
        <v>FB</v>
      </c>
      <c r="E1234" s="5" t="s">
        <v>1808</v>
      </c>
      <c r="F1234" s="1" t="s">
        <v>275</v>
      </c>
      <c r="G1234" s="1" t="s">
        <v>224</v>
      </c>
      <c r="H1234" s="1" t="s">
        <v>69</v>
      </c>
      <c r="I1234" s="1">
        <v>108000</v>
      </c>
      <c r="J1234" s="45">
        <v>1071232</v>
      </c>
      <c r="K1234" s="1" t="str">
        <f>TRIM(Cleaned_CRM_Data!H1234)</f>
        <v>Follow up</v>
      </c>
      <c r="L1234" t="str">
        <f>IFERROR(VLOOKUP(K1234, Status_Mapping!A:B, 2,), "Not Found")</f>
        <v>Follow Up</v>
      </c>
      <c r="N1234" s="29" t="str">
        <f>IF(M1234="","",M1234-B1234)</f>
        <v/>
      </c>
      <c r="O1234" s="1" t="str">
        <f t="shared" si="101"/>
        <v>Starter</v>
      </c>
      <c r="P1234" t="str">
        <f>TEXT(B1234, "mmmm")</f>
        <v>January</v>
      </c>
      <c r="Q1234" t="str">
        <f t="shared" si="102"/>
        <v>Q1</v>
      </c>
      <c r="R1234" t="str">
        <f>IFERROR(VLOOKUP(TRIM(CLEAN(G1234)),Sheet14!$A$2:$B$19,2,FALSE),"Not Mapped")</f>
        <v>West</v>
      </c>
    </row>
    <row r="1235" spans="1:18">
      <c r="A1235" t="str">
        <f t="shared" si="100"/>
        <v>EOS1234</v>
      </c>
      <c r="B1235" s="35">
        <v>46035</v>
      </c>
      <c r="C1235" s="4" t="s">
        <v>267</v>
      </c>
      <c r="D1235" s="1" t="str">
        <f t="shared" si="99"/>
        <v>FB</v>
      </c>
      <c r="E1235" s="5" t="s">
        <v>1809</v>
      </c>
      <c r="F1235" s="5" t="s">
        <v>304</v>
      </c>
      <c r="G1235" s="1" t="s">
        <v>224</v>
      </c>
      <c r="H1235" s="1" t="s">
        <v>69</v>
      </c>
      <c r="I1235" s="1">
        <v>130000</v>
      </c>
      <c r="J1235" s="45">
        <v>1071233</v>
      </c>
      <c r="K1235" s="1" t="str">
        <f>TRIM(Cleaned_CRM_Data!H1235)</f>
        <v>Follow up</v>
      </c>
      <c r="L1235" t="str">
        <f>IFERROR(VLOOKUP(K1235, Status_Mapping!A:B, 2,), "Not Found")</f>
        <v>Follow Up</v>
      </c>
      <c r="N1235" s="29" t="str">
        <f>IF(M1235="","",M1235-B1235)</f>
        <v/>
      </c>
      <c r="O1235" s="1" t="str">
        <f t="shared" si="101"/>
        <v>Starter</v>
      </c>
      <c r="P1235" t="str">
        <f>TEXT(B1235, "mmmm")</f>
        <v>January</v>
      </c>
      <c r="Q1235" t="str">
        <f t="shared" si="102"/>
        <v>Q1</v>
      </c>
      <c r="R1235" t="str">
        <f>IFERROR(VLOOKUP(TRIM(CLEAN(G1235)),Sheet14!$A$2:$B$19,2,FALSE),"Not Mapped")</f>
        <v>West</v>
      </c>
    </row>
    <row r="1236" spans="1:18">
      <c r="A1236" t="str">
        <f t="shared" si="100"/>
        <v>EOS1235</v>
      </c>
      <c r="B1236" s="35">
        <v>46035</v>
      </c>
      <c r="C1236" s="4" t="s">
        <v>267</v>
      </c>
      <c r="D1236" s="1" t="str">
        <f t="shared" si="99"/>
        <v>FB</v>
      </c>
      <c r="E1236" s="5" t="s">
        <v>1810</v>
      </c>
      <c r="F1236" s="1" t="s">
        <v>350</v>
      </c>
      <c r="G1236" s="1" t="s">
        <v>224</v>
      </c>
      <c r="H1236" s="1" t="s">
        <v>69</v>
      </c>
      <c r="I1236" s="1">
        <v>130000</v>
      </c>
      <c r="J1236" s="45">
        <v>1071234</v>
      </c>
      <c r="K1236" s="1" t="str">
        <f>TRIM(Cleaned_CRM_Data!H1236)</f>
        <v>Follow up</v>
      </c>
      <c r="L1236" t="str">
        <f>IFERROR(VLOOKUP(K1236, Status_Mapping!A:B, 2,), "Not Found")</f>
        <v>Follow Up</v>
      </c>
      <c r="N1236" s="29" t="str">
        <f>IF(M1236="","",M1236-B1236)</f>
        <v/>
      </c>
      <c r="O1236" s="1" t="str">
        <f t="shared" si="101"/>
        <v>Starter</v>
      </c>
      <c r="P1236" t="str">
        <f>TEXT(B1236, "mmmm")</f>
        <v>January</v>
      </c>
      <c r="Q1236" t="str">
        <f t="shared" si="102"/>
        <v>Q1</v>
      </c>
      <c r="R1236" t="str">
        <f>IFERROR(VLOOKUP(TRIM(CLEAN(G1236)),Sheet14!$A$2:$B$19,2,FALSE),"Not Mapped")</f>
        <v>West</v>
      </c>
    </row>
    <row r="1237" spans="1:18">
      <c r="A1237" t="str">
        <f t="shared" si="100"/>
        <v>EOS1236</v>
      </c>
      <c r="B1237" s="35">
        <v>46035</v>
      </c>
      <c r="C1237" s="4" t="s">
        <v>267</v>
      </c>
      <c r="D1237" s="1" t="str">
        <f t="shared" si="99"/>
        <v>FB</v>
      </c>
      <c r="E1237" s="5" t="s">
        <v>1811</v>
      </c>
      <c r="F1237" s="5" t="s">
        <v>304</v>
      </c>
      <c r="G1237" s="1" t="s">
        <v>224</v>
      </c>
      <c r="H1237" s="1" t="s">
        <v>69</v>
      </c>
      <c r="I1237" s="1">
        <v>108000</v>
      </c>
      <c r="J1237" s="45">
        <v>1071235</v>
      </c>
      <c r="K1237" s="1" t="str">
        <f>TRIM(Cleaned_CRM_Data!H1237)</f>
        <v>Follow up</v>
      </c>
      <c r="L1237" t="str">
        <f>IFERROR(VLOOKUP(K1237, Status_Mapping!A:B, 2,), "Not Found")</f>
        <v>Follow Up</v>
      </c>
      <c r="N1237" s="29" t="str">
        <f>IF(M1237="","",M1237-B1237)</f>
        <v/>
      </c>
      <c r="O1237" s="1" t="str">
        <f t="shared" si="101"/>
        <v>Starter</v>
      </c>
      <c r="P1237" t="str">
        <f>TEXT(B1237, "mmmm")</f>
        <v>January</v>
      </c>
      <c r="Q1237" t="str">
        <f t="shared" si="102"/>
        <v>Q1</v>
      </c>
      <c r="R1237" t="str">
        <f>IFERROR(VLOOKUP(TRIM(CLEAN(G1237)),Sheet14!$A$2:$B$19,2,FALSE),"Not Mapped")</f>
        <v>West</v>
      </c>
    </row>
    <row r="1238" spans="1:18">
      <c r="A1238" t="str">
        <f t="shared" si="100"/>
        <v>EOS1237</v>
      </c>
      <c r="B1238" s="35">
        <v>46038</v>
      </c>
      <c r="C1238" s="4" t="s">
        <v>267</v>
      </c>
      <c r="D1238" s="1" t="str">
        <f t="shared" si="99"/>
        <v>FB</v>
      </c>
      <c r="E1238" s="5" t="s">
        <v>1812</v>
      </c>
      <c r="F1238" s="1" t="s">
        <v>275</v>
      </c>
      <c r="G1238" s="1" t="s">
        <v>224</v>
      </c>
      <c r="H1238" s="1" t="s">
        <v>69</v>
      </c>
      <c r="I1238" s="1">
        <v>108000</v>
      </c>
      <c r="J1238" s="45">
        <v>1071236</v>
      </c>
      <c r="K1238" s="1" t="str">
        <f>TRIM(Cleaned_CRM_Data!H1238)</f>
        <v>Follow up</v>
      </c>
      <c r="L1238" t="str">
        <f>IFERROR(VLOOKUP(K1238, Status_Mapping!A:B, 2,), "Not Found")</f>
        <v>Follow Up</v>
      </c>
      <c r="N1238" s="29" t="str">
        <f>IF(M1238="","",M1238-B1238)</f>
        <v/>
      </c>
      <c r="O1238" s="1" t="str">
        <f t="shared" si="101"/>
        <v>Starter</v>
      </c>
      <c r="P1238" t="str">
        <f>TEXT(B1238, "mmmm")</f>
        <v>January</v>
      </c>
      <c r="Q1238" t="str">
        <f t="shared" si="102"/>
        <v>Q1</v>
      </c>
      <c r="R1238" t="str">
        <f>IFERROR(VLOOKUP(TRIM(CLEAN(G1238)),Sheet14!$A$2:$B$19,2,FALSE),"Not Mapped")</f>
        <v>West</v>
      </c>
    </row>
    <row r="1239" spans="1:18">
      <c r="A1239" t="str">
        <f t="shared" si="100"/>
        <v>EOS1238</v>
      </c>
      <c r="B1239" s="35">
        <v>46038</v>
      </c>
      <c r="C1239" s="4" t="s">
        <v>267</v>
      </c>
      <c r="D1239" s="1" t="str">
        <f t="shared" si="99"/>
        <v>FB</v>
      </c>
      <c r="E1239" s="5" t="s">
        <v>1813</v>
      </c>
      <c r="F1239" s="1" t="s">
        <v>275</v>
      </c>
      <c r="G1239" s="1" t="s">
        <v>224</v>
      </c>
      <c r="H1239" s="1" t="s">
        <v>69</v>
      </c>
      <c r="I1239" s="1">
        <v>130000</v>
      </c>
      <c r="J1239" s="45">
        <v>1071237</v>
      </c>
      <c r="K1239" s="1" t="str">
        <f>TRIM(Cleaned_CRM_Data!H1239)</f>
        <v>Follow up</v>
      </c>
      <c r="L1239" t="str">
        <f>IFERROR(VLOOKUP(K1239, Status_Mapping!A:B, 2,), "Not Found")</f>
        <v>Follow Up</v>
      </c>
      <c r="N1239" s="29" t="str">
        <f>IF(M1239="","",M1239-B1239)</f>
        <v/>
      </c>
      <c r="O1239" s="1" t="str">
        <f t="shared" si="101"/>
        <v>Starter</v>
      </c>
      <c r="P1239" t="str">
        <f>TEXT(B1239, "mmmm")</f>
        <v>January</v>
      </c>
      <c r="Q1239" t="str">
        <f t="shared" si="102"/>
        <v>Q1</v>
      </c>
      <c r="R1239" t="str">
        <f>IFERROR(VLOOKUP(TRIM(CLEAN(G1239)),Sheet14!$A$2:$B$19,2,FALSE),"Not Mapped")</f>
        <v>West</v>
      </c>
    </row>
    <row r="1240" spans="1:18">
      <c r="A1240" t="str">
        <f t="shared" si="100"/>
        <v>EOS1239</v>
      </c>
      <c r="B1240" s="35">
        <v>46038</v>
      </c>
      <c r="C1240" s="4" t="s">
        <v>267</v>
      </c>
      <c r="D1240" s="1" t="str">
        <f t="shared" si="99"/>
        <v>FB</v>
      </c>
      <c r="E1240" s="5" t="s">
        <v>1814</v>
      </c>
      <c r="F1240" s="5" t="s">
        <v>722</v>
      </c>
      <c r="G1240" s="1" t="s">
        <v>224</v>
      </c>
      <c r="H1240" s="1" t="s">
        <v>69</v>
      </c>
      <c r="I1240" s="1">
        <v>130000</v>
      </c>
      <c r="J1240" s="45">
        <v>1071238</v>
      </c>
      <c r="K1240" s="1" t="str">
        <f>TRIM(Cleaned_CRM_Data!H1240)</f>
        <v>Follow up</v>
      </c>
      <c r="L1240" t="str">
        <f>IFERROR(VLOOKUP(K1240, Status_Mapping!A:B, 2,), "Not Found")</f>
        <v>Follow Up</v>
      </c>
      <c r="N1240" s="29" t="str">
        <f>IF(M1240="","",M1240-B1240)</f>
        <v/>
      </c>
      <c r="O1240" s="1" t="str">
        <f t="shared" si="101"/>
        <v>Starter</v>
      </c>
      <c r="P1240" t="str">
        <f>TEXT(B1240, "mmmm")</f>
        <v>January</v>
      </c>
      <c r="Q1240" t="str">
        <f t="shared" si="102"/>
        <v>Q1</v>
      </c>
      <c r="R1240" t="str">
        <f>IFERROR(VLOOKUP(TRIM(CLEAN(G1240)),Sheet14!$A$2:$B$19,2,FALSE),"Not Mapped")</f>
        <v>West</v>
      </c>
    </row>
    <row r="1241" spans="1:18">
      <c r="A1241" t="str">
        <f t="shared" si="100"/>
        <v>EOS1240</v>
      </c>
      <c r="B1241" s="35">
        <v>46038</v>
      </c>
      <c r="C1241" s="4" t="s">
        <v>267</v>
      </c>
      <c r="D1241" s="1" t="str">
        <f t="shared" si="99"/>
        <v>FB</v>
      </c>
      <c r="E1241" s="5" t="s">
        <v>1815</v>
      </c>
      <c r="F1241" s="1" t="s">
        <v>300</v>
      </c>
      <c r="G1241" s="1" t="s">
        <v>224</v>
      </c>
      <c r="H1241" s="1" t="s">
        <v>69</v>
      </c>
      <c r="I1241" s="1">
        <v>108000</v>
      </c>
      <c r="J1241" s="45">
        <v>1071239</v>
      </c>
      <c r="K1241" s="1" t="str">
        <f>TRIM(Cleaned_CRM_Data!H1241)</f>
        <v>Follow up</v>
      </c>
      <c r="L1241" t="str">
        <f>IFERROR(VLOOKUP(K1241, Status_Mapping!A:B, 2,), "Not Found")</f>
        <v>Follow Up</v>
      </c>
      <c r="N1241" s="29" t="str">
        <f>IF(M1241="","",M1241-B1241)</f>
        <v/>
      </c>
      <c r="O1241" s="1" t="str">
        <f t="shared" si="101"/>
        <v>Starter</v>
      </c>
      <c r="P1241" t="str">
        <f>TEXT(B1241, "mmmm")</f>
        <v>January</v>
      </c>
      <c r="Q1241" t="str">
        <f t="shared" si="102"/>
        <v>Q1</v>
      </c>
      <c r="R1241" t="str">
        <f>IFERROR(VLOOKUP(TRIM(CLEAN(G1241)),Sheet14!$A$2:$B$19,2,FALSE),"Not Mapped")</f>
        <v>West</v>
      </c>
    </row>
    <row r="1242" spans="1:18">
      <c r="A1242" t="str">
        <f t="shared" si="100"/>
        <v>EOS1241</v>
      </c>
      <c r="B1242" s="35">
        <v>46038</v>
      </c>
      <c r="C1242" s="4" t="s">
        <v>267</v>
      </c>
      <c r="D1242" s="1" t="str">
        <f t="shared" si="99"/>
        <v>FB</v>
      </c>
      <c r="E1242" s="5" t="s">
        <v>1816</v>
      </c>
      <c r="F1242" s="1" t="s">
        <v>661</v>
      </c>
      <c r="G1242" s="1" t="s">
        <v>224</v>
      </c>
      <c r="H1242" s="1" t="s">
        <v>69</v>
      </c>
      <c r="I1242" s="1">
        <v>108000</v>
      </c>
      <c r="J1242" s="45">
        <v>1071240</v>
      </c>
      <c r="K1242" s="1" t="str">
        <f>TRIM(Cleaned_CRM_Data!H1242)</f>
        <v>Follow up</v>
      </c>
      <c r="L1242" t="str">
        <f>IFERROR(VLOOKUP(K1242, Status_Mapping!A:B, 2,), "Not Found")</f>
        <v>Follow Up</v>
      </c>
      <c r="N1242" s="29" t="str">
        <f>IF(M1242="","",M1242-B1242)</f>
        <v/>
      </c>
      <c r="O1242" s="1" t="str">
        <f t="shared" si="101"/>
        <v>Starter</v>
      </c>
      <c r="P1242" t="str">
        <f>TEXT(B1242, "mmmm")</f>
        <v>January</v>
      </c>
      <c r="Q1242" t="str">
        <f t="shared" si="102"/>
        <v>Q1</v>
      </c>
      <c r="R1242" t="str">
        <f>IFERROR(VLOOKUP(TRIM(CLEAN(G1242)),Sheet14!$A$2:$B$19,2,FALSE),"Not Mapped")</f>
        <v>West</v>
      </c>
    </row>
    <row r="1243" spans="1:18">
      <c r="A1243" t="str">
        <f t="shared" si="100"/>
        <v>EOS1242</v>
      </c>
      <c r="B1243" s="35">
        <v>46038</v>
      </c>
      <c r="C1243" s="4" t="s">
        <v>267</v>
      </c>
      <c r="D1243" s="1" t="str">
        <f t="shared" si="99"/>
        <v>FB</v>
      </c>
      <c r="E1243" s="5" t="s">
        <v>1817</v>
      </c>
      <c r="F1243" s="5" t="s">
        <v>510</v>
      </c>
      <c r="G1243" s="1" t="s">
        <v>224</v>
      </c>
      <c r="H1243" s="1" t="s">
        <v>69</v>
      </c>
      <c r="I1243" s="1">
        <v>130000</v>
      </c>
      <c r="J1243" s="45">
        <v>1071241</v>
      </c>
      <c r="K1243" s="1" t="str">
        <f>TRIM(Cleaned_CRM_Data!H1243)</f>
        <v>Follow up</v>
      </c>
      <c r="L1243" t="str">
        <f>IFERROR(VLOOKUP(K1243, Status_Mapping!A:B, 2,), "Not Found")</f>
        <v>Follow Up</v>
      </c>
      <c r="N1243" s="29" t="str">
        <f>IF(M1243="","",M1243-B1243)</f>
        <v/>
      </c>
      <c r="O1243" s="1" t="str">
        <f t="shared" si="101"/>
        <v>Starter</v>
      </c>
      <c r="P1243" t="str">
        <f>TEXT(B1243, "mmmm")</f>
        <v>January</v>
      </c>
      <c r="Q1243" t="str">
        <f t="shared" si="102"/>
        <v>Q1</v>
      </c>
      <c r="R1243" t="str">
        <f>IFERROR(VLOOKUP(TRIM(CLEAN(G1243)),Sheet14!$A$2:$B$19,2,FALSE),"Not Mapped")</f>
        <v>West</v>
      </c>
    </row>
    <row r="1244" spans="1:18">
      <c r="A1244" t="str">
        <f t="shared" si="100"/>
        <v>EOS1243</v>
      </c>
      <c r="B1244" s="35">
        <v>46038</v>
      </c>
      <c r="C1244" s="4" t="s">
        <v>267</v>
      </c>
      <c r="D1244" s="1" t="str">
        <f t="shared" si="99"/>
        <v>FB</v>
      </c>
      <c r="E1244" s="5" t="s">
        <v>1818</v>
      </c>
      <c r="F1244" s="4"/>
      <c r="G1244" s="1" t="s">
        <v>224</v>
      </c>
      <c r="H1244" s="1" t="s">
        <v>69</v>
      </c>
      <c r="I1244" s="1">
        <v>130000</v>
      </c>
      <c r="J1244" s="45">
        <v>1071242</v>
      </c>
      <c r="K1244" s="1" t="str">
        <f>TRIM(Cleaned_CRM_Data!H1244)</f>
        <v>Follow up</v>
      </c>
      <c r="L1244" t="str">
        <f>IFERROR(VLOOKUP(K1244, Status_Mapping!A:B, 2,), "Not Found")</f>
        <v>Follow Up</v>
      </c>
      <c r="N1244" s="29" t="str">
        <f>IF(M1244="","",M1244-B1244)</f>
        <v/>
      </c>
      <c r="O1244" s="1" t="str">
        <f t="shared" si="101"/>
        <v>Starter</v>
      </c>
      <c r="P1244" t="str">
        <f>TEXT(B1244, "mmmm")</f>
        <v>January</v>
      </c>
      <c r="Q1244" t="str">
        <f t="shared" si="102"/>
        <v>Q1</v>
      </c>
      <c r="R1244" t="str">
        <f>IFERROR(VLOOKUP(TRIM(CLEAN(G1244)),Sheet14!$A$2:$B$19,2,FALSE),"Not Mapped")</f>
        <v>West</v>
      </c>
    </row>
    <row r="1245" spans="1:18">
      <c r="A1245" t="str">
        <f t="shared" si="100"/>
        <v>EOS1244</v>
      </c>
      <c r="B1245" s="38">
        <v>46038</v>
      </c>
      <c r="C1245" s="4" t="s">
        <v>267</v>
      </c>
      <c r="D1245" s="1" t="str">
        <f t="shared" si="99"/>
        <v>FB</v>
      </c>
      <c r="E1245" s="7" t="s">
        <v>1819</v>
      </c>
      <c r="F1245" s="7" t="s">
        <v>381</v>
      </c>
      <c r="G1245" s="1" t="s">
        <v>224</v>
      </c>
      <c r="H1245" s="1" t="s">
        <v>69</v>
      </c>
      <c r="I1245" s="1">
        <v>108000</v>
      </c>
      <c r="J1245" s="45">
        <v>1071243</v>
      </c>
      <c r="K1245" s="1" t="str">
        <f>TRIM(Cleaned_CRM_Data!H1245)</f>
        <v>Follow up</v>
      </c>
      <c r="L1245" t="str">
        <f>IFERROR(VLOOKUP(K1245, Status_Mapping!A:B, 2,), "Not Found")</f>
        <v>Follow Up</v>
      </c>
      <c r="N1245" s="29" t="str">
        <f>IF(M1245="","",M1245-B1245)</f>
        <v/>
      </c>
      <c r="O1245" s="1" t="str">
        <f t="shared" si="101"/>
        <v>Starter</v>
      </c>
      <c r="P1245" t="str">
        <f>TEXT(B1245, "mmmm")</f>
        <v>January</v>
      </c>
      <c r="Q1245" t="str">
        <f t="shared" si="102"/>
        <v>Q1</v>
      </c>
      <c r="R1245" t="str">
        <f>IFERROR(VLOOKUP(TRIM(CLEAN(G1245)),Sheet14!$A$2:$B$19,2,FALSE),"Not Mapped")</f>
        <v>West</v>
      </c>
    </row>
    <row r="1246" spans="1:18">
      <c r="A1246" t="str">
        <f t="shared" si="100"/>
        <v>EOS1245</v>
      </c>
      <c r="B1246" s="38">
        <v>46038</v>
      </c>
      <c r="C1246" s="4" t="s">
        <v>267</v>
      </c>
      <c r="D1246" s="1" t="str">
        <f t="shared" si="99"/>
        <v>FB</v>
      </c>
      <c r="E1246" s="7" t="s">
        <v>600</v>
      </c>
      <c r="F1246" s="1" t="s">
        <v>661</v>
      </c>
      <c r="G1246" s="1" t="s">
        <v>224</v>
      </c>
      <c r="H1246" s="1" t="s">
        <v>69</v>
      </c>
      <c r="I1246" s="1">
        <v>108000</v>
      </c>
      <c r="J1246" s="45">
        <v>1071244</v>
      </c>
      <c r="K1246" s="1" t="str">
        <f>TRIM(Cleaned_CRM_Data!H1246)</f>
        <v>Follow up</v>
      </c>
      <c r="L1246" t="str">
        <f>IFERROR(VLOOKUP(K1246, Status_Mapping!A:B, 2,), "Not Found")</f>
        <v>Follow Up</v>
      </c>
      <c r="N1246" s="29" t="str">
        <f>IF(M1246="","",M1246-B1246)</f>
        <v/>
      </c>
      <c r="O1246" s="1" t="str">
        <f t="shared" si="101"/>
        <v>Starter</v>
      </c>
      <c r="P1246" t="str">
        <f>TEXT(B1246, "mmmm")</f>
        <v>January</v>
      </c>
      <c r="Q1246" t="str">
        <f t="shared" si="102"/>
        <v>Q1</v>
      </c>
      <c r="R1246" t="str">
        <f>IFERROR(VLOOKUP(TRIM(CLEAN(G1246)),Sheet14!$A$2:$B$19,2,FALSE),"Not Mapped")</f>
        <v>West</v>
      </c>
    </row>
    <row r="1247" spans="1:18">
      <c r="A1247" t="str">
        <f t="shared" si="100"/>
        <v>EOS1246</v>
      </c>
      <c r="B1247" s="38">
        <v>46039</v>
      </c>
      <c r="C1247" s="4" t="s">
        <v>267</v>
      </c>
      <c r="D1247" s="1" t="str">
        <f t="shared" si="99"/>
        <v>FB</v>
      </c>
      <c r="E1247" s="7" t="s">
        <v>1820</v>
      </c>
      <c r="F1247" s="1" t="s">
        <v>300</v>
      </c>
      <c r="G1247" s="1" t="s">
        <v>223</v>
      </c>
      <c r="H1247" s="1" t="s">
        <v>69</v>
      </c>
      <c r="I1247" s="1">
        <v>108000</v>
      </c>
      <c r="J1247" s="45">
        <v>1071245</v>
      </c>
      <c r="K1247" s="1" t="str">
        <f>TRIM(Cleaned_CRM_Data!H1247)</f>
        <v>Follow up</v>
      </c>
      <c r="L1247" t="str">
        <f>IFERROR(VLOOKUP(K1247, Status_Mapping!A:B, 2,), "Not Found")</f>
        <v>Follow Up</v>
      </c>
      <c r="N1247" s="29" t="str">
        <f>IF(M1247="","",M1247-B1247)</f>
        <v/>
      </c>
      <c r="O1247" s="1" t="str">
        <f t="shared" si="101"/>
        <v>Starter</v>
      </c>
      <c r="P1247" t="str">
        <f>TEXT(B1247, "mmmm")</f>
        <v>January</v>
      </c>
      <c r="Q1247" t="str">
        <f t="shared" si="102"/>
        <v>Q1</v>
      </c>
      <c r="R1247" t="str">
        <f>IFERROR(VLOOKUP(TRIM(CLEAN(G1247)),Sheet14!$A$2:$B$19,2,FALSE),"Not Mapped")</f>
        <v>West</v>
      </c>
    </row>
    <row r="1248" spans="1:18">
      <c r="A1248" t="str">
        <f t="shared" si="100"/>
        <v>EOS1247</v>
      </c>
      <c r="B1248" s="38">
        <v>46039</v>
      </c>
      <c r="C1248" s="4" t="s">
        <v>267</v>
      </c>
      <c r="D1248" s="1" t="str">
        <f t="shared" si="99"/>
        <v>FB</v>
      </c>
      <c r="E1248" s="7" t="s">
        <v>1821</v>
      </c>
      <c r="F1248" s="1" t="s">
        <v>271</v>
      </c>
      <c r="G1248" s="1" t="s">
        <v>223</v>
      </c>
      <c r="H1248" s="1" t="s">
        <v>149</v>
      </c>
      <c r="I1248" s="1">
        <v>108000</v>
      </c>
      <c r="J1248" s="45">
        <v>1071246</v>
      </c>
      <c r="K1248" s="1" t="str">
        <f>TRIM(Cleaned_CRM_Data!H1248)</f>
        <v>Rejected</v>
      </c>
      <c r="L1248" t="str">
        <f>IFERROR(VLOOKUP(K1248, Status_Mapping!A:B, 2,), "Not Found")</f>
        <v>Rejected</v>
      </c>
      <c r="N1248" s="29" t="str">
        <f>IF(M1248="","",M1248-B1248)</f>
        <v/>
      </c>
      <c r="O1248" s="1" t="str">
        <f t="shared" si="101"/>
        <v>Starter</v>
      </c>
      <c r="P1248" t="str">
        <f>TEXT(B1248, "mmmm")</f>
        <v>January</v>
      </c>
      <c r="Q1248" t="str">
        <f t="shared" si="102"/>
        <v>Q1</v>
      </c>
      <c r="R1248" t="str">
        <f>IFERROR(VLOOKUP(TRIM(CLEAN(G1248)),Sheet14!$A$2:$B$19,2,FALSE),"Not Mapped")</f>
        <v>West</v>
      </c>
    </row>
    <row r="1249" spans="1:18">
      <c r="A1249" t="str">
        <f t="shared" si="100"/>
        <v>EOS1248</v>
      </c>
      <c r="B1249" s="38">
        <v>46039</v>
      </c>
      <c r="C1249" s="1" t="s">
        <v>1765</v>
      </c>
      <c r="D1249" s="1" t="str">
        <f t="shared" si="99"/>
        <v>FB</v>
      </c>
      <c r="E1249" s="7" t="s">
        <v>1822</v>
      </c>
      <c r="F1249" s="7" t="s">
        <v>985</v>
      </c>
      <c r="G1249" s="1" t="s">
        <v>223</v>
      </c>
      <c r="H1249" s="1" t="s">
        <v>69</v>
      </c>
      <c r="I1249" s="1">
        <v>130000</v>
      </c>
      <c r="J1249" s="45">
        <v>1071247</v>
      </c>
      <c r="K1249" s="1" t="str">
        <f>TRIM(Cleaned_CRM_Data!H1249)</f>
        <v>Follow up</v>
      </c>
      <c r="L1249" t="str">
        <f>IFERROR(VLOOKUP(K1249, Status_Mapping!A:B, 2,), "Not Found")</f>
        <v>Follow Up</v>
      </c>
      <c r="N1249" s="29" t="str">
        <f>IF(M1249="","",M1249-B1249)</f>
        <v/>
      </c>
      <c r="O1249" s="1" t="str">
        <f t="shared" si="101"/>
        <v>Starter</v>
      </c>
      <c r="P1249" t="str">
        <f>TEXT(B1249, "mmmm")</f>
        <v>January</v>
      </c>
      <c r="Q1249" t="str">
        <f t="shared" si="102"/>
        <v>Q1</v>
      </c>
      <c r="R1249" t="str">
        <f>IFERROR(VLOOKUP(TRIM(CLEAN(G1249)),Sheet14!$A$2:$B$19,2,FALSE),"Not Mapped")</f>
        <v>West</v>
      </c>
    </row>
    <row r="1250" spans="1:18">
      <c r="A1250" t="str">
        <f t="shared" si="100"/>
        <v>EOS1249</v>
      </c>
      <c r="B1250" s="38">
        <v>46039</v>
      </c>
      <c r="C1250" s="4" t="s">
        <v>267</v>
      </c>
      <c r="D1250" s="1" t="str">
        <f t="shared" si="99"/>
        <v>FB</v>
      </c>
      <c r="E1250" s="7" t="s">
        <v>1823</v>
      </c>
      <c r="F1250" s="1" t="s">
        <v>661</v>
      </c>
      <c r="G1250" s="1" t="s">
        <v>223</v>
      </c>
      <c r="H1250" s="1" t="s">
        <v>69</v>
      </c>
      <c r="I1250" s="1">
        <v>130000</v>
      </c>
      <c r="J1250" s="45">
        <v>1071248</v>
      </c>
      <c r="K1250" s="1" t="str">
        <f>TRIM(Cleaned_CRM_Data!H1250)</f>
        <v>Follow up</v>
      </c>
      <c r="L1250" t="str">
        <f>IFERROR(VLOOKUP(K1250, Status_Mapping!A:B, 2,), "Not Found")</f>
        <v>Follow Up</v>
      </c>
      <c r="N1250" s="29" t="str">
        <f>IF(M1250="","",M1250-B1250)</f>
        <v/>
      </c>
      <c r="O1250" s="1" t="str">
        <f t="shared" si="101"/>
        <v>Starter</v>
      </c>
      <c r="P1250" t="str">
        <f>TEXT(B1250, "mmmm")</f>
        <v>January</v>
      </c>
      <c r="Q1250" t="str">
        <f t="shared" si="102"/>
        <v>Q1</v>
      </c>
      <c r="R1250" t="str">
        <f>IFERROR(VLOOKUP(TRIM(CLEAN(G1250)),Sheet14!$A$2:$B$19,2,FALSE),"Not Mapped")</f>
        <v>West</v>
      </c>
    </row>
    <row r="1251" spans="1:18">
      <c r="A1251" t="str">
        <f t="shared" si="100"/>
        <v>EOS1250</v>
      </c>
      <c r="B1251" s="38">
        <v>46039</v>
      </c>
      <c r="C1251" s="4" t="s">
        <v>267</v>
      </c>
      <c r="D1251" s="1" t="str">
        <f t="shared" si="99"/>
        <v>FB</v>
      </c>
      <c r="E1251" s="7" t="s">
        <v>1824</v>
      </c>
      <c r="F1251" s="1" t="s">
        <v>412</v>
      </c>
      <c r="G1251" s="1" t="s">
        <v>223</v>
      </c>
      <c r="H1251" s="1" t="s">
        <v>149</v>
      </c>
      <c r="I1251" s="1">
        <v>108000</v>
      </c>
      <c r="J1251" s="45">
        <v>1071249</v>
      </c>
      <c r="K1251" s="1" t="str">
        <f>TRIM(Cleaned_CRM_Data!H1251)</f>
        <v>Rejected</v>
      </c>
      <c r="L1251" t="str">
        <f>IFERROR(VLOOKUP(K1251, Status_Mapping!A:B, 2,), "Not Found")</f>
        <v>Rejected</v>
      </c>
      <c r="N1251" s="29" t="str">
        <f>IF(M1251="","",M1251-B1251)</f>
        <v/>
      </c>
      <c r="O1251" s="1" t="str">
        <f t="shared" si="101"/>
        <v>Starter</v>
      </c>
      <c r="P1251" t="str">
        <f>TEXT(B1251, "mmmm")</f>
        <v>January</v>
      </c>
      <c r="Q1251" t="str">
        <f t="shared" si="102"/>
        <v>Q1</v>
      </c>
      <c r="R1251" t="str">
        <f>IFERROR(VLOOKUP(TRIM(CLEAN(G1251)),Sheet14!$A$2:$B$19,2,FALSE),"Not Mapped")</f>
        <v>West</v>
      </c>
    </row>
    <row r="1252" spans="1:18">
      <c r="A1252" t="str">
        <f t="shared" si="100"/>
        <v>EOS1251</v>
      </c>
      <c r="B1252" s="38">
        <v>46039</v>
      </c>
      <c r="C1252" s="1" t="s">
        <v>1765</v>
      </c>
      <c r="D1252" s="1" t="str">
        <f t="shared" si="99"/>
        <v>FB</v>
      </c>
      <c r="E1252" s="7" t="s">
        <v>1825</v>
      </c>
      <c r="F1252" s="1" t="s">
        <v>275</v>
      </c>
      <c r="G1252" s="1" t="s">
        <v>223</v>
      </c>
      <c r="H1252" s="1" t="s">
        <v>149</v>
      </c>
      <c r="I1252" s="1">
        <v>108000</v>
      </c>
      <c r="J1252" s="45">
        <v>1071250</v>
      </c>
      <c r="K1252" s="1" t="str">
        <f>TRIM(Cleaned_CRM_Data!H1252)</f>
        <v>Rejected</v>
      </c>
      <c r="L1252" t="str">
        <f>IFERROR(VLOOKUP(K1252, Status_Mapping!A:B, 2,), "Not Found")</f>
        <v>Rejected</v>
      </c>
      <c r="N1252" s="29" t="str">
        <f>IF(M1252="","",M1252-B1252)</f>
        <v/>
      </c>
      <c r="O1252" s="1" t="str">
        <f t="shared" si="101"/>
        <v>Starter</v>
      </c>
      <c r="P1252" t="str">
        <f>TEXT(B1252, "mmmm")</f>
        <v>January</v>
      </c>
      <c r="Q1252" t="str">
        <f t="shared" si="102"/>
        <v>Q1</v>
      </c>
      <c r="R1252" t="str">
        <f>IFERROR(VLOOKUP(TRIM(CLEAN(G1252)),Sheet14!$A$2:$B$19,2,FALSE),"Not Mapped")</f>
        <v>West</v>
      </c>
    </row>
    <row r="1253" spans="1:18">
      <c r="A1253" t="str">
        <f t="shared" si="100"/>
        <v>EOS1252</v>
      </c>
      <c r="B1253" s="38">
        <v>46039</v>
      </c>
      <c r="C1253" s="1" t="s">
        <v>1765</v>
      </c>
      <c r="D1253" s="1" t="str">
        <f t="shared" si="99"/>
        <v>FB</v>
      </c>
      <c r="E1253" s="7" t="s">
        <v>1826</v>
      </c>
      <c r="F1253" s="7" t="s">
        <v>304</v>
      </c>
      <c r="G1253" s="1" t="s">
        <v>223</v>
      </c>
      <c r="H1253" s="1" t="s">
        <v>149</v>
      </c>
      <c r="I1253" s="1">
        <v>130000</v>
      </c>
      <c r="J1253" s="45">
        <v>1071251</v>
      </c>
      <c r="K1253" s="1" t="str">
        <f>TRIM(Cleaned_CRM_Data!H1253)</f>
        <v>Rejected</v>
      </c>
      <c r="L1253" t="str">
        <f>IFERROR(VLOOKUP(K1253, Status_Mapping!A:B, 2,), "Not Found")</f>
        <v>Rejected</v>
      </c>
      <c r="N1253" s="29" t="str">
        <f>IF(M1253="","",M1253-B1253)</f>
        <v/>
      </c>
      <c r="O1253" s="1" t="str">
        <f t="shared" si="101"/>
        <v>Starter</v>
      </c>
      <c r="P1253" t="str">
        <f>TEXT(B1253, "mmmm")</f>
        <v>January</v>
      </c>
      <c r="Q1253" t="str">
        <f t="shared" si="102"/>
        <v>Q1</v>
      </c>
      <c r="R1253" t="str">
        <f>IFERROR(VLOOKUP(TRIM(CLEAN(G1253)),Sheet14!$A$2:$B$19,2,FALSE),"Not Mapped")</f>
        <v>West</v>
      </c>
    </row>
    <row r="1254" spans="1:18">
      <c r="A1254" t="str">
        <f t="shared" si="100"/>
        <v>EOS1253</v>
      </c>
      <c r="B1254" s="38">
        <v>46039</v>
      </c>
      <c r="C1254" s="1" t="s">
        <v>1765</v>
      </c>
      <c r="D1254" s="1" t="str">
        <f t="shared" si="99"/>
        <v>FB</v>
      </c>
      <c r="E1254" s="7" t="s">
        <v>1827</v>
      </c>
      <c r="F1254" s="1" t="s">
        <v>350</v>
      </c>
      <c r="G1254" s="1" t="s">
        <v>223</v>
      </c>
      <c r="H1254" s="1" t="s">
        <v>69</v>
      </c>
      <c r="I1254" s="1">
        <v>108000</v>
      </c>
      <c r="J1254" s="45">
        <v>1071252</v>
      </c>
      <c r="K1254" s="1" t="str">
        <f>TRIM(Cleaned_CRM_Data!H1254)</f>
        <v>Follow up</v>
      </c>
      <c r="L1254" t="str">
        <f>IFERROR(VLOOKUP(K1254, Status_Mapping!A:B, 2,), "Not Found")</f>
        <v>Follow Up</v>
      </c>
      <c r="N1254" s="29" t="str">
        <f>IF(M1254="","",M1254-B1254)</f>
        <v/>
      </c>
      <c r="O1254" s="1" t="str">
        <f t="shared" si="101"/>
        <v>Starter</v>
      </c>
      <c r="P1254" t="str">
        <f>TEXT(B1254, "mmmm")</f>
        <v>January</v>
      </c>
      <c r="Q1254" t="str">
        <f t="shared" si="102"/>
        <v>Q1</v>
      </c>
      <c r="R1254" t="str">
        <f>IFERROR(VLOOKUP(TRIM(CLEAN(G1254)),Sheet14!$A$2:$B$19,2,FALSE),"Not Mapped")</f>
        <v>West</v>
      </c>
    </row>
    <row r="1255" spans="1:18">
      <c r="A1255" t="str">
        <f t="shared" si="100"/>
        <v>EOS1254</v>
      </c>
      <c r="B1255" s="38">
        <v>46039</v>
      </c>
      <c r="C1255" s="4" t="s">
        <v>267</v>
      </c>
      <c r="D1255" s="1" t="str">
        <f t="shared" si="99"/>
        <v>FB</v>
      </c>
      <c r="E1255" s="4"/>
      <c r="F1255" s="1" t="s">
        <v>275</v>
      </c>
      <c r="G1255" s="1" t="s">
        <v>223</v>
      </c>
      <c r="H1255" s="1" t="s">
        <v>69</v>
      </c>
      <c r="I1255" s="1">
        <v>130000</v>
      </c>
      <c r="J1255" s="45">
        <v>1071253</v>
      </c>
      <c r="K1255" s="1" t="str">
        <f>TRIM(Cleaned_CRM_Data!H1255)</f>
        <v>Follow up</v>
      </c>
      <c r="L1255" t="str">
        <f>IFERROR(VLOOKUP(K1255, Status_Mapping!A:B, 2,), "Not Found")</f>
        <v>Follow Up</v>
      </c>
      <c r="N1255" s="29" t="str">
        <f>IF(M1255="","",M1255-B1255)</f>
        <v/>
      </c>
      <c r="O1255" s="1" t="str">
        <f t="shared" si="101"/>
        <v>Starter</v>
      </c>
      <c r="P1255" t="str">
        <f>TEXT(B1255, "mmmm")</f>
        <v>January</v>
      </c>
      <c r="Q1255" t="str">
        <f t="shared" si="102"/>
        <v>Q1</v>
      </c>
      <c r="R1255" t="str">
        <f>IFERROR(VLOOKUP(TRIM(CLEAN(G1255)),Sheet14!$A$2:$B$19,2,FALSE),"Not Mapped")</f>
        <v>West</v>
      </c>
    </row>
    <row r="1256" spans="1:18">
      <c r="A1256" t="str">
        <f t="shared" si="100"/>
        <v>EOS1255</v>
      </c>
      <c r="B1256" s="38">
        <v>46039</v>
      </c>
      <c r="C1256" s="4" t="s">
        <v>267</v>
      </c>
      <c r="D1256" s="1" t="str">
        <f t="shared" si="99"/>
        <v>FB</v>
      </c>
      <c r="E1256" s="4" t="s">
        <v>1828</v>
      </c>
      <c r="F1256" s="1" t="s">
        <v>275</v>
      </c>
      <c r="G1256" s="1" t="s">
        <v>224</v>
      </c>
      <c r="H1256" s="1" t="s">
        <v>69</v>
      </c>
      <c r="I1256" s="1">
        <v>177000</v>
      </c>
      <c r="J1256" s="45">
        <v>1071254</v>
      </c>
      <c r="K1256" s="1" t="str">
        <f>TRIM(Cleaned_CRM_Data!H1256)</f>
        <v>Follow up</v>
      </c>
      <c r="L1256" t="str">
        <f>IFERROR(VLOOKUP(K1256, Status_Mapping!A:B, 2,), "Not Found")</f>
        <v>Follow Up</v>
      </c>
      <c r="N1256" s="29" t="str">
        <f>IF(M1256="","",M1256-B1256)</f>
        <v/>
      </c>
      <c r="O1256" s="1" t="str">
        <f t="shared" si="101"/>
        <v>Growth</v>
      </c>
      <c r="P1256" t="str">
        <f>TEXT(B1256, "mmmm")</f>
        <v>January</v>
      </c>
      <c r="Q1256" t="str">
        <f t="shared" si="102"/>
        <v>Q1</v>
      </c>
      <c r="R1256" t="str">
        <f>IFERROR(VLOOKUP(TRIM(CLEAN(G1256)),Sheet14!$A$2:$B$19,2,FALSE),"Not Mapped")</f>
        <v>West</v>
      </c>
    </row>
    <row r="1257" spans="1:18">
      <c r="A1257" t="str">
        <f t="shared" si="100"/>
        <v>EOS1256</v>
      </c>
      <c r="B1257" s="38">
        <v>46039</v>
      </c>
      <c r="C1257" s="4" t="s">
        <v>267</v>
      </c>
      <c r="D1257" s="1" t="str">
        <f t="shared" si="99"/>
        <v>FB</v>
      </c>
      <c r="E1257" s="7" t="s">
        <v>1829</v>
      </c>
      <c r="F1257" s="1" t="s">
        <v>412</v>
      </c>
      <c r="G1257" s="1" t="s">
        <v>223</v>
      </c>
      <c r="H1257" s="1" t="s">
        <v>149</v>
      </c>
      <c r="I1257" s="1">
        <v>130000</v>
      </c>
      <c r="J1257" s="45">
        <v>1071255</v>
      </c>
      <c r="K1257" s="1" t="str">
        <f>TRIM(Cleaned_CRM_Data!H1257)</f>
        <v>Rejected</v>
      </c>
      <c r="L1257" t="str">
        <f>IFERROR(VLOOKUP(K1257, Status_Mapping!A:B, 2,), "Not Found")</f>
        <v>Rejected</v>
      </c>
      <c r="N1257" s="29" t="str">
        <f>IF(M1257="","",M1257-B1257)</f>
        <v/>
      </c>
      <c r="O1257" s="1" t="str">
        <f t="shared" si="101"/>
        <v>Starter</v>
      </c>
      <c r="P1257" t="str">
        <f>TEXT(B1257, "mmmm")</f>
        <v>January</v>
      </c>
      <c r="Q1257" t="str">
        <f t="shared" si="102"/>
        <v>Q1</v>
      </c>
      <c r="R1257" t="str">
        <f>IFERROR(VLOOKUP(TRIM(CLEAN(G1257)),Sheet14!$A$2:$B$19,2,FALSE),"Not Mapped")</f>
        <v>West</v>
      </c>
    </row>
    <row r="1258" spans="1:18">
      <c r="A1258" t="str">
        <f t="shared" si="100"/>
        <v>EOS1257</v>
      </c>
      <c r="B1258" s="38">
        <v>46039</v>
      </c>
      <c r="C1258" s="1" t="s">
        <v>1765</v>
      </c>
      <c r="D1258" s="1" t="str">
        <f t="shared" si="99"/>
        <v>FB</v>
      </c>
      <c r="E1258" s="7" t="s">
        <v>1830</v>
      </c>
      <c r="F1258" s="7" t="s">
        <v>304</v>
      </c>
      <c r="G1258" s="1" t="s">
        <v>224</v>
      </c>
      <c r="H1258" s="1" t="s">
        <v>69</v>
      </c>
      <c r="I1258" s="1">
        <v>130000</v>
      </c>
      <c r="J1258" s="45">
        <v>1071256</v>
      </c>
      <c r="K1258" s="1" t="str">
        <f>TRIM(Cleaned_CRM_Data!H1258)</f>
        <v>Follow up</v>
      </c>
      <c r="L1258" t="str">
        <f>IFERROR(VLOOKUP(K1258, Status_Mapping!A:B, 2,), "Not Found")</f>
        <v>Follow Up</v>
      </c>
      <c r="N1258" s="29" t="str">
        <f>IF(M1258="","",M1258-B1258)</f>
        <v/>
      </c>
      <c r="O1258" s="1" t="str">
        <f t="shared" si="101"/>
        <v>Starter</v>
      </c>
      <c r="P1258" t="str">
        <f>TEXT(B1258, "mmmm")</f>
        <v>January</v>
      </c>
      <c r="Q1258" t="str">
        <f t="shared" si="102"/>
        <v>Q1</v>
      </c>
      <c r="R1258" t="str">
        <f>IFERROR(VLOOKUP(TRIM(CLEAN(G1258)),Sheet14!$A$2:$B$19,2,FALSE),"Not Mapped")</f>
        <v>West</v>
      </c>
    </row>
    <row r="1259" spans="1:18">
      <c r="A1259" t="str">
        <f t="shared" si="100"/>
        <v>EOS1258</v>
      </c>
      <c r="B1259" s="38">
        <v>46039</v>
      </c>
      <c r="C1259" s="4" t="s">
        <v>267</v>
      </c>
      <c r="D1259" s="1" t="str">
        <f t="shared" ref="D1259:D1322" si="103">TRIM(CLEAN(SUBSTITUTE(C1259,CHAR(160),"")))</f>
        <v>FB</v>
      </c>
      <c r="E1259" s="7" t="s">
        <v>1831</v>
      </c>
      <c r="F1259" s="7" t="s">
        <v>1832</v>
      </c>
      <c r="G1259" s="1" t="s">
        <v>224</v>
      </c>
      <c r="H1259" s="1" t="s">
        <v>69</v>
      </c>
      <c r="I1259" s="1">
        <v>130000</v>
      </c>
      <c r="J1259" s="45">
        <v>1071257</v>
      </c>
      <c r="K1259" s="1" t="str">
        <f>TRIM(Cleaned_CRM_Data!H1259)</f>
        <v>Follow up</v>
      </c>
      <c r="L1259" t="str">
        <f>IFERROR(VLOOKUP(K1259, Status_Mapping!A:B, 2,), "Not Found")</f>
        <v>Follow Up</v>
      </c>
      <c r="N1259" s="29" t="str">
        <f>IF(M1259="","",M1259-B1259)</f>
        <v/>
      </c>
      <c r="O1259" s="1" t="str">
        <f t="shared" si="101"/>
        <v>Starter</v>
      </c>
      <c r="P1259" t="str">
        <f>TEXT(B1259, "mmmm")</f>
        <v>January</v>
      </c>
      <c r="Q1259" t="str">
        <f t="shared" si="102"/>
        <v>Q1</v>
      </c>
      <c r="R1259" t="str">
        <f>IFERROR(VLOOKUP(TRIM(CLEAN(G1259)),Sheet14!$A$2:$B$19,2,FALSE),"Not Mapped")</f>
        <v>West</v>
      </c>
    </row>
    <row r="1260" spans="1:18">
      <c r="A1260" t="str">
        <f t="shared" si="100"/>
        <v>EOS1259</v>
      </c>
      <c r="B1260" s="38">
        <v>46039</v>
      </c>
      <c r="C1260" s="4" t="s">
        <v>267</v>
      </c>
      <c r="D1260" s="1" t="str">
        <f t="shared" si="103"/>
        <v>FB</v>
      </c>
      <c r="E1260" s="7" t="s">
        <v>1833</v>
      </c>
      <c r="F1260" s="4"/>
      <c r="G1260" s="1" t="s">
        <v>224</v>
      </c>
      <c r="H1260" s="1" t="s">
        <v>69</v>
      </c>
      <c r="I1260" s="1">
        <v>177000</v>
      </c>
      <c r="J1260" s="45">
        <v>1071258</v>
      </c>
      <c r="K1260" s="1" t="str">
        <f>TRIM(Cleaned_CRM_Data!H1260)</f>
        <v>Follow up</v>
      </c>
      <c r="L1260" t="str">
        <f>IFERROR(VLOOKUP(K1260, Status_Mapping!A:B, 2,), "Not Found")</f>
        <v>Follow Up</v>
      </c>
      <c r="N1260" s="29" t="str">
        <f>IF(M1260="","",M1260-B1260)</f>
        <v/>
      </c>
      <c r="O1260" s="1" t="str">
        <f t="shared" si="101"/>
        <v>Growth</v>
      </c>
      <c r="P1260" t="str">
        <f>TEXT(B1260, "mmmm")</f>
        <v>January</v>
      </c>
      <c r="Q1260" t="str">
        <f t="shared" si="102"/>
        <v>Q1</v>
      </c>
      <c r="R1260" t="str">
        <f>IFERROR(VLOOKUP(TRIM(CLEAN(G1260)),Sheet14!$A$2:$B$19,2,FALSE),"Not Mapped")</f>
        <v>West</v>
      </c>
    </row>
    <row r="1261" spans="1:18">
      <c r="A1261" t="str">
        <f t="shared" si="100"/>
        <v>EOS1260</v>
      </c>
      <c r="B1261" s="38">
        <v>46039</v>
      </c>
      <c r="C1261" s="4" t="s">
        <v>267</v>
      </c>
      <c r="D1261" s="1" t="str">
        <f t="shared" si="103"/>
        <v>FB</v>
      </c>
      <c r="E1261" s="7" t="s">
        <v>1834</v>
      </c>
      <c r="F1261" s="4"/>
      <c r="G1261" s="1" t="s">
        <v>223</v>
      </c>
      <c r="H1261" s="1" t="s">
        <v>69</v>
      </c>
      <c r="I1261" s="1">
        <v>130000</v>
      </c>
      <c r="J1261" s="45">
        <v>1071259</v>
      </c>
      <c r="K1261" s="1" t="str">
        <f>TRIM(Cleaned_CRM_Data!H1261)</f>
        <v>Follow up</v>
      </c>
      <c r="L1261" t="str">
        <f>IFERROR(VLOOKUP(K1261, Status_Mapping!A:B, 2,), "Not Found")</f>
        <v>Follow Up</v>
      </c>
      <c r="N1261" s="29" t="str">
        <f>IF(M1261="","",M1261-B1261)</f>
        <v/>
      </c>
      <c r="O1261" s="1" t="str">
        <f t="shared" si="101"/>
        <v>Starter</v>
      </c>
      <c r="P1261" t="str">
        <f>TEXT(B1261, "mmmm")</f>
        <v>January</v>
      </c>
      <c r="Q1261" t="str">
        <f t="shared" si="102"/>
        <v>Q1</v>
      </c>
      <c r="R1261" t="str">
        <f>IFERROR(VLOOKUP(TRIM(CLEAN(G1261)),Sheet14!$A$2:$B$19,2,FALSE),"Not Mapped")</f>
        <v>West</v>
      </c>
    </row>
    <row r="1262" spans="1:18">
      <c r="A1262" t="str">
        <f t="shared" si="100"/>
        <v>EOS1261</v>
      </c>
      <c r="B1262" s="38">
        <v>46041</v>
      </c>
      <c r="C1262" s="4" t="s">
        <v>267</v>
      </c>
      <c r="D1262" s="1" t="str">
        <f t="shared" si="103"/>
        <v>FB</v>
      </c>
      <c r="E1262" s="7" t="s">
        <v>1835</v>
      </c>
      <c r="F1262" s="7" t="s">
        <v>1544</v>
      </c>
      <c r="G1262" s="1" t="s">
        <v>223</v>
      </c>
      <c r="H1262" s="1" t="s">
        <v>69</v>
      </c>
      <c r="I1262" s="1">
        <v>108000</v>
      </c>
      <c r="J1262" s="45">
        <v>1071260</v>
      </c>
      <c r="K1262" s="1" t="str">
        <f>TRIM(Cleaned_CRM_Data!H1262)</f>
        <v>Follow up</v>
      </c>
      <c r="L1262" t="str">
        <f>IFERROR(VLOOKUP(K1262, Status_Mapping!A:B, 2,), "Not Found")</f>
        <v>Follow Up</v>
      </c>
      <c r="N1262" s="29" t="str">
        <f>IF(M1262="","",M1262-B1262)</f>
        <v/>
      </c>
      <c r="O1262" s="1" t="str">
        <f t="shared" si="101"/>
        <v>Starter</v>
      </c>
      <c r="P1262" t="str">
        <f>TEXT(B1262, "mmmm")</f>
        <v>January</v>
      </c>
      <c r="Q1262" t="str">
        <f t="shared" si="102"/>
        <v>Q1</v>
      </c>
      <c r="R1262" t="str">
        <f>IFERROR(VLOOKUP(TRIM(CLEAN(G1262)),Sheet14!$A$2:$B$19,2,FALSE),"Not Mapped")</f>
        <v>West</v>
      </c>
    </row>
    <row r="1263" spans="1:18">
      <c r="A1263" t="str">
        <f t="shared" si="100"/>
        <v>EOS1262</v>
      </c>
      <c r="B1263" s="38">
        <v>46041</v>
      </c>
      <c r="C1263" s="4" t="s">
        <v>267</v>
      </c>
      <c r="D1263" s="1" t="str">
        <f t="shared" si="103"/>
        <v>FB</v>
      </c>
      <c r="E1263" s="7" t="s">
        <v>1836</v>
      </c>
      <c r="F1263" s="7" t="s">
        <v>720</v>
      </c>
      <c r="G1263" s="1" t="s">
        <v>223</v>
      </c>
      <c r="H1263" s="1" t="s">
        <v>69</v>
      </c>
      <c r="I1263" s="1">
        <v>130000</v>
      </c>
      <c r="J1263" s="45">
        <v>1071261</v>
      </c>
      <c r="K1263" s="1" t="str">
        <f>TRIM(Cleaned_CRM_Data!H1263)</f>
        <v>Follow up</v>
      </c>
      <c r="L1263" t="str">
        <f>IFERROR(VLOOKUP(K1263, Status_Mapping!A:B, 2,), "Not Found")</f>
        <v>Follow Up</v>
      </c>
      <c r="N1263" s="29" t="str">
        <f>IF(M1263="","",M1263-B1263)</f>
        <v/>
      </c>
      <c r="O1263" s="1" t="str">
        <f t="shared" si="101"/>
        <v>Starter</v>
      </c>
      <c r="P1263" t="str">
        <f>TEXT(B1263, "mmmm")</f>
        <v>January</v>
      </c>
      <c r="Q1263" t="str">
        <f t="shared" si="102"/>
        <v>Q1</v>
      </c>
      <c r="R1263" t="str">
        <f>IFERROR(VLOOKUP(TRIM(CLEAN(G1263)),Sheet14!$A$2:$B$19,2,FALSE),"Not Mapped")</f>
        <v>West</v>
      </c>
    </row>
    <row r="1264" spans="1:18">
      <c r="A1264" t="str">
        <f t="shared" si="100"/>
        <v>EOS1263</v>
      </c>
      <c r="B1264" s="38">
        <v>46041</v>
      </c>
      <c r="C1264" s="4" t="s">
        <v>267</v>
      </c>
      <c r="D1264" s="1" t="str">
        <f t="shared" si="103"/>
        <v>FB</v>
      </c>
      <c r="E1264" s="7" t="s">
        <v>1837</v>
      </c>
      <c r="F1264" s="1" t="s">
        <v>350</v>
      </c>
      <c r="G1264" s="1" t="s">
        <v>223</v>
      </c>
      <c r="H1264" s="1" t="s">
        <v>69</v>
      </c>
      <c r="I1264" s="1">
        <v>130000</v>
      </c>
      <c r="J1264" s="45">
        <v>1071262</v>
      </c>
      <c r="K1264" s="1" t="str">
        <f>TRIM(Cleaned_CRM_Data!H1264)</f>
        <v>Follow up</v>
      </c>
      <c r="L1264" t="str">
        <f>IFERROR(VLOOKUP(K1264, Status_Mapping!A:B, 2,), "Not Found")</f>
        <v>Follow Up</v>
      </c>
      <c r="N1264" s="29" t="str">
        <f>IF(M1264="","",M1264-B1264)</f>
        <v/>
      </c>
      <c r="O1264" s="1" t="str">
        <f t="shared" si="101"/>
        <v>Starter</v>
      </c>
      <c r="P1264" t="str">
        <f>TEXT(B1264, "mmmm")</f>
        <v>January</v>
      </c>
      <c r="Q1264" t="str">
        <f t="shared" si="102"/>
        <v>Q1</v>
      </c>
      <c r="R1264" t="str">
        <f>IFERROR(VLOOKUP(TRIM(CLEAN(G1264)),Sheet14!$A$2:$B$19,2,FALSE),"Not Mapped")</f>
        <v>West</v>
      </c>
    </row>
    <row r="1265" spans="1:18">
      <c r="A1265" t="str">
        <f t="shared" si="100"/>
        <v>EOS1264</v>
      </c>
      <c r="B1265" s="38">
        <v>46041</v>
      </c>
      <c r="C1265" s="4" t="s">
        <v>267</v>
      </c>
      <c r="D1265" s="1" t="str">
        <f t="shared" si="103"/>
        <v>FB</v>
      </c>
      <c r="E1265" s="7" t="s">
        <v>1838</v>
      </c>
      <c r="F1265" s="1" t="s">
        <v>300</v>
      </c>
      <c r="G1265" s="1" t="s">
        <v>223</v>
      </c>
      <c r="H1265" s="1" t="s">
        <v>69</v>
      </c>
      <c r="I1265" s="1">
        <v>108000</v>
      </c>
      <c r="J1265" s="45">
        <v>1071263</v>
      </c>
      <c r="K1265" s="1" t="str">
        <f>TRIM(Cleaned_CRM_Data!H1265)</f>
        <v>Follow up</v>
      </c>
      <c r="L1265" t="str">
        <f>IFERROR(VLOOKUP(K1265, Status_Mapping!A:B, 2,), "Not Found")</f>
        <v>Follow Up</v>
      </c>
      <c r="N1265" s="29" t="str">
        <f>IF(M1265="","",M1265-B1265)</f>
        <v/>
      </c>
      <c r="O1265" s="1" t="str">
        <f t="shared" si="101"/>
        <v>Starter</v>
      </c>
      <c r="P1265" t="str">
        <f>TEXT(B1265, "mmmm")</f>
        <v>January</v>
      </c>
      <c r="Q1265" t="str">
        <f t="shared" si="102"/>
        <v>Q1</v>
      </c>
      <c r="R1265" t="str">
        <f>IFERROR(VLOOKUP(TRIM(CLEAN(G1265)),Sheet14!$A$2:$B$19,2,FALSE),"Not Mapped")</f>
        <v>West</v>
      </c>
    </row>
    <row r="1266" spans="1:18">
      <c r="A1266" t="str">
        <f t="shared" si="100"/>
        <v>EOS1265</v>
      </c>
      <c r="B1266" s="38">
        <v>46041</v>
      </c>
      <c r="C1266" s="4" t="s">
        <v>267</v>
      </c>
      <c r="D1266" s="1" t="str">
        <f t="shared" si="103"/>
        <v>FB</v>
      </c>
      <c r="E1266" s="7" t="s">
        <v>1153</v>
      </c>
      <c r="F1266" s="7" t="s">
        <v>985</v>
      </c>
      <c r="G1266" s="1" t="s">
        <v>223</v>
      </c>
      <c r="H1266" s="1" t="s">
        <v>69</v>
      </c>
      <c r="I1266" s="1">
        <v>130000</v>
      </c>
      <c r="J1266" s="45">
        <v>1071264</v>
      </c>
      <c r="K1266" s="1" t="str">
        <f>TRIM(Cleaned_CRM_Data!H1266)</f>
        <v>Follow up</v>
      </c>
      <c r="L1266" t="str">
        <f>IFERROR(VLOOKUP(K1266, Status_Mapping!A:B, 2,), "Not Found")</f>
        <v>Follow Up</v>
      </c>
      <c r="N1266" s="29" t="str">
        <f>IF(M1266="","",M1266-B1266)</f>
        <v/>
      </c>
      <c r="O1266" s="1" t="str">
        <f t="shared" si="101"/>
        <v>Starter</v>
      </c>
      <c r="P1266" t="str">
        <f>TEXT(B1266, "mmmm")</f>
        <v>January</v>
      </c>
      <c r="Q1266" t="str">
        <f t="shared" si="102"/>
        <v>Q1</v>
      </c>
      <c r="R1266" t="str">
        <f>IFERROR(VLOOKUP(TRIM(CLEAN(G1266)),Sheet14!$A$2:$B$19,2,FALSE),"Not Mapped")</f>
        <v>West</v>
      </c>
    </row>
    <row r="1267" spans="1:18">
      <c r="A1267" t="str">
        <f t="shared" si="100"/>
        <v>EOS1266</v>
      </c>
      <c r="B1267" s="38">
        <v>46041</v>
      </c>
      <c r="C1267" s="4" t="s">
        <v>267</v>
      </c>
      <c r="D1267" s="1" t="str">
        <f t="shared" si="103"/>
        <v>FB</v>
      </c>
      <c r="E1267" s="7" t="s">
        <v>1839</v>
      </c>
      <c r="F1267" s="1" t="s">
        <v>326</v>
      </c>
      <c r="G1267" s="1" t="s">
        <v>223</v>
      </c>
      <c r="H1267" s="1" t="s">
        <v>69</v>
      </c>
      <c r="I1267" s="1">
        <v>130000</v>
      </c>
      <c r="J1267" s="45">
        <v>1071265</v>
      </c>
      <c r="K1267" s="1" t="str">
        <f>TRIM(Cleaned_CRM_Data!H1267)</f>
        <v>Follow up</v>
      </c>
      <c r="L1267" t="str">
        <f>IFERROR(VLOOKUP(K1267, Status_Mapping!A:B, 2,), "Not Found")</f>
        <v>Follow Up</v>
      </c>
      <c r="N1267" s="29" t="str">
        <f>IF(M1267="","",M1267-B1267)</f>
        <v/>
      </c>
      <c r="O1267" s="1" t="str">
        <f t="shared" si="101"/>
        <v>Starter</v>
      </c>
      <c r="P1267" t="str">
        <f>TEXT(B1267, "mmmm")</f>
        <v>January</v>
      </c>
      <c r="Q1267" t="str">
        <f t="shared" si="102"/>
        <v>Q1</v>
      </c>
      <c r="R1267" t="str">
        <f>IFERROR(VLOOKUP(TRIM(CLEAN(G1267)),Sheet14!$A$2:$B$19,2,FALSE),"Not Mapped")</f>
        <v>West</v>
      </c>
    </row>
    <row r="1268" spans="1:18">
      <c r="A1268" t="str">
        <f t="shared" si="100"/>
        <v>EOS1267</v>
      </c>
      <c r="B1268" s="38">
        <v>46041</v>
      </c>
      <c r="C1268" s="4" t="s">
        <v>267</v>
      </c>
      <c r="D1268" s="1" t="str">
        <f t="shared" si="103"/>
        <v>FB</v>
      </c>
      <c r="E1268" s="7" t="s">
        <v>1840</v>
      </c>
      <c r="F1268" s="7" t="s">
        <v>654</v>
      </c>
      <c r="G1268" s="1" t="s">
        <v>223</v>
      </c>
      <c r="H1268" s="1" t="s">
        <v>69</v>
      </c>
      <c r="I1268" s="1">
        <v>130000</v>
      </c>
      <c r="J1268" s="45">
        <v>1071266</v>
      </c>
      <c r="K1268" s="1" t="str">
        <f>TRIM(Cleaned_CRM_Data!H1268)</f>
        <v>Follow up</v>
      </c>
      <c r="L1268" t="str">
        <f>IFERROR(VLOOKUP(K1268, Status_Mapping!A:B, 2,), "Not Found")</f>
        <v>Follow Up</v>
      </c>
      <c r="N1268" s="29" t="str">
        <f>IF(M1268="","",M1268-B1268)</f>
        <v/>
      </c>
      <c r="O1268" s="1" t="str">
        <f t="shared" si="101"/>
        <v>Starter</v>
      </c>
      <c r="P1268" t="str">
        <f>TEXT(B1268, "mmmm")</f>
        <v>January</v>
      </c>
      <c r="Q1268" t="str">
        <f t="shared" si="102"/>
        <v>Q1</v>
      </c>
      <c r="R1268" t="str">
        <f>IFERROR(VLOOKUP(TRIM(CLEAN(G1268)),Sheet14!$A$2:$B$19,2,FALSE),"Not Mapped")</f>
        <v>West</v>
      </c>
    </row>
    <row r="1269" spans="1:18">
      <c r="A1269" t="str">
        <f t="shared" si="100"/>
        <v>EOS1268</v>
      </c>
      <c r="B1269" s="38">
        <v>46041</v>
      </c>
      <c r="C1269" s="4" t="s">
        <v>267</v>
      </c>
      <c r="D1269" s="1" t="str">
        <f t="shared" si="103"/>
        <v>FB</v>
      </c>
      <c r="E1269" s="7" t="s">
        <v>1841</v>
      </c>
      <c r="F1269" s="7" t="s">
        <v>304</v>
      </c>
      <c r="G1269" s="1" t="s">
        <v>224</v>
      </c>
      <c r="H1269" s="1" t="s">
        <v>69</v>
      </c>
      <c r="I1269" s="1">
        <v>108000</v>
      </c>
      <c r="J1269" s="45">
        <v>1071267</v>
      </c>
      <c r="K1269" s="1" t="str">
        <f>TRIM(Cleaned_CRM_Data!H1269)</f>
        <v>Follow up</v>
      </c>
      <c r="L1269" t="str">
        <f>IFERROR(VLOOKUP(K1269, Status_Mapping!A:B, 2,), "Not Found")</f>
        <v>Follow Up</v>
      </c>
      <c r="N1269" s="29" t="str">
        <f>IF(M1269="","",M1269-B1269)</f>
        <v/>
      </c>
      <c r="O1269" s="1" t="str">
        <f t="shared" si="101"/>
        <v>Starter</v>
      </c>
      <c r="P1269" t="str">
        <f>TEXT(B1269, "mmmm")</f>
        <v>January</v>
      </c>
      <c r="Q1269" t="str">
        <f t="shared" si="102"/>
        <v>Q1</v>
      </c>
      <c r="R1269" t="str">
        <f>IFERROR(VLOOKUP(TRIM(CLEAN(G1269)),Sheet14!$A$2:$B$19,2,FALSE),"Not Mapped")</f>
        <v>West</v>
      </c>
    </row>
    <row r="1270" spans="1:18">
      <c r="A1270" t="str">
        <f t="shared" si="100"/>
        <v>EOS1269</v>
      </c>
      <c r="B1270" s="38">
        <v>46041</v>
      </c>
      <c r="C1270" s="4" t="s">
        <v>267</v>
      </c>
      <c r="D1270" s="1" t="str">
        <f t="shared" si="103"/>
        <v>FB</v>
      </c>
      <c r="E1270" s="7" t="s">
        <v>1842</v>
      </c>
      <c r="F1270" s="7" t="s">
        <v>491</v>
      </c>
      <c r="G1270" s="1" t="s">
        <v>223</v>
      </c>
      <c r="H1270" s="1" t="s">
        <v>69</v>
      </c>
      <c r="I1270" s="1">
        <v>108000</v>
      </c>
      <c r="J1270" s="45">
        <v>1071268</v>
      </c>
      <c r="K1270" s="1" t="str">
        <f>TRIM(Cleaned_CRM_Data!H1270)</f>
        <v>Follow up</v>
      </c>
      <c r="L1270" t="str">
        <f>IFERROR(VLOOKUP(K1270, Status_Mapping!A:B, 2,), "Not Found")</f>
        <v>Follow Up</v>
      </c>
      <c r="N1270" s="29" t="str">
        <f>IF(M1270="","",M1270-B1270)</f>
        <v/>
      </c>
      <c r="O1270" s="1" t="str">
        <f t="shared" si="101"/>
        <v>Starter</v>
      </c>
      <c r="P1270" t="str">
        <f>TEXT(B1270, "mmmm")</f>
        <v>January</v>
      </c>
      <c r="Q1270" t="str">
        <f t="shared" si="102"/>
        <v>Q1</v>
      </c>
      <c r="R1270" t="str">
        <f>IFERROR(VLOOKUP(TRIM(CLEAN(G1270)),Sheet14!$A$2:$B$19,2,FALSE),"Not Mapped")</f>
        <v>West</v>
      </c>
    </row>
    <row r="1271" spans="1:18">
      <c r="A1271" t="str">
        <f t="shared" si="100"/>
        <v>EOS1270</v>
      </c>
      <c r="B1271" s="38">
        <v>46041</v>
      </c>
      <c r="C1271" s="4" t="s">
        <v>267</v>
      </c>
      <c r="D1271" s="1" t="str">
        <f t="shared" si="103"/>
        <v>FB</v>
      </c>
      <c r="E1271" s="7" t="s">
        <v>1843</v>
      </c>
      <c r="F1271" s="1" t="s">
        <v>1672</v>
      </c>
      <c r="G1271" s="1" t="s">
        <v>223</v>
      </c>
      <c r="H1271" s="1" t="s">
        <v>69</v>
      </c>
      <c r="I1271" s="1">
        <v>130000</v>
      </c>
      <c r="J1271" s="45">
        <v>1071269</v>
      </c>
      <c r="K1271" s="1" t="str">
        <f>TRIM(Cleaned_CRM_Data!H1271)</f>
        <v>Follow up</v>
      </c>
      <c r="L1271" t="str">
        <f>IFERROR(VLOOKUP(K1271, Status_Mapping!A:B, 2,), "Not Found")</f>
        <v>Follow Up</v>
      </c>
      <c r="N1271" s="29" t="str">
        <f>IF(M1271="","",M1271-B1271)</f>
        <v/>
      </c>
      <c r="O1271" s="1" t="str">
        <f t="shared" si="101"/>
        <v>Starter</v>
      </c>
      <c r="P1271" t="str">
        <f>TEXT(B1271, "mmmm")</f>
        <v>January</v>
      </c>
      <c r="Q1271" t="str">
        <f t="shared" si="102"/>
        <v>Q1</v>
      </c>
      <c r="R1271" t="str">
        <f>IFERROR(VLOOKUP(TRIM(CLEAN(G1271)),Sheet14!$A$2:$B$19,2,FALSE),"Not Mapped")</f>
        <v>West</v>
      </c>
    </row>
    <row r="1272" spans="1:18">
      <c r="A1272" t="str">
        <f t="shared" si="100"/>
        <v>EOS1271</v>
      </c>
      <c r="B1272" s="38">
        <v>46041</v>
      </c>
      <c r="C1272" s="4" t="s">
        <v>267</v>
      </c>
      <c r="D1272" s="1" t="str">
        <f t="shared" si="103"/>
        <v>FB</v>
      </c>
      <c r="E1272" s="7" t="s">
        <v>1844</v>
      </c>
      <c r="F1272" s="4"/>
      <c r="G1272" s="1" t="s">
        <v>223</v>
      </c>
      <c r="H1272" s="1" t="s">
        <v>69</v>
      </c>
      <c r="I1272" s="1">
        <v>177000</v>
      </c>
      <c r="J1272" s="45">
        <v>1071270</v>
      </c>
      <c r="K1272" s="1" t="str">
        <f>TRIM(Cleaned_CRM_Data!H1272)</f>
        <v>Follow up</v>
      </c>
      <c r="L1272" t="str">
        <f>IFERROR(VLOOKUP(K1272, Status_Mapping!A:B, 2,), "Not Found")</f>
        <v>Follow Up</v>
      </c>
      <c r="N1272" s="29" t="str">
        <f>IF(M1272="","",M1272-B1272)</f>
        <v/>
      </c>
      <c r="O1272" s="1" t="str">
        <f t="shared" si="101"/>
        <v>Growth</v>
      </c>
      <c r="P1272" t="str">
        <f>TEXT(B1272, "mmmm")</f>
        <v>January</v>
      </c>
      <c r="Q1272" t="str">
        <f t="shared" si="102"/>
        <v>Q1</v>
      </c>
      <c r="R1272" t="str">
        <f>IFERROR(VLOOKUP(TRIM(CLEAN(G1272)),Sheet14!$A$2:$B$19,2,FALSE),"Not Mapped")</f>
        <v>West</v>
      </c>
    </row>
    <row r="1273" spans="1:18">
      <c r="A1273" t="str">
        <f t="shared" si="100"/>
        <v>EOS1272</v>
      </c>
      <c r="B1273" s="38">
        <v>46043</v>
      </c>
      <c r="C1273" s="4" t="s">
        <v>267</v>
      </c>
      <c r="D1273" s="1" t="str">
        <f t="shared" si="103"/>
        <v>FB</v>
      </c>
      <c r="E1273" s="7" t="s">
        <v>1845</v>
      </c>
      <c r="F1273" s="1" t="s">
        <v>326</v>
      </c>
      <c r="G1273" s="1" t="s">
        <v>223</v>
      </c>
      <c r="H1273" s="1" t="s">
        <v>69</v>
      </c>
      <c r="I1273" s="1">
        <v>130000</v>
      </c>
      <c r="J1273" s="45">
        <v>1071271</v>
      </c>
      <c r="K1273" s="1" t="str">
        <f>TRIM(Cleaned_CRM_Data!H1273)</f>
        <v>Follow up</v>
      </c>
      <c r="L1273" t="str">
        <f>IFERROR(VLOOKUP(K1273, Status_Mapping!A:B, 2,), "Not Found")</f>
        <v>Follow Up</v>
      </c>
      <c r="N1273" s="29" t="str">
        <f>IF(M1273="","",M1273-B1273)</f>
        <v/>
      </c>
      <c r="O1273" s="1" t="str">
        <f t="shared" si="101"/>
        <v>Starter</v>
      </c>
      <c r="P1273" t="str">
        <f>TEXT(B1273, "mmmm")</f>
        <v>January</v>
      </c>
      <c r="Q1273" t="str">
        <f t="shared" si="102"/>
        <v>Q1</v>
      </c>
      <c r="R1273" t="str">
        <f>IFERROR(VLOOKUP(TRIM(CLEAN(G1273)),Sheet14!$A$2:$B$19,2,FALSE),"Not Mapped")</f>
        <v>West</v>
      </c>
    </row>
    <row r="1274" spans="1:18">
      <c r="A1274" t="str">
        <f t="shared" si="100"/>
        <v>EOS1273</v>
      </c>
      <c r="B1274" s="38">
        <v>46043</v>
      </c>
      <c r="C1274" s="4" t="s">
        <v>267</v>
      </c>
      <c r="D1274" s="1" t="str">
        <f t="shared" si="103"/>
        <v>FB</v>
      </c>
      <c r="E1274" s="7" t="s">
        <v>1846</v>
      </c>
      <c r="F1274" s="4"/>
      <c r="G1274" s="1" t="s">
        <v>223</v>
      </c>
      <c r="H1274" s="1" t="s">
        <v>69</v>
      </c>
      <c r="I1274" s="1">
        <v>130000</v>
      </c>
      <c r="J1274" s="45">
        <v>1071272</v>
      </c>
      <c r="K1274" s="1" t="str">
        <f>TRIM(Cleaned_CRM_Data!H1274)</f>
        <v>Follow up</v>
      </c>
      <c r="L1274" t="str">
        <f>IFERROR(VLOOKUP(K1274, Status_Mapping!A:B, 2,), "Not Found")</f>
        <v>Follow Up</v>
      </c>
      <c r="N1274" s="29" t="str">
        <f>IF(M1274="","",M1274-B1274)</f>
        <v/>
      </c>
      <c r="O1274" s="1" t="str">
        <f t="shared" si="101"/>
        <v>Starter</v>
      </c>
      <c r="P1274" t="str">
        <f>TEXT(B1274, "mmmm")</f>
        <v>January</v>
      </c>
      <c r="Q1274" t="str">
        <f t="shared" si="102"/>
        <v>Q1</v>
      </c>
      <c r="R1274" t="str">
        <f>IFERROR(VLOOKUP(TRIM(CLEAN(G1274)),Sheet14!$A$2:$B$19,2,FALSE),"Not Mapped")</f>
        <v>West</v>
      </c>
    </row>
    <row r="1275" spans="1:18">
      <c r="A1275" t="str">
        <f t="shared" si="100"/>
        <v>EOS1274</v>
      </c>
      <c r="B1275" s="38">
        <v>46043</v>
      </c>
      <c r="C1275" s="4" t="s">
        <v>267</v>
      </c>
      <c r="D1275" s="1" t="str">
        <f t="shared" si="103"/>
        <v>FB</v>
      </c>
      <c r="E1275" s="7" t="s">
        <v>1847</v>
      </c>
      <c r="F1275" s="1" t="s">
        <v>412</v>
      </c>
      <c r="G1275" s="1" t="s">
        <v>224</v>
      </c>
      <c r="H1275" s="1" t="s">
        <v>69</v>
      </c>
      <c r="I1275" s="1">
        <v>130000</v>
      </c>
      <c r="J1275" s="45">
        <v>1071273</v>
      </c>
      <c r="K1275" s="1" t="str">
        <f>TRIM(Cleaned_CRM_Data!H1275)</f>
        <v>Follow up</v>
      </c>
      <c r="L1275" t="str">
        <f>IFERROR(VLOOKUP(K1275, Status_Mapping!A:B, 2,), "Not Found")</f>
        <v>Follow Up</v>
      </c>
      <c r="N1275" s="29" t="str">
        <f>IF(M1275="","",M1275-B1275)</f>
        <v/>
      </c>
      <c r="O1275" s="1" t="str">
        <f t="shared" si="101"/>
        <v>Starter</v>
      </c>
      <c r="P1275" t="str">
        <f>TEXT(B1275, "mmmm")</f>
        <v>January</v>
      </c>
      <c r="Q1275" t="str">
        <f t="shared" si="102"/>
        <v>Q1</v>
      </c>
      <c r="R1275" t="str">
        <f>IFERROR(VLOOKUP(TRIM(CLEAN(G1275)),Sheet14!$A$2:$B$19,2,FALSE),"Not Mapped")</f>
        <v>West</v>
      </c>
    </row>
    <row r="1276" spans="1:18">
      <c r="A1276" t="str">
        <f t="shared" si="100"/>
        <v>EOS1275</v>
      </c>
      <c r="B1276" s="38">
        <v>46043</v>
      </c>
      <c r="C1276" s="4" t="s">
        <v>267</v>
      </c>
      <c r="D1276" s="1" t="str">
        <f t="shared" si="103"/>
        <v>FB</v>
      </c>
      <c r="E1276" s="7" t="s">
        <v>1848</v>
      </c>
      <c r="F1276" s="4" t="s">
        <v>304</v>
      </c>
      <c r="G1276" s="1" t="s">
        <v>224</v>
      </c>
      <c r="H1276" s="1" t="s">
        <v>69</v>
      </c>
      <c r="I1276" s="1">
        <v>177000</v>
      </c>
      <c r="J1276" s="45">
        <v>1071274</v>
      </c>
      <c r="K1276" s="1" t="str">
        <f>TRIM(Cleaned_CRM_Data!H1276)</f>
        <v>Follow up</v>
      </c>
      <c r="L1276" t="str">
        <f>IFERROR(VLOOKUP(K1276, Status_Mapping!A:B, 2,), "Not Found")</f>
        <v>Follow Up</v>
      </c>
      <c r="N1276" s="29" t="str">
        <f>IF(M1276="","",M1276-B1276)</f>
        <v/>
      </c>
      <c r="O1276" s="1" t="str">
        <f t="shared" si="101"/>
        <v>Growth</v>
      </c>
      <c r="P1276" t="str">
        <f>TEXT(B1276, "mmmm")</f>
        <v>January</v>
      </c>
      <c r="Q1276" t="str">
        <f t="shared" si="102"/>
        <v>Q1</v>
      </c>
      <c r="R1276" t="str">
        <f>IFERROR(VLOOKUP(TRIM(CLEAN(G1276)),Sheet14!$A$2:$B$19,2,FALSE),"Not Mapped")</f>
        <v>West</v>
      </c>
    </row>
    <row r="1277" spans="1:18">
      <c r="A1277" t="str">
        <f t="shared" si="100"/>
        <v>EOS1276</v>
      </c>
      <c r="B1277" s="38">
        <v>46043</v>
      </c>
      <c r="C1277" s="4" t="s">
        <v>267</v>
      </c>
      <c r="D1277" s="1" t="str">
        <f t="shared" si="103"/>
        <v>FB</v>
      </c>
      <c r="E1277" s="7" t="s">
        <v>1849</v>
      </c>
      <c r="F1277" s="4" t="s">
        <v>358</v>
      </c>
      <c r="G1277" s="1" t="s">
        <v>224</v>
      </c>
      <c r="H1277" s="1" t="s">
        <v>69</v>
      </c>
      <c r="I1277" s="1">
        <v>108000</v>
      </c>
      <c r="J1277" s="45">
        <v>1071275</v>
      </c>
      <c r="K1277" s="1" t="str">
        <f>TRIM(Cleaned_CRM_Data!H1277)</f>
        <v>Follow up</v>
      </c>
      <c r="L1277" t="str">
        <f>IFERROR(VLOOKUP(K1277, Status_Mapping!A:B, 2,), "Not Found")</f>
        <v>Follow Up</v>
      </c>
      <c r="N1277" s="29" t="str">
        <f>IF(M1277="","",M1277-B1277)</f>
        <v/>
      </c>
      <c r="O1277" s="1" t="str">
        <f t="shared" si="101"/>
        <v>Starter</v>
      </c>
      <c r="P1277" t="str">
        <f>TEXT(B1277, "mmmm")</f>
        <v>January</v>
      </c>
      <c r="Q1277" t="str">
        <f t="shared" si="102"/>
        <v>Q1</v>
      </c>
      <c r="R1277" t="str">
        <f>IFERROR(VLOOKUP(TRIM(CLEAN(G1277)),Sheet14!$A$2:$B$19,2,FALSE),"Not Mapped")</f>
        <v>West</v>
      </c>
    </row>
    <row r="1278" spans="1:18">
      <c r="A1278" t="str">
        <f t="shared" si="100"/>
        <v>EOS1277</v>
      </c>
      <c r="B1278" s="38">
        <v>46043</v>
      </c>
      <c r="C1278" s="4" t="s">
        <v>267</v>
      </c>
      <c r="D1278" s="1" t="str">
        <f t="shared" si="103"/>
        <v>FB</v>
      </c>
      <c r="E1278" s="7" t="s">
        <v>1850</v>
      </c>
      <c r="F1278" s="1" t="s">
        <v>346</v>
      </c>
      <c r="G1278" s="1" t="s">
        <v>223</v>
      </c>
      <c r="H1278" s="1" t="s">
        <v>149</v>
      </c>
      <c r="I1278" s="1">
        <v>108000</v>
      </c>
      <c r="J1278" s="45">
        <v>1071276</v>
      </c>
      <c r="K1278" s="1" t="str">
        <f>TRIM(Cleaned_CRM_Data!H1278)</f>
        <v>Rejected</v>
      </c>
      <c r="L1278" t="str">
        <f>IFERROR(VLOOKUP(K1278, Status_Mapping!A:B, 2,), "Not Found")</f>
        <v>Rejected</v>
      </c>
      <c r="N1278" s="29" t="str">
        <f>IF(M1278="","",M1278-B1278)</f>
        <v/>
      </c>
      <c r="O1278" s="1" t="str">
        <f t="shared" si="101"/>
        <v>Starter</v>
      </c>
      <c r="P1278" t="str">
        <f>TEXT(B1278, "mmmm")</f>
        <v>January</v>
      </c>
      <c r="Q1278" t="str">
        <f t="shared" si="102"/>
        <v>Q1</v>
      </c>
      <c r="R1278" t="str">
        <f>IFERROR(VLOOKUP(TRIM(CLEAN(G1278)),Sheet14!$A$2:$B$19,2,FALSE),"Not Mapped")</f>
        <v>West</v>
      </c>
    </row>
    <row r="1279" spans="1:18">
      <c r="A1279" t="str">
        <f t="shared" si="100"/>
        <v>EOS1278</v>
      </c>
      <c r="B1279" s="38">
        <v>46043</v>
      </c>
      <c r="C1279" s="4" t="s">
        <v>267</v>
      </c>
      <c r="D1279" s="1" t="str">
        <f t="shared" si="103"/>
        <v>FB</v>
      </c>
      <c r="E1279" s="7" t="s">
        <v>1851</v>
      </c>
      <c r="F1279" s="4" t="s">
        <v>860</v>
      </c>
      <c r="G1279" s="1" t="s">
        <v>224</v>
      </c>
      <c r="H1279" s="1" t="s">
        <v>69</v>
      </c>
      <c r="I1279" s="1">
        <v>130000</v>
      </c>
      <c r="J1279" s="45">
        <v>1071277</v>
      </c>
      <c r="K1279" s="1" t="str">
        <f>TRIM(Cleaned_CRM_Data!H1279)</f>
        <v>Follow up</v>
      </c>
      <c r="L1279" t="str">
        <f>IFERROR(VLOOKUP(K1279, Status_Mapping!A:B, 2,), "Not Found")</f>
        <v>Follow Up</v>
      </c>
      <c r="N1279" s="29" t="str">
        <f>IF(M1279="","",M1279-B1279)</f>
        <v/>
      </c>
      <c r="O1279" s="1" t="str">
        <f t="shared" si="101"/>
        <v>Starter</v>
      </c>
      <c r="P1279" t="str">
        <f>TEXT(B1279, "mmmm")</f>
        <v>January</v>
      </c>
      <c r="Q1279" t="str">
        <f t="shared" si="102"/>
        <v>Q1</v>
      </c>
      <c r="R1279" t="str">
        <f>IFERROR(VLOOKUP(TRIM(CLEAN(G1279)),Sheet14!$A$2:$B$19,2,FALSE),"Not Mapped")</f>
        <v>West</v>
      </c>
    </row>
    <row r="1280" spans="1:18">
      <c r="A1280" t="str">
        <f t="shared" si="100"/>
        <v>EOS1279</v>
      </c>
      <c r="B1280" s="38">
        <v>46043</v>
      </c>
      <c r="C1280" s="4" t="s">
        <v>267</v>
      </c>
      <c r="D1280" s="1" t="str">
        <f t="shared" si="103"/>
        <v>FB</v>
      </c>
      <c r="E1280" s="7" t="s">
        <v>1842</v>
      </c>
      <c r="F1280" s="1" t="s">
        <v>1657</v>
      </c>
      <c r="G1280" s="1" t="s">
        <v>224</v>
      </c>
      <c r="H1280" s="1" t="s">
        <v>69</v>
      </c>
      <c r="I1280" s="1">
        <v>130000</v>
      </c>
      <c r="J1280" s="45">
        <v>1071278</v>
      </c>
      <c r="K1280" s="1" t="str">
        <f>TRIM(Cleaned_CRM_Data!H1280)</f>
        <v>Follow up</v>
      </c>
      <c r="L1280" t="str">
        <f>IFERROR(VLOOKUP(K1280, Status_Mapping!A:B, 2,), "Not Found")</f>
        <v>Follow Up</v>
      </c>
      <c r="N1280" s="29" t="str">
        <f>IF(M1280="","",M1280-B1280)</f>
        <v/>
      </c>
      <c r="O1280" s="1" t="str">
        <f t="shared" si="101"/>
        <v>Starter</v>
      </c>
      <c r="P1280" t="str">
        <f>TEXT(B1280, "mmmm")</f>
        <v>January</v>
      </c>
      <c r="Q1280" t="str">
        <f t="shared" si="102"/>
        <v>Q1</v>
      </c>
      <c r="R1280" t="str">
        <f>IFERROR(VLOOKUP(TRIM(CLEAN(G1280)),Sheet14!$A$2:$B$19,2,FALSE),"Not Mapped")</f>
        <v>West</v>
      </c>
    </row>
    <row r="1281" spans="1:18">
      <c r="A1281" t="str">
        <f t="shared" si="100"/>
        <v>EOS1280</v>
      </c>
      <c r="B1281" s="38">
        <v>46043</v>
      </c>
      <c r="C1281" s="4" t="s">
        <v>267</v>
      </c>
      <c r="D1281" s="1" t="str">
        <f t="shared" si="103"/>
        <v>FB</v>
      </c>
      <c r="E1281" s="7" t="s">
        <v>1852</v>
      </c>
      <c r="F1281" s="1" t="s">
        <v>275</v>
      </c>
      <c r="G1281" s="4" t="s">
        <v>223</v>
      </c>
      <c r="H1281" s="1" t="s">
        <v>69</v>
      </c>
      <c r="I1281" s="1">
        <v>108000</v>
      </c>
      <c r="J1281" s="45">
        <v>1071279</v>
      </c>
      <c r="K1281" s="1" t="str">
        <f>TRIM(Cleaned_CRM_Data!H1281)</f>
        <v>Follow up</v>
      </c>
      <c r="L1281" t="str">
        <f>IFERROR(VLOOKUP(K1281, Status_Mapping!A:B, 2,), "Not Found")</f>
        <v>Follow Up</v>
      </c>
      <c r="N1281" s="29" t="str">
        <f>IF(M1281="","",M1281-B1281)</f>
        <v/>
      </c>
      <c r="O1281" s="1" t="str">
        <f t="shared" si="101"/>
        <v>Starter</v>
      </c>
      <c r="P1281" t="str">
        <f>TEXT(B1281, "mmmm")</f>
        <v>January</v>
      </c>
      <c r="Q1281" t="str">
        <f t="shared" si="102"/>
        <v>Q1</v>
      </c>
      <c r="R1281" t="str">
        <f>IFERROR(VLOOKUP(TRIM(CLEAN(G1281)),Sheet14!$A$2:$B$19,2,FALSE),"Not Mapped")</f>
        <v>West</v>
      </c>
    </row>
    <row r="1282" spans="1:18">
      <c r="A1282" t="str">
        <f t="shared" si="100"/>
        <v>EOS1281</v>
      </c>
      <c r="B1282" s="38">
        <v>46043</v>
      </c>
      <c r="C1282" s="4" t="s">
        <v>267</v>
      </c>
      <c r="D1282" s="1" t="str">
        <f t="shared" si="103"/>
        <v>FB</v>
      </c>
      <c r="E1282" s="4" t="s">
        <v>1853</v>
      </c>
      <c r="F1282" s="1" t="s">
        <v>275</v>
      </c>
      <c r="G1282" s="1" t="s">
        <v>224</v>
      </c>
      <c r="H1282" s="1" t="s">
        <v>69</v>
      </c>
      <c r="I1282" s="1">
        <v>108000</v>
      </c>
      <c r="J1282" s="45">
        <v>1071280</v>
      </c>
      <c r="K1282" s="1" t="str">
        <f>TRIM(Cleaned_CRM_Data!H1282)</f>
        <v>Follow up</v>
      </c>
      <c r="L1282" t="str">
        <f>IFERROR(VLOOKUP(K1282, Status_Mapping!A:B, 2,), "Not Found")</f>
        <v>Follow Up</v>
      </c>
      <c r="N1282" s="29" t="str">
        <f>IF(M1282="","",M1282-B1282)</f>
        <v/>
      </c>
      <c r="O1282" s="1" t="str">
        <f t="shared" si="101"/>
        <v>Starter</v>
      </c>
      <c r="P1282" t="str">
        <f>TEXT(B1282, "mmmm")</f>
        <v>January</v>
      </c>
      <c r="Q1282" t="str">
        <f t="shared" si="102"/>
        <v>Q1</v>
      </c>
      <c r="R1282" t="str">
        <f>IFERROR(VLOOKUP(TRIM(CLEAN(G1282)),Sheet14!$A$2:$B$19,2,FALSE),"Not Mapped")</f>
        <v>West</v>
      </c>
    </row>
    <row r="1283" spans="1:18">
      <c r="A1283" t="str">
        <f t="shared" ref="A1283:A1346" si="104">"EOS"&amp;TEXT(ROW()-1,"0000")</f>
        <v>EOS1282</v>
      </c>
      <c r="B1283" s="38">
        <v>46043</v>
      </c>
      <c r="C1283" s="4" t="s">
        <v>267</v>
      </c>
      <c r="D1283" s="1" t="str">
        <f t="shared" si="103"/>
        <v>FB</v>
      </c>
      <c r="E1283" s="7" t="s">
        <v>1854</v>
      </c>
      <c r="F1283" s="7" t="s">
        <v>1855</v>
      </c>
      <c r="G1283" s="4" t="s">
        <v>223</v>
      </c>
      <c r="H1283" s="1" t="s">
        <v>149</v>
      </c>
      <c r="I1283" s="1">
        <v>177000</v>
      </c>
      <c r="J1283" s="45">
        <v>1071281</v>
      </c>
      <c r="K1283" s="1" t="str">
        <f>TRIM(Cleaned_CRM_Data!H1283)</f>
        <v>Rejected</v>
      </c>
      <c r="L1283" t="str">
        <f>IFERROR(VLOOKUP(K1283, Status_Mapping!A:B, 2,), "Not Found")</f>
        <v>Rejected</v>
      </c>
      <c r="N1283" s="29" t="str">
        <f>IF(M1283="","",M1283-B1283)</f>
        <v/>
      </c>
      <c r="O1283" s="1" t="str">
        <f t="shared" ref="O1283:O1346" si="105">IF(OR(I1283=108000,I1283=130000),"Starter",IF(I1283=177000,"Growth","Premium"))</f>
        <v>Growth</v>
      </c>
      <c r="P1283" t="str">
        <f>TEXT(B1283, "mmmm")</f>
        <v>January</v>
      </c>
      <c r="Q1283" t="str">
        <f t="shared" ref="Q1283:Q1346" si="106">"Q"&amp;ROUNDUP(MONTH(B1283)/3,0)</f>
        <v>Q1</v>
      </c>
      <c r="R1283" t="str">
        <f>IFERROR(VLOOKUP(TRIM(CLEAN(G1283)),Sheet14!$A$2:$B$19,2,FALSE),"Not Mapped")</f>
        <v>West</v>
      </c>
    </row>
    <row r="1284" spans="1:18">
      <c r="A1284" t="str">
        <f t="shared" si="104"/>
        <v>EOS1283</v>
      </c>
      <c r="B1284" s="38">
        <v>46043</v>
      </c>
      <c r="C1284" s="4" t="s">
        <v>267</v>
      </c>
      <c r="D1284" s="1" t="str">
        <f t="shared" si="103"/>
        <v>FB</v>
      </c>
      <c r="E1284" s="7" t="s">
        <v>1856</v>
      </c>
      <c r="F1284" s="1" t="s">
        <v>661</v>
      </c>
      <c r="G1284" s="4" t="s">
        <v>223</v>
      </c>
      <c r="H1284" s="1" t="s">
        <v>149</v>
      </c>
      <c r="I1284" s="1">
        <v>108000</v>
      </c>
      <c r="J1284" s="45">
        <v>1071282</v>
      </c>
      <c r="K1284" s="1" t="str">
        <f>TRIM(Cleaned_CRM_Data!H1284)</f>
        <v>Rejected</v>
      </c>
      <c r="L1284" t="str">
        <f>IFERROR(VLOOKUP(K1284, Status_Mapping!A:B, 2,), "Not Found")</f>
        <v>Rejected</v>
      </c>
      <c r="N1284" s="29" t="str">
        <f>IF(M1284="","",M1284-B1284)</f>
        <v/>
      </c>
      <c r="O1284" s="1" t="str">
        <f t="shared" si="105"/>
        <v>Starter</v>
      </c>
      <c r="P1284" t="str">
        <f>TEXT(B1284, "mmmm")</f>
        <v>January</v>
      </c>
      <c r="Q1284" t="str">
        <f t="shared" si="106"/>
        <v>Q1</v>
      </c>
      <c r="R1284" t="str">
        <f>IFERROR(VLOOKUP(TRIM(CLEAN(G1284)),Sheet14!$A$2:$B$19,2,FALSE),"Not Mapped")</f>
        <v>West</v>
      </c>
    </row>
    <row r="1285" spans="1:18">
      <c r="A1285" t="str">
        <f t="shared" si="104"/>
        <v>EOS1284</v>
      </c>
      <c r="B1285" s="38">
        <v>46044</v>
      </c>
      <c r="C1285" s="4" t="s">
        <v>267</v>
      </c>
      <c r="D1285" s="1" t="str">
        <f t="shared" si="103"/>
        <v>FB</v>
      </c>
      <c r="E1285" s="7" t="s">
        <v>1857</v>
      </c>
      <c r="F1285" s="1" t="s">
        <v>275</v>
      </c>
      <c r="G1285" s="1" t="s">
        <v>224</v>
      </c>
      <c r="H1285" s="1" t="s">
        <v>69</v>
      </c>
      <c r="I1285" s="1">
        <v>177000</v>
      </c>
      <c r="J1285" s="45">
        <v>1071283</v>
      </c>
      <c r="K1285" s="1" t="str">
        <f>TRIM(Cleaned_CRM_Data!H1285)</f>
        <v>Follow up</v>
      </c>
      <c r="L1285" t="str">
        <f>IFERROR(VLOOKUP(K1285, Status_Mapping!A:B, 2,), "Not Found")</f>
        <v>Follow Up</v>
      </c>
      <c r="N1285" s="29" t="str">
        <f>IF(M1285="","",M1285-B1285)</f>
        <v/>
      </c>
      <c r="O1285" s="1" t="str">
        <f t="shared" si="105"/>
        <v>Growth</v>
      </c>
      <c r="P1285" t="str">
        <f>TEXT(B1285, "mmmm")</f>
        <v>January</v>
      </c>
      <c r="Q1285" t="str">
        <f t="shared" si="106"/>
        <v>Q1</v>
      </c>
      <c r="R1285" t="str">
        <f>IFERROR(VLOOKUP(TRIM(CLEAN(G1285)),Sheet14!$A$2:$B$19,2,FALSE),"Not Mapped")</f>
        <v>West</v>
      </c>
    </row>
    <row r="1286" spans="1:18">
      <c r="A1286" t="str">
        <f t="shared" si="104"/>
        <v>EOS1285</v>
      </c>
      <c r="B1286" s="38">
        <v>46044</v>
      </c>
      <c r="C1286" s="4" t="s">
        <v>267</v>
      </c>
      <c r="D1286" s="1" t="str">
        <f t="shared" si="103"/>
        <v>FB</v>
      </c>
      <c r="E1286" s="7" t="s">
        <v>1858</v>
      </c>
      <c r="F1286" s="1" t="s">
        <v>275</v>
      </c>
      <c r="G1286" s="1" t="s">
        <v>224</v>
      </c>
      <c r="H1286" s="1" t="s">
        <v>69</v>
      </c>
      <c r="I1286" s="1">
        <v>108000</v>
      </c>
      <c r="J1286" s="45">
        <v>1071284</v>
      </c>
      <c r="K1286" s="1" t="str">
        <f>TRIM(Cleaned_CRM_Data!H1286)</f>
        <v>Follow up</v>
      </c>
      <c r="L1286" t="str">
        <f>IFERROR(VLOOKUP(K1286, Status_Mapping!A:B, 2,), "Not Found")</f>
        <v>Follow Up</v>
      </c>
      <c r="N1286" s="29" t="str">
        <f>IF(M1286="","",M1286-B1286)</f>
        <v/>
      </c>
      <c r="O1286" s="1" t="str">
        <f t="shared" si="105"/>
        <v>Starter</v>
      </c>
      <c r="P1286" t="str">
        <f>TEXT(B1286, "mmmm")</f>
        <v>January</v>
      </c>
      <c r="Q1286" t="str">
        <f t="shared" si="106"/>
        <v>Q1</v>
      </c>
      <c r="R1286" t="str">
        <f>IFERROR(VLOOKUP(TRIM(CLEAN(G1286)),Sheet14!$A$2:$B$19,2,FALSE),"Not Mapped")</f>
        <v>West</v>
      </c>
    </row>
    <row r="1287" spans="1:18">
      <c r="A1287" t="str">
        <f t="shared" si="104"/>
        <v>EOS1286</v>
      </c>
      <c r="B1287" s="38">
        <v>46044</v>
      </c>
      <c r="C1287" s="4" t="s">
        <v>267</v>
      </c>
      <c r="D1287" s="1" t="str">
        <f t="shared" si="103"/>
        <v>FB</v>
      </c>
      <c r="E1287" s="7" t="s">
        <v>1859</v>
      </c>
      <c r="F1287" s="4" t="s">
        <v>1860</v>
      </c>
      <c r="G1287" s="4" t="s">
        <v>223</v>
      </c>
      <c r="H1287" s="1" t="s">
        <v>149</v>
      </c>
      <c r="I1287" s="1">
        <v>108000</v>
      </c>
      <c r="J1287" s="45">
        <v>1071285</v>
      </c>
      <c r="K1287" s="1" t="str">
        <f>TRIM(Cleaned_CRM_Data!H1287)</f>
        <v>Rejected</v>
      </c>
      <c r="L1287" t="str">
        <f>IFERROR(VLOOKUP(K1287, Status_Mapping!A:B, 2,), "Not Found")</f>
        <v>Rejected</v>
      </c>
      <c r="N1287" s="29" t="str">
        <f>IF(M1287="","",M1287-B1287)</f>
        <v/>
      </c>
      <c r="O1287" s="1" t="str">
        <f t="shared" si="105"/>
        <v>Starter</v>
      </c>
      <c r="P1287" t="str">
        <f>TEXT(B1287, "mmmm")</f>
        <v>January</v>
      </c>
      <c r="Q1287" t="str">
        <f t="shared" si="106"/>
        <v>Q1</v>
      </c>
      <c r="R1287" t="str">
        <f>IFERROR(VLOOKUP(TRIM(CLEAN(G1287)),Sheet14!$A$2:$B$19,2,FALSE),"Not Mapped")</f>
        <v>West</v>
      </c>
    </row>
    <row r="1288" spans="1:18">
      <c r="A1288" t="str">
        <f t="shared" si="104"/>
        <v>EOS1287</v>
      </c>
      <c r="B1288" s="38">
        <v>46044</v>
      </c>
      <c r="C1288" s="4" t="s">
        <v>267</v>
      </c>
      <c r="D1288" s="1" t="str">
        <f t="shared" si="103"/>
        <v>FB</v>
      </c>
      <c r="E1288" s="7" t="s">
        <v>1861</v>
      </c>
      <c r="F1288" s="1" t="s">
        <v>275</v>
      </c>
      <c r="G1288" s="4" t="s">
        <v>223</v>
      </c>
      <c r="H1288" s="1" t="s">
        <v>69</v>
      </c>
      <c r="I1288" s="1">
        <v>108000</v>
      </c>
      <c r="J1288" s="45">
        <v>1071286</v>
      </c>
      <c r="K1288" s="1" t="str">
        <f>TRIM(Cleaned_CRM_Data!H1288)</f>
        <v>Follow up</v>
      </c>
      <c r="L1288" t="str">
        <f>IFERROR(VLOOKUP(K1288, Status_Mapping!A:B, 2,), "Not Found")</f>
        <v>Follow Up</v>
      </c>
      <c r="N1288" s="29" t="str">
        <f>IF(M1288="","",M1288-B1288)</f>
        <v/>
      </c>
      <c r="O1288" s="1" t="str">
        <f t="shared" si="105"/>
        <v>Starter</v>
      </c>
      <c r="P1288" t="str">
        <f>TEXT(B1288, "mmmm")</f>
        <v>January</v>
      </c>
      <c r="Q1288" t="str">
        <f t="shared" si="106"/>
        <v>Q1</v>
      </c>
      <c r="R1288" t="str">
        <f>IFERROR(VLOOKUP(TRIM(CLEAN(G1288)),Sheet14!$A$2:$B$19,2,FALSE),"Not Mapped")</f>
        <v>West</v>
      </c>
    </row>
    <row r="1289" spans="1:18">
      <c r="A1289" t="str">
        <f t="shared" si="104"/>
        <v>EOS1288</v>
      </c>
      <c r="B1289" s="38">
        <v>46047</v>
      </c>
      <c r="C1289" s="4" t="s">
        <v>267</v>
      </c>
      <c r="D1289" s="1" t="str">
        <f t="shared" si="103"/>
        <v>FB</v>
      </c>
      <c r="E1289" s="7" t="s">
        <v>1862</v>
      </c>
      <c r="F1289" s="1" t="s">
        <v>496</v>
      </c>
      <c r="G1289" s="4" t="s">
        <v>223</v>
      </c>
      <c r="H1289" s="1" t="s">
        <v>69</v>
      </c>
      <c r="I1289" s="1">
        <v>130000</v>
      </c>
      <c r="J1289" s="45">
        <v>1071287</v>
      </c>
      <c r="K1289" s="1" t="str">
        <f>TRIM(Cleaned_CRM_Data!H1289)</f>
        <v>Follow up</v>
      </c>
      <c r="L1289" t="str">
        <f>IFERROR(VLOOKUP(K1289, Status_Mapping!A:B, 2,), "Not Found")</f>
        <v>Follow Up</v>
      </c>
      <c r="N1289" s="29" t="str">
        <f>IF(M1289="","",M1289-B1289)</f>
        <v/>
      </c>
      <c r="O1289" s="1" t="str">
        <f t="shared" si="105"/>
        <v>Starter</v>
      </c>
      <c r="P1289" t="str">
        <f>TEXT(B1289, "mmmm")</f>
        <v>January</v>
      </c>
      <c r="Q1289" t="str">
        <f t="shared" si="106"/>
        <v>Q1</v>
      </c>
      <c r="R1289" t="str">
        <f>IFERROR(VLOOKUP(TRIM(CLEAN(G1289)),Sheet14!$A$2:$B$19,2,FALSE),"Not Mapped")</f>
        <v>West</v>
      </c>
    </row>
    <row r="1290" spans="1:18">
      <c r="A1290" t="str">
        <f t="shared" si="104"/>
        <v>EOS1289</v>
      </c>
      <c r="B1290" s="38">
        <v>46047</v>
      </c>
      <c r="C1290" s="4" t="s">
        <v>267</v>
      </c>
      <c r="D1290" s="1" t="str">
        <f t="shared" si="103"/>
        <v>FB</v>
      </c>
      <c r="E1290" s="7" t="s">
        <v>1863</v>
      </c>
      <c r="F1290" s="7" t="s">
        <v>240</v>
      </c>
      <c r="G1290" s="1" t="s">
        <v>219</v>
      </c>
      <c r="H1290" s="1" t="s">
        <v>69</v>
      </c>
      <c r="I1290" s="1">
        <v>108000</v>
      </c>
      <c r="J1290" s="45">
        <v>1071288</v>
      </c>
      <c r="K1290" s="1" t="str">
        <f>TRIM(Cleaned_CRM_Data!H1290)</f>
        <v>Follow up</v>
      </c>
      <c r="L1290" t="str">
        <f>IFERROR(VLOOKUP(K1290, Status_Mapping!A:B, 2,), "Not Found")</f>
        <v>Follow Up</v>
      </c>
      <c r="N1290" s="29" t="str">
        <f>IF(M1290="","",M1290-B1290)</f>
        <v/>
      </c>
      <c r="O1290" s="1" t="str">
        <f t="shared" si="105"/>
        <v>Starter</v>
      </c>
      <c r="P1290" t="str">
        <f>TEXT(B1290, "mmmm")</f>
        <v>January</v>
      </c>
      <c r="Q1290" t="str">
        <f t="shared" si="106"/>
        <v>Q1</v>
      </c>
      <c r="R1290" t="str">
        <f>IFERROR(VLOOKUP(TRIM(CLEAN(G1290)),Sheet14!$A$2:$B$19,2,FALSE),"Not Mapped")</f>
        <v>North</v>
      </c>
    </row>
    <row r="1291" spans="1:18">
      <c r="A1291" t="str">
        <f t="shared" si="104"/>
        <v>EOS1290</v>
      </c>
      <c r="B1291" s="38">
        <v>46047</v>
      </c>
      <c r="C1291" s="4" t="s">
        <v>267</v>
      </c>
      <c r="D1291" s="1" t="str">
        <f t="shared" si="103"/>
        <v>FB</v>
      </c>
      <c r="E1291" s="7" t="s">
        <v>1864</v>
      </c>
      <c r="F1291" s="7" t="s">
        <v>1135</v>
      </c>
      <c r="G1291" s="4" t="s">
        <v>223</v>
      </c>
      <c r="H1291" s="1" t="s">
        <v>69</v>
      </c>
      <c r="I1291" s="1">
        <v>108000</v>
      </c>
      <c r="J1291" s="45">
        <v>1071289</v>
      </c>
      <c r="K1291" s="1" t="str">
        <f>TRIM(Cleaned_CRM_Data!H1291)</f>
        <v>Follow up</v>
      </c>
      <c r="L1291" t="str">
        <f>IFERROR(VLOOKUP(K1291, Status_Mapping!A:B, 2,), "Not Found")</f>
        <v>Follow Up</v>
      </c>
      <c r="N1291" s="29" t="str">
        <f>IF(M1291="","",M1291-B1291)</f>
        <v/>
      </c>
      <c r="O1291" s="1" t="str">
        <f t="shared" si="105"/>
        <v>Starter</v>
      </c>
      <c r="P1291" t="str">
        <f>TEXT(B1291, "mmmm")</f>
        <v>January</v>
      </c>
      <c r="Q1291" t="str">
        <f t="shared" si="106"/>
        <v>Q1</v>
      </c>
      <c r="R1291" t="str">
        <f>IFERROR(VLOOKUP(TRIM(CLEAN(G1291)),Sheet14!$A$2:$B$19,2,FALSE),"Not Mapped")</f>
        <v>West</v>
      </c>
    </row>
    <row r="1292" spans="1:18">
      <c r="A1292" t="str">
        <f t="shared" si="104"/>
        <v>EOS1291</v>
      </c>
      <c r="B1292" s="38">
        <v>46047</v>
      </c>
      <c r="C1292" s="4" t="s">
        <v>267</v>
      </c>
      <c r="D1292" s="1" t="str">
        <f t="shared" si="103"/>
        <v>FB</v>
      </c>
      <c r="E1292" s="7" t="s">
        <v>1865</v>
      </c>
      <c r="F1292" s="4"/>
      <c r="G1292" s="4" t="s">
        <v>223</v>
      </c>
      <c r="H1292" s="1" t="s">
        <v>69</v>
      </c>
      <c r="I1292" s="1">
        <v>130000</v>
      </c>
      <c r="J1292" s="45">
        <v>1071290</v>
      </c>
      <c r="K1292" s="1" t="str">
        <f>TRIM(Cleaned_CRM_Data!H1292)</f>
        <v>Follow up</v>
      </c>
      <c r="L1292" t="str">
        <f>IFERROR(VLOOKUP(K1292, Status_Mapping!A:B, 2,), "Not Found")</f>
        <v>Follow Up</v>
      </c>
      <c r="N1292" s="29" t="str">
        <f>IF(M1292="","",M1292-B1292)</f>
        <v/>
      </c>
      <c r="O1292" s="1" t="str">
        <f t="shared" si="105"/>
        <v>Starter</v>
      </c>
      <c r="P1292" t="str">
        <f>TEXT(B1292, "mmmm")</f>
        <v>January</v>
      </c>
      <c r="Q1292" t="str">
        <f t="shared" si="106"/>
        <v>Q1</v>
      </c>
      <c r="R1292" t="str">
        <f>IFERROR(VLOOKUP(TRIM(CLEAN(G1292)),Sheet14!$A$2:$B$19,2,FALSE),"Not Mapped")</f>
        <v>West</v>
      </c>
    </row>
    <row r="1293" spans="1:18">
      <c r="A1293" t="str">
        <f t="shared" si="104"/>
        <v>EOS1292</v>
      </c>
      <c r="B1293" s="38">
        <v>46047</v>
      </c>
      <c r="C1293" s="4" t="s">
        <v>267</v>
      </c>
      <c r="D1293" s="1" t="str">
        <f t="shared" si="103"/>
        <v>FB</v>
      </c>
      <c r="E1293" s="7" t="s">
        <v>1866</v>
      </c>
      <c r="F1293" s="1" t="s">
        <v>300</v>
      </c>
      <c r="G1293" s="4" t="s">
        <v>223</v>
      </c>
      <c r="H1293" s="1" t="s">
        <v>69</v>
      </c>
      <c r="I1293" s="1">
        <v>177000</v>
      </c>
      <c r="J1293" s="45">
        <v>1071291</v>
      </c>
      <c r="K1293" s="1" t="str">
        <f>TRIM(Cleaned_CRM_Data!H1293)</f>
        <v>Follow up</v>
      </c>
      <c r="L1293" t="str">
        <f>IFERROR(VLOOKUP(K1293, Status_Mapping!A:B, 2,), "Not Found")</f>
        <v>Follow Up</v>
      </c>
      <c r="N1293" s="29" t="str">
        <f>IF(M1293="","",M1293-B1293)</f>
        <v/>
      </c>
      <c r="O1293" s="1" t="str">
        <f t="shared" si="105"/>
        <v>Growth</v>
      </c>
      <c r="P1293" t="str">
        <f>TEXT(B1293, "mmmm")</f>
        <v>January</v>
      </c>
      <c r="Q1293" t="str">
        <f t="shared" si="106"/>
        <v>Q1</v>
      </c>
      <c r="R1293" t="str">
        <f>IFERROR(VLOOKUP(TRIM(CLEAN(G1293)),Sheet14!$A$2:$B$19,2,FALSE),"Not Mapped")</f>
        <v>West</v>
      </c>
    </row>
    <row r="1294" spans="1:18">
      <c r="A1294" t="str">
        <f t="shared" si="104"/>
        <v>EOS1293</v>
      </c>
      <c r="B1294" s="38">
        <v>46047</v>
      </c>
      <c r="C1294" s="4" t="s">
        <v>267</v>
      </c>
      <c r="D1294" s="1" t="str">
        <f t="shared" si="103"/>
        <v>FB</v>
      </c>
      <c r="E1294" s="7" t="s">
        <v>1235</v>
      </c>
      <c r="F1294" s="1" t="s">
        <v>275</v>
      </c>
      <c r="G1294" s="4" t="s">
        <v>223</v>
      </c>
      <c r="H1294" s="1" t="s">
        <v>69</v>
      </c>
      <c r="I1294" s="1">
        <v>130000</v>
      </c>
      <c r="J1294" s="45">
        <v>1071292</v>
      </c>
      <c r="K1294" s="1" t="str">
        <f>TRIM(Cleaned_CRM_Data!H1294)</f>
        <v>Follow up</v>
      </c>
      <c r="L1294" t="str">
        <f>IFERROR(VLOOKUP(K1294, Status_Mapping!A:B, 2,), "Not Found")</f>
        <v>Follow Up</v>
      </c>
      <c r="N1294" s="29" t="str">
        <f>IF(M1294="","",M1294-B1294)</f>
        <v/>
      </c>
      <c r="O1294" s="1" t="str">
        <f t="shared" si="105"/>
        <v>Starter</v>
      </c>
      <c r="P1294" t="str">
        <f>TEXT(B1294, "mmmm")</f>
        <v>January</v>
      </c>
      <c r="Q1294" t="str">
        <f t="shared" si="106"/>
        <v>Q1</v>
      </c>
      <c r="R1294" t="str">
        <f>IFERROR(VLOOKUP(TRIM(CLEAN(G1294)),Sheet14!$A$2:$B$19,2,FALSE),"Not Mapped")</f>
        <v>West</v>
      </c>
    </row>
    <row r="1295" spans="1:18">
      <c r="A1295" t="str">
        <f t="shared" si="104"/>
        <v>EOS1294</v>
      </c>
      <c r="B1295" s="38">
        <v>46047</v>
      </c>
      <c r="C1295" s="4" t="s">
        <v>267</v>
      </c>
      <c r="D1295" s="1" t="str">
        <f t="shared" si="103"/>
        <v>FB</v>
      </c>
      <c r="E1295" s="7" t="s">
        <v>1867</v>
      </c>
      <c r="F1295" s="1" t="s">
        <v>661</v>
      </c>
      <c r="G1295" s="4" t="s">
        <v>223</v>
      </c>
      <c r="H1295" s="1" t="s">
        <v>69</v>
      </c>
      <c r="I1295" s="1">
        <v>108000</v>
      </c>
      <c r="J1295" s="45">
        <v>1071293</v>
      </c>
      <c r="K1295" s="1" t="str">
        <f>TRIM(Cleaned_CRM_Data!H1295)</f>
        <v>Follow up</v>
      </c>
      <c r="L1295" t="str">
        <f>IFERROR(VLOOKUP(K1295, Status_Mapping!A:B, 2,), "Not Found")</f>
        <v>Follow Up</v>
      </c>
      <c r="N1295" s="29" t="str">
        <f>IF(M1295="","",M1295-B1295)</f>
        <v/>
      </c>
      <c r="O1295" s="1" t="str">
        <f t="shared" si="105"/>
        <v>Starter</v>
      </c>
      <c r="P1295" t="str">
        <f>TEXT(B1295, "mmmm")</f>
        <v>January</v>
      </c>
      <c r="Q1295" t="str">
        <f t="shared" si="106"/>
        <v>Q1</v>
      </c>
      <c r="R1295" t="str">
        <f>IFERROR(VLOOKUP(TRIM(CLEAN(G1295)),Sheet14!$A$2:$B$19,2,FALSE),"Not Mapped")</f>
        <v>West</v>
      </c>
    </row>
    <row r="1296" spans="1:18">
      <c r="A1296" t="str">
        <f t="shared" si="104"/>
        <v>EOS1295</v>
      </c>
      <c r="B1296" s="38">
        <v>46047</v>
      </c>
      <c r="C1296" s="4" t="s">
        <v>267</v>
      </c>
      <c r="D1296" s="1" t="str">
        <f t="shared" si="103"/>
        <v>FB</v>
      </c>
      <c r="E1296" s="7" t="s">
        <v>1868</v>
      </c>
      <c r="F1296" s="7" t="s">
        <v>1869</v>
      </c>
      <c r="G1296" s="1" t="s">
        <v>224</v>
      </c>
      <c r="H1296" s="1" t="s">
        <v>69</v>
      </c>
      <c r="I1296" s="1">
        <v>130000</v>
      </c>
      <c r="J1296" s="45">
        <v>1071294</v>
      </c>
      <c r="K1296" s="1" t="str">
        <f>TRIM(Cleaned_CRM_Data!H1296)</f>
        <v>Follow up</v>
      </c>
      <c r="L1296" t="str">
        <f>IFERROR(VLOOKUP(K1296, Status_Mapping!A:B, 2,), "Not Found")</f>
        <v>Follow Up</v>
      </c>
      <c r="N1296" s="29" t="str">
        <f>IF(M1296="","",M1296-B1296)</f>
        <v/>
      </c>
      <c r="O1296" s="1" t="str">
        <f t="shared" si="105"/>
        <v>Starter</v>
      </c>
      <c r="P1296" t="str">
        <f>TEXT(B1296, "mmmm")</f>
        <v>January</v>
      </c>
      <c r="Q1296" t="str">
        <f t="shared" si="106"/>
        <v>Q1</v>
      </c>
      <c r="R1296" t="str">
        <f>IFERROR(VLOOKUP(TRIM(CLEAN(G1296)),Sheet14!$A$2:$B$19,2,FALSE),"Not Mapped")</f>
        <v>West</v>
      </c>
    </row>
    <row r="1297" spans="1:18">
      <c r="A1297" t="str">
        <f t="shared" si="104"/>
        <v>EOS1296</v>
      </c>
      <c r="B1297" s="38">
        <v>46047</v>
      </c>
      <c r="C1297" s="4" t="s">
        <v>267</v>
      </c>
      <c r="D1297" s="1" t="str">
        <f t="shared" si="103"/>
        <v>FB</v>
      </c>
      <c r="E1297" s="7" t="s">
        <v>1870</v>
      </c>
      <c r="F1297" s="7" t="s">
        <v>1871</v>
      </c>
      <c r="G1297" s="4" t="s">
        <v>223</v>
      </c>
      <c r="H1297" s="1" t="s">
        <v>69</v>
      </c>
      <c r="I1297" s="1">
        <v>108000</v>
      </c>
      <c r="J1297" s="45">
        <v>1071295</v>
      </c>
      <c r="K1297" s="1" t="str">
        <f>TRIM(Cleaned_CRM_Data!H1297)</f>
        <v>Follow up</v>
      </c>
      <c r="L1297" t="str">
        <f>IFERROR(VLOOKUP(K1297, Status_Mapping!A:B, 2,), "Not Found")</f>
        <v>Follow Up</v>
      </c>
      <c r="N1297" s="29" t="str">
        <f>IF(M1297="","",M1297-B1297)</f>
        <v/>
      </c>
      <c r="O1297" s="1" t="str">
        <f t="shared" si="105"/>
        <v>Starter</v>
      </c>
      <c r="P1297" t="str">
        <f>TEXT(B1297, "mmmm")</f>
        <v>January</v>
      </c>
      <c r="Q1297" t="str">
        <f t="shared" si="106"/>
        <v>Q1</v>
      </c>
      <c r="R1297" t="str">
        <f>IFERROR(VLOOKUP(TRIM(CLEAN(G1297)),Sheet14!$A$2:$B$19,2,FALSE),"Not Mapped")</f>
        <v>West</v>
      </c>
    </row>
    <row r="1298" spans="1:18">
      <c r="A1298" t="str">
        <f t="shared" si="104"/>
        <v>EOS1297</v>
      </c>
      <c r="B1298" s="38">
        <v>46047</v>
      </c>
      <c r="C1298" s="4" t="s">
        <v>267</v>
      </c>
      <c r="D1298" s="1" t="str">
        <f t="shared" si="103"/>
        <v>FB</v>
      </c>
      <c r="E1298" s="7" t="s">
        <v>1872</v>
      </c>
      <c r="F1298" s="7" t="s">
        <v>1873</v>
      </c>
      <c r="G1298" s="4" t="s">
        <v>1781</v>
      </c>
      <c r="H1298" s="1" t="s">
        <v>69</v>
      </c>
      <c r="I1298" s="1">
        <v>130000</v>
      </c>
      <c r="J1298" s="45">
        <v>1071296</v>
      </c>
      <c r="K1298" s="1" t="str">
        <f>TRIM(Cleaned_CRM_Data!H1298)</f>
        <v>Follow up</v>
      </c>
      <c r="L1298" t="str">
        <f>IFERROR(VLOOKUP(K1298, Status_Mapping!A:B, 2,), "Not Found")</f>
        <v>Follow Up</v>
      </c>
      <c r="N1298" s="29" t="str">
        <f>IF(M1298="","",M1298-B1298)</f>
        <v/>
      </c>
      <c r="O1298" s="1" t="str">
        <f t="shared" si="105"/>
        <v>Starter</v>
      </c>
      <c r="P1298" t="str">
        <f>TEXT(B1298, "mmmm")</f>
        <v>January</v>
      </c>
      <c r="Q1298" t="str">
        <f t="shared" si="106"/>
        <v>Q1</v>
      </c>
      <c r="R1298" t="str">
        <f>IFERROR(VLOOKUP(TRIM(CLEAN(G1298)),Sheet14!$A$2:$B$19,2,FALSE),"Not Mapped")</f>
        <v>North</v>
      </c>
    </row>
    <row r="1299" spans="1:18">
      <c r="A1299" t="str">
        <f t="shared" si="104"/>
        <v>EOS1298</v>
      </c>
      <c r="B1299" s="38">
        <v>46047</v>
      </c>
      <c r="C1299" s="4" t="s">
        <v>267</v>
      </c>
      <c r="D1299" s="1" t="str">
        <f t="shared" si="103"/>
        <v>FB</v>
      </c>
      <c r="E1299" s="7" t="s">
        <v>1874</v>
      </c>
      <c r="F1299" s="4" t="s">
        <v>1186</v>
      </c>
      <c r="G1299" s="4" t="s">
        <v>240</v>
      </c>
      <c r="H1299" s="1" t="s">
        <v>69</v>
      </c>
      <c r="I1299" s="1">
        <v>130000</v>
      </c>
      <c r="J1299" s="45">
        <v>1071297</v>
      </c>
      <c r="K1299" s="1" t="str">
        <f>TRIM(Cleaned_CRM_Data!H1299)</f>
        <v>Follow up</v>
      </c>
      <c r="L1299" t="str">
        <f>IFERROR(VLOOKUP(K1299, Status_Mapping!A:B, 2,), "Not Found")</f>
        <v>Follow Up</v>
      </c>
      <c r="N1299" s="29" t="str">
        <f>IF(M1299="","",M1299-B1299)</f>
        <v/>
      </c>
      <c r="O1299" s="1" t="str">
        <f t="shared" si="105"/>
        <v>Starter</v>
      </c>
      <c r="P1299" t="str">
        <f>TEXT(B1299, "mmmm")</f>
        <v>January</v>
      </c>
      <c r="Q1299" t="str">
        <f t="shared" si="106"/>
        <v>Q1</v>
      </c>
      <c r="R1299" t="str">
        <f>IFERROR(VLOOKUP(TRIM(CLEAN(G1299)),Sheet14!$A$2:$B$19,2,FALSE),"Not Mapped")</f>
        <v>North</v>
      </c>
    </row>
    <row r="1300" spans="1:18">
      <c r="A1300" t="str">
        <f t="shared" si="104"/>
        <v>EOS1299</v>
      </c>
      <c r="B1300" s="38">
        <v>46049</v>
      </c>
      <c r="C1300" s="4" t="s">
        <v>267</v>
      </c>
      <c r="D1300" s="1" t="str">
        <f t="shared" si="103"/>
        <v>FB</v>
      </c>
      <c r="E1300" s="7" t="s">
        <v>1875</v>
      </c>
      <c r="F1300" s="4" t="s">
        <v>1876</v>
      </c>
      <c r="G1300" s="4" t="s">
        <v>223</v>
      </c>
      <c r="H1300" s="1" t="s">
        <v>69</v>
      </c>
      <c r="I1300" s="1">
        <v>108000</v>
      </c>
      <c r="J1300" s="45">
        <v>1071298</v>
      </c>
      <c r="K1300" s="1" t="str">
        <f>TRIM(Cleaned_CRM_Data!H1300)</f>
        <v>Follow up</v>
      </c>
      <c r="L1300" t="str">
        <f>IFERROR(VLOOKUP(K1300, Status_Mapping!A:B, 2,), "Not Found")</f>
        <v>Follow Up</v>
      </c>
      <c r="N1300" s="29" t="str">
        <f>IF(M1300="","",M1300-B1300)</f>
        <v/>
      </c>
      <c r="O1300" s="1" t="str">
        <f t="shared" si="105"/>
        <v>Starter</v>
      </c>
      <c r="P1300" t="str">
        <f>TEXT(B1300, "mmmm")</f>
        <v>January</v>
      </c>
      <c r="Q1300" t="str">
        <f t="shared" si="106"/>
        <v>Q1</v>
      </c>
      <c r="R1300" t="str">
        <f>IFERROR(VLOOKUP(TRIM(CLEAN(G1300)),Sheet14!$A$2:$B$19,2,FALSE),"Not Mapped")</f>
        <v>West</v>
      </c>
    </row>
    <row r="1301" spans="1:18">
      <c r="A1301" t="str">
        <f t="shared" si="104"/>
        <v>EOS1300</v>
      </c>
      <c r="B1301" s="38">
        <v>46049</v>
      </c>
      <c r="C1301" s="4" t="s">
        <v>267</v>
      </c>
      <c r="D1301" s="1" t="str">
        <f t="shared" si="103"/>
        <v>FB</v>
      </c>
      <c r="E1301" s="7" t="s">
        <v>1877</v>
      </c>
      <c r="F1301" s="1" t="s">
        <v>350</v>
      </c>
      <c r="G1301" s="4" t="s">
        <v>223</v>
      </c>
      <c r="H1301" s="1" t="s">
        <v>69</v>
      </c>
      <c r="I1301" s="1">
        <v>130000</v>
      </c>
      <c r="J1301" s="45">
        <v>1071299</v>
      </c>
      <c r="K1301" s="1" t="str">
        <f>TRIM(Cleaned_CRM_Data!H1301)</f>
        <v>Follow up</v>
      </c>
      <c r="L1301" t="str">
        <f>IFERROR(VLOOKUP(K1301, Status_Mapping!A:B, 2,), "Not Found")</f>
        <v>Follow Up</v>
      </c>
      <c r="N1301" s="29" t="str">
        <f>IF(M1301="","",M1301-B1301)</f>
        <v/>
      </c>
      <c r="O1301" s="1" t="str">
        <f t="shared" si="105"/>
        <v>Starter</v>
      </c>
      <c r="P1301" t="str">
        <f>TEXT(B1301, "mmmm")</f>
        <v>January</v>
      </c>
      <c r="Q1301" t="str">
        <f t="shared" si="106"/>
        <v>Q1</v>
      </c>
      <c r="R1301" t="str">
        <f>IFERROR(VLOOKUP(TRIM(CLEAN(G1301)),Sheet14!$A$2:$B$19,2,FALSE),"Not Mapped")</f>
        <v>West</v>
      </c>
    </row>
    <row r="1302" spans="1:18">
      <c r="A1302" t="str">
        <f t="shared" si="104"/>
        <v>EOS1301</v>
      </c>
      <c r="B1302" s="38">
        <v>46049</v>
      </c>
      <c r="C1302" s="4" t="s">
        <v>267</v>
      </c>
      <c r="D1302" s="1" t="str">
        <f t="shared" si="103"/>
        <v>FB</v>
      </c>
      <c r="E1302" s="7" t="s">
        <v>1878</v>
      </c>
      <c r="F1302" s="4" t="s">
        <v>1879</v>
      </c>
      <c r="G1302" s="4" t="s">
        <v>223</v>
      </c>
      <c r="H1302" s="1" t="s">
        <v>69</v>
      </c>
      <c r="I1302" s="1">
        <v>177000</v>
      </c>
      <c r="J1302" s="45">
        <v>1071300</v>
      </c>
      <c r="K1302" s="1" t="str">
        <f>TRIM(Cleaned_CRM_Data!H1302)</f>
        <v>Follow up</v>
      </c>
      <c r="L1302" t="str">
        <f>IFERROR(VLOOKUP(K1302, Status_Mapping!A:B, 2,), "Not Found")</f>
        <v>Follow Up</v>
      </c>
      <c r="N1302" s="29" t="str">
        <f>IF(M1302="","",M1302-B1302)</f>
        <v/>
      </c>
      <c r="O1302" s="1" t="str">
        <f t="shared" si="105"/>
        <v>Growth</v>
      </c>
      <c r="P1302" t="str">
        <f>TEXT(B1302, "mmmm")</f>
        <v>January</v>
      </c>
      <c r="Q1302" t="str">
        <f t="shared" si="106"/>
        <v>Q1</v>
      </c>
      <c r="R1302" t="str">
        <f>IFERROR(VLOOKUP(TRIM(CLEAN(G1302)),Sheet14!$A$2:$B$19,2,FALSE),"Not Mapped")</f>
        <v>West</v>
      </c>
    </row>
    <row r="1303" spans="1:18">
      <c r="A1303" t="str">
        <f t="shared" si="104"/>
        <v>EOS1302</v>
      </c>
      <c r="B1303" s="38">
        <v>46049</v>
      </c>
      <c r="C1303" s="4" t="s">
        <v>267</v>
      </c>
      <c r="D1303" s="1" t="str">
        <f t="shared" si="103"/>
        <v>FB</v>
      </c>
      <c r="E1303" s="4" t="s">
        <v>1108</v>
      </c>
      <c r="F1303" s="4"/>
      <c r="G1303" s="4" t="s">
        <v>223</v>
      </c>
      <c r="H1303" s="1" t="s">
        <v>69</v>
      </c>
      <c r="I1303" s="1">
        <v>108000</v>
      </c>
      <c r="J1303" s="45">
        <v>1071301</v>
      </c>
      <c r="K1303" s="1" t="str">
        <f>TRIM(Cleaned_CRM_Data!H1303)</f>
        <v>Follow up</v>
      </c>
      <c r="L1303" t="str">
        <f>IFERROR(VLOOKUP(K1303, Status_Mapping!A:B, 2,), "Not Found")</f>
        <v>Follow Up</v>
      </c>
      <c r="N1303" s="29" t="str">
        <f>IF(M1303="","",M1303-B1303)</f>
        <v/>
      </c>
      <c r="O1303" s="1" t="str">
        <f t="shared" si="105"/>
        <v>Starter</v>
      </c>
      <c r="P1303" t="str">
        <f>TEXT(B1303, "mmmm")</f>
        <v>January</v>
      </c>
      <c r="Q1303" t="str">
        <f t="shared" si="106"/>
        <v>Q1</v>
      </c>
      <c r="R1303" t="str">
        <f>IFERROR(VLOOKUP(TRIM(CLEAN(G1303)),Sheet14!$A$2:$B$19,2,FALSE),"Not Mapped")</f>
        <v>West</v>
      </c>
    </row>
    <row r="1304" spans="1:18">
      <c r="A1304" t="str">
        <f t="shared" si="104"/>
        <v>EOS1303</v>
      </c>
      <c r="B1304" s="38">
        <v>46049</v>
      </c>
      <c r="C1304" s="4" t="s">
        <v>267</v>
      </c>
      <c r="D1304" s="1" t="str">
        <f t="shared" si="103"/>
        <v>FB</v>
      </c>
      <c r="E1304" s="4" t="s">
        <v>1880</v>
      </c>
      <c r="F1304" s="1" t="s">
        <v>350</v>
      </c>
      <c r="G1304" s="4" t="s">
        <v>223</v>
      </c>
      <c r="H1304" s="1" t="s">
        <v>69</v>
      </c>
      <c r="I1304" s="1">
        <v>108000</v>
      </c>
      <c r="J1304" s="45">
        <v>1071302</v>
      </c>
      <c r="K1304" s="1" t="str">
        <f>TRIM(Cleaned_CRM_Data!H1304)</f>
        <v>Follow up</v>
      </c>
      <c r="L1304" t="str">
        <f>IFERROR(VLOOKUP(K1304, Status_Mapping!A:B, 2,), "Not Found")</f>
        <v>Follow Up</v>
      </c>
      <c r="N1304" s="29" t="str">
        <f>IF(M1304="","",M1304-B1304)</f>
        <v/>
      </c>
      <c r="O1304" s="1" t="str">
        <f t="shared" si="105"/>
        <v>Starter</v>
      </c>
      <c r="P1304" t="str">
        <f>TEXT(B1304, "mmmm")</f>
        <v>January</v>
      </c>
      <c r="Q1304" t="str">
        <f t="shared" si="106"/>
        <v>Q1</v>
      </c>
      <c r="R1304" t="str">
        <f>IFERROR(VLOOKUP(TRIM(CLEAN(G1304)),Sheet14!$A$2:$B$19,2,FALSE),"Not Mapped")</f>
        <v>West</v>
      </c>
    </row>
    <row r="1305" spans="1:18">
      <c r="A1305" t="str">
        <f t="shared" si="104"/>
        <v>EOS1304</v>
      </c>
      <c r="B1305" s="38">
        <v>46049</v>
      </c>
      <c r="C1305" s="4" t="s">
        <v>267</v>
      </c>
      <c r="D1305" s="1" t="str">
        <f t="shared" si="103"/>
        <v>FB</v>
      </c>
      <c r="E1305" s="7" t="s">
        <v>1881</v>
      </c>
      <c r="F1305" s="4"/>
      <c r="G1305" s="4" t="s">
        <v>223</v>
      </c>
      <c r="H1305" s="1" t="s">
        <v>69</v>
      </c>
      <c r="I1305" s="1">
        <v>177000</v>
      </c>
      <c r="J1305" s="45">
        <v>1071303</v>
      </c>
      <c r="K1305" s="1" t="str">
        <f>TRIM(Cleaned_CRM_Data!H1305)</f>
        <v>Follow up</v>
      </c>
      <c r="L1305" t="str">
        <f>IFERROR(VLOOKUP(K1305, Status_Mapping!A:B, 2,), "Not Found")</f>
        <v>Follow Up</v>
      </c>
      <c r="N1305" s="29" t="str">
        <f>IF(M1305="","",M1305-B1305)</f>
        <v/>
      </c>
      <c r="O1305" s="1" t="str">
        <f t="shared" si="105"/>
        <v>Growth</v>
      </c>
      <c r="P1305" t="str">
        <f>TEXT(B1305, "mmmm")</f>
        <v>January</v>
      </c>
      <c r="Q1305" t="str">
        <f t="shared" si="106"/>
        <v>Q1</v>
      </c>
      <c r="R1305" t="str">
        <f>IFERROR(VLOOKUP(TRIM(CLEAN(G1305)),Sheet14!$A$2:$B$19,2,FALSE),"Not Mapped")</f>
        <v>West</v>
      </c>
    </row>
    <row r="1306" spans="1:18">
      <c r="A1306" t="str">
        <f t="shared" si="104"/>
        <v>EOS1305</v>
      </c>
      <c r="B1306" s="38">
        <v>46051</v>
      </c>
      <c r="C1306" s="4" t="s">
        <v>267</v>
      </c>
      <c r="D1306" s="1" t="str">
        <f t="shared" si="103"/>
        <v>FB</v>
      </c>
      <c r="E1306" s="7" t="s">
        <v>1882</v>
      </c>
      <c r="F1306" s="1" t="s">
        <v>354</v>
      </c>
      <c r="G1306" s="4" t="s">
        <v>223</v>
      </c>
      <c r="H1306" s="1" t="s">
        <v>69</v>
      </c>
      <c r="I1306" s="1">
        <v>108000</v>
      </c>
      <c r="J1306" s="45">
        <v>1071304</v>
      </c>
      <c r="K1306" s="1" t="str">
        <f>TRIM(Cleaned_CRM_Data!H1306)</f>
        <v>Follow up</v>
      </c>
      <c r="L1306" t="str">
        <f>IFERROR(VLOOKUP(K1306, Status_Mapping!A:B, 2,), "Not Found")</f>
        <v>Follow Up</v>
      </c>
      <c r="N1306" s="29" t="str">
        <f>IF(M1306="","",M1306-B1306)</f>
        <v/>
      </c>
      <c r="O1306" s="1" t="str">
        <f t="shared" si="105"/>
        <v>Starter</v>
      </c>
      <c r="P1306" t="str">
        <f>TEXT(B1306, "mmmm")</f>
        <v>January</v>
      </c>
      <c r="Q1306" t="str">
        <f t="shared" si="106"/>
        <v>Q1</v>
      </c>
      <c r="R1306" t="str">
        <f>IFERROR(VLOOKUP(TRIM(CLEAN(G1306)),Sheet14!$A$2:$B$19,2,FALSE),"Not Mapped")</f>
        <v>West</v>
      </c>
    </row>
    <row r="1307" spans="1:18">
      <c r="A1307" t="str">
        <f t="shared" si="104"/>
        <v>EOS1306</v>
      </c>
      <c r="B1307" s="38">
        <v>46051</v>
      </c>
      <c r="C1307" s="4" t="s">
        <v>267</v>
      </c>
      <c r="D1307" s="1" t="str">
        <f t="shared" si="103"/>
        <v>FB</v>
      </c>
      <c r="E1307" s="7" t="s">
        <v>1883</v>
      </c>
      <c r="F1307" s="1" t="s">
        <v>364</v>
      </c>
      <c r="G1307" s="4" t="s">
        <v>223</v>
      </c>
      <c r="H1307" s="1" t="s">
        <v>149</v>
      </c>
      <c r="I1307" s="1">
        <v>177000</v>
      </c>
      <c r="J1307" s="45">
        <v>1071305</v>
      </c>
      <c r="K1307" s="1" t="str">
        <f>TRIM(Cleaned_CRM_Data!H1307)</f>
        <v>Rejected</v>
      </c>
      <c r="L1307" t="str">
        <f>IFERROR(VLOOKUP(K1307, Status_Mapping!A:B, 2,), "Not Found")</f>
        <v>Rejected</v>
      </c>
      <c r="N1307" s="29" t="str">
        <f>IF(M1307="","",M1307-B1307)</f>
        <v/>
      </c>
      <c r="O1307" s="1" t="str">
        <f t="shared" si="105"/>
        <v>Growth</v>
      </c>
      <c r="P1307" t="str">
        <f>TEXT(B1307, "mmmm")</f>
        <v>January</v>
      </c>
      <c r="Q1307" t="str">
        <f t="shared" si="106"/>
        <v>Q1</v>
      </c>
      <c r="R1307" t="str">
        <f>IFERROR(VLOOKUP(TRIM(CLEAN(G1307)),Sheet14!$A$2:$B$19,2,FALSE),"Not Mapped")</f>
        <v>West</v>
      </c>
    </row>
    <row r="1308" spans="1:18">
      <c r="A1308" t="str">
        <f t="shared" si="104"/>
        <v>EOS1307</v>
      </c>
      <c r="B1308" s="38">
        <v>46051</v>
      </c>
      <c r="C1308" s="4" t="s">
        <v>1314</v>
      </c>
      <c r="D1308" s="1" t="str">
        <f t="shared" si="103"/>
        <v>Fb</v>
      </c>
      <c r="E1308" s="7" t="s">
        <v>1884</v>
      </c>
      <c r="F1308" s="1" t="s">
        <v>364</v>
      </c>
      <c r="G1308" s="4" t="s">
        <v>223</v>
      </c>
      <c r="H1308" s="1" t="s">
        <v>69</v>
      </c>
      <c r="I1308" s="1">
        <v>130000</v>
      </c>
      <c r="J1308" s="45">
        <v>1071306</v>
      </c>
      <c r="K1308" s="1" t="str">
        <f>TRIM(Cleaned_CRM_Data!H1308)</f>
        <v>Follow up</v>
      </c>
      <c r="L1308" t="str">
        <f>IFERROR(VLOOKUP(K1308, Status_Mapping!A:B, 2,), "Not Found")</f>
        <v>Follow Up</v>
      </c>
      <c r="N1308" s="29" t="str">
        <f>IF(M1308="","",M1308-B1308)</f>
        <v/>
      </c>
      <c r="O1308" s="1" t="str">
        <f t="shared" si="105"/>
        <v>Starter</v>
      </c>
      <c r="P1308" t="str">
        <f>TEXT(B1308, "mmmm")</f>
        <v>January</v>
      </c>
      <c r="Q1308" t="str">
        <f t="shared" si="106"/>
        <v>Q1</v>
      </c>
      <c r="R1308" t="str">
        <f>IFERROR(VLOOKUP(TRIM(CLEAN(G1308)),Sheet14!$A$2:$B$19,2,FALSE),"Not Mapped")</f>
        <v>West</v>
      </c>
    </row>
    <row r="1309" spans="1:18">
      <c r="A1309" t="str">
        <f t="shared" si="104"/>
        <v>EOS1308</v>
      </c>
      <c r="B1309" s="38">
        <v>46051</v>
      </c>
      <c r="C1309" s="4" t="s">
        <v>267</v>
      </c>
      <c r="D1309" s="1" t="str">
        <f t="shared" si="103"/>
        <v>FB</v>
      </c>
      <c r="E1309" s="7" t="s">
        <v>1885</v>
      </c>
      <c r="F1309" s="7" t="s">
        <v>304</v>
      </c>
      <c r="G1309" s="4" t="s">
        <v>223</v>
      </c>
      <c r="H1309" s="1" t="s">
        <v>69</v>
      </c>
      <c r="I1309" s="1">
        <v>108000</v>
      </c>
      <c r="J1309" s="45">
        <v>1071307</v>
      </c>
      <c r="K1309" s="1" t="str">
        <f>TRIM(Cleaned_CRM_Data!H1309)</f>
        <v>Follow up</v>
      </c>
      <c r="L1309" t="str">
        <f>IFERROR(VLOOKUP(K1309, Status_Mapping!A:B, 2,), "Not Found")</f>
        <v>Follow Up</v>
      </c>
      <c r="N1309" s="29" t="str">
        <f>IF(M1309="","",M1309-B1309)</f>
        <v/>
      </c>
      <c r="O1309" s="1" t="str">
        <f t="shared" si="105"/>
        <v>Starter</v>
      </c>
      <c r="P1309" t="str">
        <f>TEXT(B1309, "mmmm")</f>
        <v>January</v>
      </c>
      <c r="Q1309" t="str">
        <f t="shared" si="106"/>
        <v>Q1</v>
      </c>
      <c r="R1309" t="str">
        <f>IFERROR(VLOOKUP(TRIM(CLEAN(G1309)),Sheet14!$A$2:$B$19,2,FALSE),"Not Mapped")</f>
        <v>West</v>
      </c>
    </row>
    <row r="1310" spans="1:18">
      <c r="A1310" t="str">
        <f t="shared" si="104"/>
        <v>EOS1309</v>
      </c>
      <c r="B1310" s="38">
        <v>46051</v>
      </c>
      <c r="C1310" s="4" t="s">
        <v>267</v>
      </c>
      <c r="D1310" s="1" t="str">
        <f t="shared" si="103"/>
        <v>FB</v>
      </c>
      <c r="E1310" s="7" t="s">
        <v>1886</v>
      </c>
      <c r="F1310" s="4"/>
      <c r="G1310" s="4" t="s">
        <v>223</v>
      </c>
      <c r="H1310" s="1" t="s">
        <v>69</v>
      </c>
      <c r="I1310" s="1">
        <v>130000</v>
      </c>
      <c r="J1310" s="45">
        <v>1071308</v>
      </c>
      <c r="K1310" s="1" t="str">
        <f>TRIM(Cleaned_CRM_Data!H1310)</f>
        <v>Follow up</v>
      </c>
      <c r="L1310" t="str">
        <f>IFERROR(VLOOKUP(K1310, Status_Mapping!A:B, 2,), "Not Found")</f>
        <v>Follow Up</v>
      </c>
      <c r="N1310" s="29" t="str">
        <f>IF(M1310="","",M1310-B1310)</f>
        <v/>
      </c>
      <c r="O1310" s="1" t="str">
        <f t="shared" si="105"/>
        <v>Starter</v>
      </c>
      <c r="P1310" t="str">
        <f>TEXT(B1310, "mmmm")</f>
        <v>January</v>
      </c>
      <c r="Q1310" t="str">
        <f t="shared" si="106"/>
        <v>Q1</v>
      </c>
      <c r="R1310" t="str">
        <f>IFERROR(VLOOKUP(TRIM(CLEAN(G1310)),Sheet14!$A$2:$B$19,2,FALSE),"Not Mapped")</f>
        <v>West</v>
      </c>
    </row>
    <row r="1311" spans="1:18">
      <c r="A1311" t="str">
        <f t="shared" si="104"/>
        <v>EOS1310</v>
      </c>
      <c r="B1311" s="38">
        <v>46051</v>
      </c>
      <c r="C1311" s="4" t="s">
        <v>267</v>
      </c>
      <c r="D1311" s="1" t="str">
        <f t="shared" si="103"/>
        <v>FB</v>
      </c>
      <c r="E1311" s="4" t="s">
        <v>1887</v>
      </c>
      <c r="F1311" s="4"/>
      <c r="G1311" s="4"/>
      <c r="H1311" s="1" t="s">
        <v>69</v>
      </c>
      <c r="I1311" s="1">
        <v>130000</v>
      </c>
      <c r="J1311" s="45">
        <v>1071309</v>
      </c>
      <c r="K1311" s="1" t="str">
        <f>TRIM(Cleaned_CRM_Data!H1311)</f>
        <v>Follow up</v>
      </c>
      <c r="L1311" t="str">
        <f>IFERROR(VLOOKUP(K1311, Status_Mapping!A:B, 2,), "Not Found")</f>
        <v>Follow Up</v>
      </c>
      <c r="N1311" s="29" t="str">
        <f>IF(M1311="","",M1311-B1311)</f>
        <v/>
      </c>
      <c r="O1311" s="1" t="str">
        <f t="shared" si="105"/>
        <v>Starter</v>
      </c>
      <c r="P1311" t="str">
        <f>TEXT(B1311, "mmmm")</f>
        <v>January</v>
      </c>
      <c r="Q1311" t="str">
        <f t="shared" si="106"/>
        <v>Q1</v>
      </c>
      <c r="R1311" t="str">
        <f>IFERROR(VLOOKUP(TRIM(CLEAN(G1311)),Sheet14!$A$2:$B$19,2,FALSE),"Not Mapped")</f>
        <v>Not Mapped</v>
      </c>
    </row>
    <row r="1312" spans="1:18">
      <c r="A1312" t="str">
        <f t="shared" si="104"/>
        <v>EOS1311</v>
      </c>
      <c r="B1312" s="38">
        <v>46051</v>
      </c>
      <c r="C1312" s="4" t="s">
        <v>267</v>
      </c>
      <c r="D1312" s="1" t="str">
        <f t="shared" si="103"/>
        <v>FB</v>
      </c>
      <c r="E1312" s="7" t="s">
        <v>1888</v>
      </c>
      <c r="F1312" s="4"/>
      <c r="G1312" s="4"/>
      <c r="H1312" s="1" t="s">
        <v>69</v>
      </c>
      <c r="I1312" s="1">
        <v>130000</v>
      </c>
      <c r="J1312" s="45">
        <v>1071310</v>
      </c>
      <c r="K1312" s="1" t="str">
        <f>TRIM(Cleaned_CRM_Data!H1312)</f>
        <v>Follow up</v>
      </c>
      <c r="L1312" t="str">
        <f>IFERROR(VLOOKUP(K1312, Status_Mapping!A:B, 2,), "Not Found")</f>
        <v>Follow Up</v>
      </c>
      <c r="N1312" s="29" t="str">
        <f>IF(M1312="","",M1312-B1312)</f>
        <v/>
      </c>
      <c r="O1312" s="1" t="str">
        <f t="shared" si="105"/>
        <v>Starter</v>
      </c>
      <c r="P1312" t="str">
        <f>TEXT(B1312, "mmmm")</f>
        <v>January</v>
      </c>
      <c r="Q1312" t="str">
        <f t="shared" si="106"/>
        <v>Q1</v>
      </c>
      <c r="R1312" t="str">
        <f>IFERROR(VLOOKUP(TRIM(CLEAN(G1312)),Sheet14!$A$2:$B$19,2,FALSE),"Not Mapped")</f>
        <v>Not Mapped</v>
      </c>
    </row>
    <row r="1313" spans="1:18">
      <c r="A1313" t="str">
        <f t="shared" si="104"/>
        <v>EOS1312</v>
      </c>
      <c r="B1313" s="38">
        <v>46051</v>
      </c>
      <c r="C1313" s="4" t="s">
        <v>267</v>
      </c>
      <c r="D1313" s="1" t="str">
        <f t="shared" si="103"/>
        <v>FB</v>
      </c>
      <c r="E1313" s="7" t="s">
        <v>1889</v>
      </c>
      <c r="F1313" s="4"/>
      <c r="G1313" s="4"/>
      <c r="H1313" s="1" t="s">
        <v>69</v>
      </c>
      <c r="I1313" s="1">
        <v>130000</v>
      </c>
      <c r="J1313" s="45">
        <v>1071311</v>
      </c>
      <c r="K1313" s="1" t="str">
        <f>TRIM(Cleaned_CRM_Data!H1313)</f>
        <v>Follow up</v>
      </c>
      <c r="L1313" t="str">
        <f>IFERROR(VLOOKUP(K1313, Status_Mapping!A:B, 2,), "Not Found")</f>
        <v>Follow Up</v>
      </c>
      <c r="N1313" s="29" t="str">
        <f>IF(M1313="","",M1313-B1313)</f>
        <v/>
      </c>
      <c r="O1313" s="1" t="str">
        <f t="shared" si="105"/>
        <v>Starter</v>
      </c>
      <c r="P1313" t="str">
        <f>TEXT(B1313, "mmmm")</f>
        <v>January</v>
      </c>
      <c r="Q1313" t="str">
        <f t="shared" si="106"/>
        <v>Q1</v>
      </c>
      <c r="R1313" t="str">
        <f>IFERROR(VLOOKUP(TRIM(CLEAN(G1313)),Sheet14!$A$2:$B$19,2,FALSE),"Not Mapped")</f>
        <v>Not Mapped</v>
      </c>
    </row>
    <row r="1314" spans="1:18">
      <c r="A1314" t="str">
        <f t="shared" si="104"/>
        <v>EOS1313</v>
      </c>
      <c r="B1314" s="38">
        <v>46051</v>
      </c>
      <c r="C1314" s="4" t="s">
        <v>267</v>
      </c>
      <c r="D1314" s="1" t="str">
        <f t="shared" si="103"/>
        <v>FB</v>
      </c>
      <c r="E1314" s="7" t="s">
        <v>1890</v>
      </c>
      <c r="F1314" s="4"/>
      <c r="G1314" s="4"/>
      <c r="H1314" s="1" t="s">
        <v>69</v>
      </c>
      <c r="I1314" s="1">
        <v>108000</v>
      </c>
      <c r="J1314" s="45">
        <v>1071312</v>
      </c>
      <c r="K1314" s="1" t="str">
        <f>TRIM(Cleaned_CRM_Data!H1314)</f>
        <v>Follow up</v>
      </c>
      <c r="L1314" t="str">
        <f>IFERROR(VLOOKUP(K1314, Status_Mapping!A:B, 2,), "Not Found")</f>
        <v>Follow Up</v>
      </c>
      <c r="N1314" s="29" t="str">
        <f>IF(M1314="","",M1314-B1314)</f>
        <v/>
      </c>
      <c r="O1314" s="1" t="str">
        <f t="shared" si="105"/>
        <v>Starter</v>
      </c>
      <c r="P1314" t="str">
        <f>TEXT(B1314, "mmmm")</f>
        <v>January</v>
      </c>
      <c r="Q1314" t="str">
        <f t="shared" si="106"/>
        <v>Q1</v>
      </c>
      <c r="R1314" t="str">
        <f>IFERROR(VLOOKUP(TRIM(CLEAN(G1314)),Sheet14!$A$2:$B$19,2,FALSE),"Not Mapped")</f>
        <v>Not Mapped</v>
      </c>
    </row>
    <row r="1315" spans="1:18">
      <c r="A1315" t="str">
        <f t="shared" si="104"/>
        <v>EOS1314</v>
      </c>
      <c r="B1315" s="38">
        <v>46051</v>
      </c>
      <c r="C1315" s="4" t="s">
        <v>267</v>
      </c>
      <c r="D1315" s="1" t="str">
        <f t="shared" si="103"/>
        <v>FB</v>
      </c>
      <c r="E1315" s="7" t="s">
        <v>1891</v>
      </c>
      <c r="F1315" s="4" t="s">
        <v>1892</v>
      </c>
      <c r="G1315" s="4" t="s">
        <v>1893</v>
      </c>
      <c r="H1315" s="1" t="s">
        <v>69</v>
      </c>
      <c r="I1315" s="1">
        <v>108000</v>
      </c>
      <c r="J1315" s="45">
        <v>1071313</v>
      </c>
      <c r="K1315" s="1" t="str">
        <f>TRIM(Cleaned_CRM_Data!H1315)</f>
        <v>Follow up</v>
      </c>
      <c r="L1315" t="str">
        <f>IFERROR(VLOOKUP(K1315, Status_Mapping!A:B, 2,), "Not Found")</f>
        <v>Follow Up</v>
      </c>
      <c r="N1315" s="29" t="str">
        <f>IF(M1315="","",M1315-B1315)</f>
        <v/>
      </c>
      <c r="O1315" s="1" t="str">
        <f t="shared" si="105"/>
        <v>Starter</v>
      </c>
      <c r="P1315" t="str">
        <f>TEXT(B1315, "mmmm")</f>
        <v>January</v>
      </c>
      <c r="Q1315" t="str">
        <f t="shared" si="106"/>
        <v>Q1</v>
      </c>
      <c r="R1315" t="str">
        <f>IFERROR(VLOOKUP(TRIM(CLEAN(G1315)),Sheet14!$A$2:$B$19,2,FALSE),"Not Mapped")</f>
        <v>North</v>
      </c>
    </row>
    <row r="1316" spans="1:18">
      <c r="A1316" t="str">
        <f t="shared" si="104"/>
        <v>EOS1315</v>
      </c>
      <c r="B1316" s="38">
        <v>46051</v>
      </c>
      <c r="C1316" s="4" t="s">
        <v>267</v>
      </c>
      <c r="D1316" s="1" t="str">
        <f t="shared" si="103"/>
        <v>FB</v>
      </c>
      <c r="E1316" s="7" t="s">
        <v>1894</v>
      </c>
      <c r="F1316" s="4" t="s">
        <v>1186</v>
      </c>
      <c r="G1316" s="4" t="s">
        <v>1781</v>
      </c>
      <c r="H1316" s="1" t="s">
        <v>69</v>
      </c>
      <c r="I1316" s="1">
        <v>108000</v>
      </c>
      <c r="J1316" s="45">
        <v>1071314</v>
      </c>
      <c r="K1316" s="1" t="str">
        <f>TRIM(Cleaned_CRM_Data!H1316)</f>
        <v>Follow up</v>
      </c>
      <c r="L1316" t="str">
        <f>IFERROR(VLOOKUP(K1316, Status_Mapping!A:B, 2,), "Not Found")</f>
        <v>Follow Up</v>
      </c>
      <c r="N1316" s="29" t="str">
        <f>IF(M1316="","",M1316-B1316)</f>
        <v/>
      </c>
      <c r="O1316" s="1" t="str">
        <f t="shared" si="105"/>
        <v>Starter</v>
      </c>
      <c r="P1316" t="str">
        <f>TEXT(B1316, "mmmm")</f>
        <v>January</v>
      </c>
      <c r="Q1316" t="str">
        <f t="shared" si="106"/>
        <v>Q1</v>
      </c>
      <c r="R1316" t="str">
        <f>IFERROR(VLOOKUP(TRIM(CLEAN(G1316)),Sheet14!$A$2:$B$19,2,FALSE),"Not Mapped")</f>
        <v>North</v>
      </c>
    </row>
    <row r="1317" spans="1:18">
      <c r="A1317" t="str">
        <f t="shared" si="104"/>
        <v>EOS1316</v>
      </c>
      <c r="B1317" s="38">
        <v>46051</v>
      </c>
      <c r="C1317" s="4" t="s">
        <v>267</v>
      </c>
      <c r="D1317" s="1" t="str">
        <f t="shared" si="103"/>
        <v>FB</v>
      </c>
      <c r="E1317" s="7" t="s">
        <v>1895</v>
      </c>
      <c r="F1317" s="4" t="s">
        <v>1896</v>
      </c>
      <c r="G1317" s="4" t="s">
        <v>1781</v>
      </c>
      <c r="H1317" s="1" t="s">
        <v>69</v>
      </c>
      <c r="I1317" s="1">
        <v>130000</v>
      </c>
      <c r="J1317" s="45">
        <v>1071315</v>
      </c>
      <c r="K1317" s="1" t="str">
        <f>TRIM(Cleaned_CRM_Data!H1317)</f>
        <v>Follow up</v>
      </c>
      <c r="L1317" t="str">
        <f>IFERROR(VLOOKUP(K1317, Status_Mapping!A:B, 2,), "Not Found")</f>
        <v>Follow Up</v>
      </c>
      <c r="N1317" s="29" t="str">
        <f>IF(M1317="","",M1317-B1317)</f>
        <v/>
      </c>
      <c r="O1317" s="1" t="str">
        <f t="shared" si="105"/>
        <v>Starter</v>
      </c>
      <c r="P1317" t="str">
        <f>TEXT(B1317, "mmmm")</f>
        <v>January</v>
      </c>
      <c r="Q1317" t="str">
        <f t="shared" si="106"/>
        <v>Q1</v>
      </c>
      <c r="R1317" t="str">
        <f>IFERROR(VLOOKUP(TRIM(CLEAN(G1317)),Sheet14!$A$2:$B$19,2,FALSE),"Not Mapped")</f>
        <v>North</v>
      </c>
    </row>
    <row r="1318" spans="1:18">
      <c r="A1318" t="str">
        <f t="shared" si="104"/>
        <v>EOS1317</v>
      </c>
      <c r="B1318" s="38">
        <v>46051</v>
      </c>
      <c r="C1318" s="4" t="s">
        <v>267</v>
      </c>
      <c r="D1318" s="1" t="str">
        <f t="shared" si="103"/>
        <v>FB</v>
      </c>
      <c r="E1318" s="7" t="s">
        <v>1897</v>
      </c>
      <c r="F1318" s="4" t="s">
        <v>1898</v>
      </c>
      <c r="G1318" s="4" t="s">
        <v>1781</v>
      </c>
      <c r="H1318" s="1" t="s">
        <v>69</v>
      </c>
      <c r="I1318" s="1">
        <v>177000</v>
      </c>
      <c r="J1318" s="45">
        <v>1071316</v>
      </c>
      <c r="K1318" s="1" t="str">
        <f>TRIM(Cleaned_CRM_Data!H1318)</f>
        <v>Follow up</v>
      </c>
      <c r="L1318" t="str">
        <f>IFERROR(VLOOKUP(K1318, Status_Mapping!A:B, 2,), "Not Found")</f>
        <v>Follow Up</v>
      </c>
      <c r="N1318" s="29" t="str">
        <f>IF(M1318="","",M1318-B1318)</f>
        <v/>
      </c>
      <c r="O1318" s="1" t="str">
        <f t="shared" si="105"/>
        <v>Growth</v>
      </c>
      <c r="P1318" t="str">
        <f>TEXT(B1318, "mmmm")</f>
        <v>January</v>
      </c>
      <c r="Q1318" t="str">
        <f t="shared" si="106"/>
        <v>Q1</v>
      </c>
      <c r="R1318" t="str">
        <f>IFERROR(VLOOKUP(TRIM(CLEAN(G1318)),Sheet14!$A$2:$B$19,2,FALSE),"Not Mapped")</f>
        <v>North</v>
      </c>
    </row>
    <row r="1319" spans="1:18">
      <c r="A1319" t="str">
        <f t="shared" si="104"/>
        <v>EOS1318</v>
      </c>
      <c r="B1319" s="38">
        <v>46051</v>
      </c>
      <c r="C1319" s="4" t="s">
        <v>267</v>
      </c>
      <c r="D1319" s="1" t="str">
        <f t="shared" si="103"/>
        <v>FB</v>
      </c>
      <c r="E1319" s="7" t="s">
        <v>1899</v>
      </c>
      <c r="F1319" s="4"/>
      <c r="G1319" s="4" t="s">
        <v>223</v>
      </c>
      <c r="H1319" s="1" t="s">
        <v>69</v>
      </c>
      <c r="I1319" s="1">
        <v>108000</v>
      </c>
      <c r="J1319" s="45">
        <v>1071317</v>
      </c>
      <c r="K1319" s="1" t="str">
        <f>TRIM(Cleaned_CRM_Data!H1319)</f>
        <v>Follow up</v>
      </c>
      <c r="L1319" t="str">
        <f>IFERROR(VLOOKUP(K1319, Status_Mapping!A:B, 2,), "Not Found")</f>
        <v>Follow Up</v>
      </c>
      <c r="N1319" s="29" t="str">
        <f>IF(M1319="","",M1319-B1319)</f>
        <v/>
      </c>
      <c r="O1319" s="1" t="str">
        <f t="shared" si="105"/>
        <v>Starter</v>
      </c>
      <c r="P1319" t="str">
        <f>TEXT(B1319, "mmmm")</f>
        <v>January</v>
      </c>
      <c r="Q1319" t="str">
        <f t="shared" si="106"/>
        <v>Q1</v>
      </c>
      <c r="R1319" t="str">
        <f>IFERROR(VLOOKUP(TRIM(CLEAN(G1319)),Sheet14!$A$2:$B$19,2,FALSE),"Not Mapped")</f>
        <v>West</v>
      </c>
    </row>
    <row r="1320" spans="1:18">
      <c r="A1320" t="str">
        <f t="shared" si="104"/>
        <v>EOS1319</v>
      </c>
      <c r="B1320" s="38">
        <v>46051</v>
      </c>
      <c r="C1320" s="4" t="s">
        <v>267</v>
      </c>
      <c r="D1320" s="1" t="str">
        <f t="shared" si="103"/>
        <v>FB</v>
      </c>
      <c r="E1320" s="7" t="s">
        <v>1900</v>
      </c>
      <c r="F1320" s="1" t="s">
        <v>778</v>
      </c>
      <c r="G1320" s="4" t="s">
        <v>223</v>
      </c>
      <c r="H1320" s="1" t="s">
        <v>69</v>
      </c>
      <c r="I1320" s="1">
        <v>108000</v>
      </c>
      <c r="J1320" s="45">
        <v>1071318</v>
      </c>
      <c r="K1320" s="1" t="str">
        <f>TRIM(Cleaned_CRM_Data!H1320)</f>
        <v>Follow up</v>
      </c>
      <c r="L1320" t="str">
        <f>IFERROR(VLOOKUP(K1320, Status_Mapping!A:B, 2,), "Not Found")</f>
        <v>Follow Up</v>
      </c>
      <c r="N1320" s="29" t="str">
        <f>IF(M1320="","",M1320-B1320)</f>
        <v/>
      </c>
      <c r="O1320" s="1" t="str">
        <f t="shared" si="105"/>
        <v>Starter</v>
      </c>
      <c r="P1320" t="str">
        <f>TEXT(B1320, "mmmm")</f>
        <v>January</v>
      </c>
      <c r="Q1320" t="str">
        <f t="shared" si="106"/>
        <v>Q1</v>
      </c>
      <c r="R1320" t="str">
        <f>IFERROR(VLOOKUP(TRIM(CLEAN(G1320)),Sheet14!$A$2:$B$19,2,FALSE),"Not Mapped")</f>
        <v>West</v>
      </c>
    </row>
    <row r="1321" spans="1:18">
      <c r="A1321" t="str">
        <f t="shared" si="104"/>
        <v>EOS1320</v>
      </c>
      <c r="B1321" s="38">
        <v>46052</v>
      </c>
      <c r="C1321" s="4" t="s">
        <v>267</v>
      </c>
      <c r="D1321" s="1" t="str">
        <f t="shared" si="103"/>
        <v>FB</v>
      </c>
      <c r="E1321" s="7" t="s">
        <v>1901</v>
      </c>
      <c r="F1321" s="7" t="s">
        <v>643</v>
      </c>
      <c r="G1321" s="4" t="s">
        <v>223</v>
      </c>
      <c r="H1321" s="1" t="s">
        <v>69</v>
      </c>
      <c r="I1321" s="1">
        <v>108000</v>
      </c>
      <c r="J1321" s="45">
        <v>1071319</v>
      </c>
      <c r="K1321" s="1" t="str">
        <f>TRIM(Cleaned_CRM_Data!H1321)</f>
        <v>Follow up</v>
      </c>
      <c r="L1321" t="str">
        <f>IFERROR(VLOOKUP(K1321, Status_Mapping!A:B, 2,), "Not Found")</f>
        <v>Follow Up</v>
      </c>
      <c r="N1321" s="29" t="str">
        <f>IF(M1321="","",M1321-B1321)</f>
        <v/>
      </c>
      <c r="O1321" s="1" t="str">
        <f t="shared" si="105"/>
        <v>Starter</v>
      </c>
      <c r="P1321" t="str">
        <f>TEXT(B1321, "mmmm")</f>
        <v>January</v>
      </c>
      <c r="Q1321" t="str">
        <f t="shared" si="106"/>
        <v>Q1</v>
      </c>
      <c r="R1321" t="str">
        <f>IFERROR(VLOOKUP(TRIM(CLEAN(G1321)),Sheet14!$A$2:$B$19,2,FALSE),"Not Mapped")</f>
        <v>West</v>
      </c>
    </row>
    <row r="1322" spans="1:18">
      <c r="A1322" t="str">
        <f t="shared" si="104"/>
        <v>EOS1321</v>
      </c>
      <c r="B1322" s="38">
        <v>46052</v>
      </c>
      <c r="C1322" s="4" t="s">
        <v>267</v>
      </c>
      <c r="D1322" s="1" t="str">
        <f t="shared" si="103"/>
        <v>FB</v>
      </c>
      <c r="E1322" s="7" t="s">
        <v>1902</v>
      </c>
      <c r="F1322" s="4" t="s">
        <v>324</v>
      </c>
      <c r="G1322" s="4" t="s">
        <v>223</v>
      </c>
      <c r="H1322" s="1" t="s">
        <v>69</v>
      </c>
      <c r="I1322" s="1">
        <v>130000</v>
      </c>
      <c r="J1322" s="45">
        <v>1071320</v>
      </c>
      <c r="K1322" s="1" t="str">
        <f>TRIM(Cleaned_CRM_Data!H1322)</f>
        <v>Follow up</v>
      </c>
      <c r="L1322" t="str">
        <f>IFERROR(VLOOKUP(K1322, Status_Mapping!A:B, 2,), "Not Found")</f>
        <v>Follow Up</v>
      </c>
      <c r="N1322" s="29" t="str">
        <f>IF(M1322="","",M1322-B1322)</f>
        <v/>
      </c>
      <c r="O1322" s="1" t="str">
        <f t="shared" si="105"/>
        <v>Starter</v>
      </c>
      <c r="P1322" t="str">
        <f>TEXT(B1322, "mmmm")</f>
        <v>January</v>
      </c>
      <c r="Q1322" t="str">
        <f t="shared" si="106"/>
        <v>Q1</v>
      </c>
      <c r="R1322" t="str">
        <f>IFERROR(VLOOKUP(TRIM(CLEAN(G1322)),Sheet14!$A$2:$B$19,2,FALSE),"Not Mapped")</f>
        <v>West</v>
      </c>
    </row>
    <row r="1323" spans="1:18">
      <c r="A1323" t="str">
        <f t="shared" si="104"/>
        <v>EOS1322</v>
      </c>
      <c r="B1323" s="38">
        <v>46053</v>
      </c>
      <c r="C1323" s="4" t="s">
        <v>267</v>
      </c>
      <c r="D1323" s="1" t="str">
        <f t="shared" ref="D1323:D1357" si="107">TRIM(CLEAN(SUBSTITUTE(C1323,CHAR(160),"")))</f>
        <v>FB</v>
      </c>
      <c r="E1323" s="7" t="s">
        <v>1903</v>
      </c>
      <c r="F1323" s="7" t="s">
        <v>527</v>
      </c>
      <c r="G1323" s="4" t="s">
        <v>1781</v>
      </c>
      <c r="H1323" s="1" t="s">
        <v>149</v>
      </c>
      <c r="I1323" s="1">
        <v>130000</v>
      </c>
      <c r="J1323" s="45">
        <v>1071321</v>
      </c>
      <c r="K1323" s="1" t="str">
        <f>TRIM(Cleaned_CRM_Data!H1323)</f>
        <v>Rejected</v>
      </c>
      <c r="L1323" t="str">
        <f>IFERROR(VLOOKUP(K1323, Status_Mapping!A:B, 2,), "Not Found")</f>
        <v>Rejected</v>
      </c>
      <c r="N1323" s="29" t="str">
        <f>IF(M1323="","",M1323-B1323)</f>
        <v/>
      </c>
      <c r="O1323" s="1" t="str">
        <f t="shared" si="105"/>
        <v>Starter</v>
      </c>
      <c r="P1323" t="str">
        <f>TEXT(B1323, "mmmm")</f>
        <v>January</v>
      </c>
      <c r="Q1323" t="str">
        <f t="shared" si="106"/>
        <v>Q1</v>
      </c>
      <c r="R1323" t="str">
        <f>IFERROR(VLOOKUP(TRIM(CLEAN(G1323)),Sheet14!$A$2:$B$19,2,FALSE),"Not Mapped")</f>
        <v>North</v>
      </c>
    </row>
    <row r="1324" spans="1:18">
      <c r="A1324" t="str">
        <f t="shared" si="104"/>
        <v>EOS1323</v>
      </c>
      <c r="B1324" s="38">
        <v>46056</v>
      </c>
      <c r="C1324" s="4" t="s">
        <v>267</v>
      </c>
      <c r="D1324" s="1" t="str">
        <f t="shared" si="107"/>
        <v>FB</v>
      </c>
      <c r="E1324" s="7" t="s">
        <v>1904</v>
      </c>
      <c r="F1324" s="7" t="s">
        <v>1905</v>
      </c>
      <c r="G1324" s="4" t="s">
        <v>1781</v>
      </c>
      <c r="H1324" s="1" t="s">
        <v>69</v>
      </c>
      <c r="I1324" s="1">
        <v>177000</v>
      </c>
      <c r="J1324" s="45">
        <v>1071322</v>
      </c>
      <c r="K1324" s="1" t="str">
        <f>TRIM(Cleaned_CRM_Data!H1324)</f>
        <v>Follow up</v>
      </c>
      <c r="L1324" t="str">
        <f>IFERROR(VLOOKUP(K1324, Status_Mapping!A:B, 2,), "Not Found")</f>
        <v>Follow Up</v>
      </c>
      <c r="N1324" s="29" t="str">
        <f>IF(M1324="","",M1324-B1324)</f>
        <v/>
      </c>
      <c r="O1324" s="1" t="str">
        <f t="shared" si="105"/>
        <v>Growth</v>
      </c>
      <c r="P1324" t="str">
        <f>TEXT(B1324, "mmmm")</f>
        <v>February</v>
      </c>
      <c r="Q1324" t="str">
        <f t="shared" si="106"/>
        <v>Q1</v>
      </c>
      <c r="R1324" t="str">
        <f>IFERROR(VLOOKUP(TRIM(CLEAN(G1324)),Sheet14!$A$2:$B$19,2,FALSE),"Not Mapped")</f>
        <v>North</v>
      </c>
    </row>
    <row r="1325" spans="1:18">
      <c r="A1325" t="str">
        <f t="shared" si="104"/>
        <v>EOS1324</v>
      </c>
      <c r="B1325" s="38">
        <v>46056</v>
      </c>
      <c r="C1325" s="4" t="s">
        <v>267</v>
      </c>
      <c r="D1325" s="1" t="str">
        <f t="shared" si="107"/>
        <v>FB</v>
      </c>
      <c r="E1325" s="7" t="s">
        <v>1906</v>
      </c>
      <c r="F1325" s="1" t="s">
        <v>275</v>
      </c>
      <c r="G1325" s="4" t="s">
        <v>223</v>
      </c>
      <c r="H1325" s="1" t="s">
        <v>69</v>
      </c>
      <c r="I1325" s="1">
        <v>177000</v>
      </c>
      <c r="J1325" s="45">
        <v>1071323</v>
      </c>
      <c r="K1325" s="1" t="str">
        <f>TRIM(Cleaned_CRM_Data!H1325)</f>
        <v>Follow up</v>
      </c>
      <c r="L1325" t="str">
        <f>IFERROR(VLOOKUP(K1325, Status_Mapping!A:B, 2,), "Not Found")</f>
        <v>Follow Up</v>
      </c>
      <c r="N1325" s="29" t="str">
        <f>IF(M1325="","",M1325-B1325)</f>
        <v/>
      </c>
      <c r="O1325" s="1" t="str">
        <f t="shared" si="105"/>
        <v>Growth</v>
      </c>
      <c r="P1325" t="str">
        <f>TEXT(B1325, "mmmm")</f>
        <v>February</v>
      </c>
      <c r="Q1325" t="str">
        <f t="shared" si="106"/>
        <v>Q1</v>
      </c>
      <c r="R1325" t="str">
        <f>IFERROR(VLOOKUP(TRIM(CLEAN(G1325)),Sheet14!$A$2:$B$19,2,FALSE),"Not Mapped")</f>
        <v>West</v>
      </c>
    </row>
    <row r="1326" spans="1:18">
      <c r="A1326" t="str">
        <f t="shared" si="104"/>
        <v>EOS1325</v>
      </c>
      <c r="B1326" s="38">
        <v>46056</v>
      </c>
      <c r="C1326" s="4" t="s">
        <v>267</v>
      </c>
      <c r="D1326" s="1" t="str">
        <f t="shared" si="107"/>
        <v>FB</v>
      </c>
      <c r="E1326" s="7" t="s">
        <v>1907</v>
      </c>
      <c r="F1326" s="1" t="s">
        <v>300</v>
      </c>
      <c r="G1326" s="4" t="s">
        <v>223</v>
      </c>
      <c r="H1326" s="1" t="s">
        <v>69</v>
      </c>
      <c r="I1326" s="1">
        <v>130000</v>
      </c>
      <c r="J1326" s="45">
        <v>1071324</v>
      </c>
      <c r="K1326" s="1" t="str">
        <f>TRIM(Cleaned_CRM_Data!H1326)</f>
        <v>Follow up</v>
      </c>
      <c r="L1326" t="str">
        <f>IFERROR(VLOOKUP(K1326, Status_Mapping!A:B, 2,), "Not Found")</f>
        <v>Follow Up</v>
      </c>
      <c r="N1326" s="29" t="str">
        <f>IF(M1326="","",M1326-B1326)</f>
        <v/>
      </c>
      <c r="O1326" s="1" t="str">
        <f t="shared" si="105"/>
        <v>Starter</v>
      </c>
      <c r="P1326" t="str">
        <f>TEXT(B1326, "mmmm")</f>
        <v>February</v>
      </c>
      <c r="Q1326" t="str">
        <f t="shared" si="106"/>
        <v>Q1</v>
      </c>
      <c r="R1326" t="str">
        <f>IFERROR(VLOOKUP(TRIM(CLEAN(G1326)),Sheet14!$A$2:$B$19,2,FALSE),"Not Mapped")</f>
        <v>West</v>
      </c>
    </row>
    <row r="1327" spans="1:18">
      <c r="A1327" t="str">
        <f t="shared" si="104"/>
        <v>EOS1326</v>
      </c>
      <c r="B1327" s="38">
        <v>46056</v>
      </c>
      <c r="C1327" s="4" t="s">
        <v>267</v>
      </c>
      <c r="D1327" s="1" t="str">
        <f t="shared" si="107"/>
        <v>FB</v>
      </c>
      <c r="E1327" s="7" t="s">
        <v>1908</v>
      </c>
      <c r="F1327" s="1" t="s">
        <v>496</v>
      </c>
      <c r="G1327" s="4" t="s">
        <v>223</v>
      </c>
      <c r="H1327" s="1" t="s">
        <v>69</v>
      </c>
      <c r="I1327" s="1">
        <v>108000</v>
      </c>
      <c r="J1327" s="45">
        <v>1071325</v>
      </c>
      <c r="K1327" s="1" t="str">
        <f>TRIM(Cleaned_CRM_Data!H1327)</f>
        <v>Follow up</v>
      </c>
      <c r="L1327" t="str">
        <f>IFERROR(VLOOKUP(K1327, Status_Mapping!A:B, 2,), "Not Found")</f>
        <v>Follow Up</v>
      </c>
      <c r="N1327" s="29" t="str">
        <f>IF(M1327="","",M1327-B1327)</f>
        <v/>
      </c>
      <c r="O1327" s="1" t="str">
        <f t="shared" si="105"/>
        <v>Starter</v>
      </c>
      <c r="P1327" t="str">
        <f>TEXT(B1327, "mmmm")</f>
        <v>February</v>
      </c>
      <c r="Q1327" t="str">
        <f t="shared" si="106"/>
        <v>Q1</v>
      </c>
      <c r="R1327" t="str">
        <f>IFERROR(VLOOKUP(TRIM(CLEAN(G1327)),Sheet14!$A$2:$B$19,2,FALSE),"Not Mapped")</f>
        <v>West</v>
      </c>
    </row>
    <row r="1328" spans="1:18">
      <c r="A1328" t="str">
        <f t="shared" si="104"/>
        <v>EOS1327</v>
      </c>
      <c r="B1328" s="38">
        <v>46056</v>
      </c>
      <c r="C1328" s="4" t="s">
        <v>267</v>
      </c>
      <c r="D1328" s="1" t="str">
        <f t="shared" si="107"/>
        <v>FB</v>
      </c>
      <c r="E1328" s="7" t="s">
        <v>1909</v>
      </c>
      <c r="F1328" s="7" t="s">
        <v>304</v>
      </c>
      <c r="G1328" s="4" t="s">
        <v>223</v>
      </c>
      <c r="H1328" s="1" t="s">
        <v>69</v>
      </c>
      <c r="I1328" s="1">
        <v>130000</v>
      </c>
      <c r="J1328" s="45">
        <v>1071326</v>
      </c>
      <c r="K1328" s="1" t="str">
        <f>TRIM(Cleaned_CRM_Data!H1328)</f>
        <v>Follow up</v>
      </c>
      <c r="L1328" t="str">
        <f>IFERROR(VLOOKUP(K1328, Status_Mapping!A:B, 2,), "Not Found")</f>
        <v>Follow Up</v>
      </c>
      <c r="N1328" s="29" t="str">
        <f>IF(M1328="","",M1328-B1328)</f>
        <v/>
      </c>
      <c r="O1328" s="1" t="str">
        <f t="shared" si="105"/>
        <v>Starter</v>
      </c>
      <c r="P1328" t="str">
        <f>TEXT(B1328, "mmmm")</f>
        <v>February</v>
      </c>
      <c r="Q1328" t="str">
        <f t="shared" si="106"/>
        <v>Q1</v>
      </c>
      <c r="R1328" t="str">
        <f>IFERROR(VLOOKUP(TRIM(CLEAN(G1328)),Sheet14!$A$2:$B$19,2,FALSE),"Not Mapped")</f>
        <v>West</v>
      </c>
    </row>
    <row r="1329" spans="1:18">
      <c r="A1329" t="str">
        <f t="shared" si="104"/>
        <v>EOS1328</v>
      </c>
      <c r="B1329" s="38">
        <v>46056</v>
      </c>
      <c r="C1329" s="4" t="s">
        <v>267</v>
      </c>
      <c r="D1329" s="1" t="str">
        <f t="shared" si="107"/>
        <v>FB</v>
      </c>
      <c r="E1329" s="7" t="s">
        <v>1910</v>
      </c>
      <c r="F1329" s="7" t="s">
        <v>1508</v>
      </c>
      <c r="G1329" s="4" t="s">
        <v>1781</v>
      </c>
      <c r="H1329" s="1" t="s">
        <v>69</v>
      </c>
      <c r="I1329" s="1">
        <v>130000</v>
      </c>
      <c r="J1329" s="45">
        <v>1071327</v>
      </c>
      <c r="K1329" s="1" t="str">
        <f>TRIM(Cleaned_CRM_Data!H1329)</f>
        <v>Follow up</v>
      </c>
      <c r="L1329" t="str">
        <f>IFERROR(VLOOKUP(K1329, Status_Mapping!A:B, 2,), "Not Found")</f>
        <v>Follow Up</v>
      </c>
      <c r="N1329" s="29" t="str">
        <f>IF(M1329="","",M1329-B1329)</f>
        <v/>
      </c>
      <c r="O1329" s="1" t="str">
        <f t="shared" si="105"/>
        <v>Starter</v>
      </c>
      <c r="P1329" t="str">
        <f>TEXT(B1329, "mmmm")</f>
        <v>February</v>
      </c>
      <c r="Q1329" t="str">
        <f t="shared" si="106"/>
        <v>Q1</v>
      </c>
      <c r="R1329" t="str">
        <f>IFERROR(VLOOKUP(TRIM(CLEAN(G1329)),Sheet14!$A$2:$B$19,2,FALSE),"Not Mapped")</f>
        <v>North</v>
      </c>
    </row>
    <row r="1330" spans="1:18">
      <c r="A1330" t="str">
        <f t="shared" si="104"/>
        <v>EOS1329</v>
      </c>
      <c r="B1330" s="38">
        <v>46056</v>
      </c>
      <c r="C1330" s="4" t="s">
        <v>267</v>
      </c>
      <c r="D1330" s="1" t="str">
        <f t="shared" si="107"/>
        <v>FB</v>
      </c>
      <c r="E1330" s="7" t="s">
        <v>1911</v>
      </c>
      <c r="F1330" s="7" t="s">
        <v>1912</v>
      </c>
      <c r="G1330" s="4" t="s">
        <v>223</v>
      </c>
      <c r="H1330" s="1" t="s">
        <v>69</v>
      </c>
      <c r="I1330" s="1">
        <v>108000</v>
      </c>
      <c r="J1330" s="45">
        <v>1071328</v>
      </c>
      <c r="K1330" s="1" t="str">
        <f>TRIM(Cleaned_CRM_Data!H1330)</f>
        <v>Follow up</v>
      </c>
      <c r="L1330" t="str">
        <f>IFERROR(VLOOKUP(K1330, Status_Mapping!A:B, 2,), "Not Found")</f>
        <v>Follow Up</v>
      </c>
      <c r="N1330" s="29" t="str">
        <f>IF(M1330="","",M1330-B1330)</f>
        <v/>
      </c>
      <c r="O1330" s="1" t="str">
        <f t="shared" si="105"/>
        <v>Starter</v>
      </c>
      <c r="P1330" t="str">
        <f>TEXT(B1330, "mmmm")</f>
        <v>February</v>
      </c>
      <c r="Q1330" t="str">
        <f t="shared" si="106"/>
        <v>Q1</v>
      </c>
      <c r="R1330" t="str">
        <f>IFERROR(VLOOKUP(TRIM(CLEAN(G1330)),Sheet14!$A$2:$B$19,2,FALSE),"Not Mapped")</f>
        <v>West</v>
      </c>
    </row>
    <row r="1331" spans="1:18">
      <c r="A1331" t="str">
        <f t="shared" si="104"/>
        <v>EOS1330</v>
      </c>
      <c r="B1331" s="38">
        <v>46056</v>
      </c>
      <c r="C1331" s="4" t="s">
        <v>267</v>
      </c>
      <c r="D1331" s="1" t="str">
        <f t="shared" si="107"/>
        <v>FB</v>
      </c>
      <c r="E1331" s="7" t="s">
        <v>1913</v>
      </c>
      <c r="F1331" s="4" t="s">
        <v>304</v>
      </c>
      <c r="G1331" s="4" t="s">
        <v>223</v>
      </c>
      <c r="H1331" s="1" t="s">
        <v>69</v>
      </c>
      <c r="I1331" s="1">
        <v>130000</v>
      </c>
      <c r="J1331" s="45">
        <v>1071329</v>
      </c>
      <c r="K1331" s="1" t="str">
        <f>TRIM(Cleaned_CRM_Data!H1331)</f>
        <v>Follow up</v>
      </c>
      <c r="L1331" t="str">
        <f>IFERROR(VLOOKUP(K1331, Status_Mapping!A:B, 2,), "Not Found")</f>
        <v>Follow Up</v>
      </c>
      <c r="N1331" s="29" t="str">
        <f>IF(M1331="","",M1331-B1331)</f>
        <v/>
      </c>
      <c r="O1331" s="1" t="str">
        <f t="shared" si="105"/>
        <v>Starter</v>
      </c>
      <c r="P1331" t="str">
        <f>TEXT(B1331, "mmmm")</f>
        <v>February</v>
      </c>
      <c r="Q1331" t="str">
        <f t="shared" si="106"/>
        <v>Q1</v>
      </c>
      <c r="R1331" t="str">
        <f>IFERROR(VLOOKUP(TRIM(CLEAN(G1331)),Sheet14!$A$2:$B$19,2,FALSE),"Not Mapped")</f>
        <v>West</v>
      </c>
    </row>
    <row r="1332" spans="1:18">
      <c r="A1332" t="str">
        <f t="shared" si="104"/>
        <v>EOS1331</v>
      </c>
      <c r="B1332" s="38">
        <v>46056</v>
      </c>
      <c r="C1332" s="4" t="s">
        <v>267</v>
      </c>
      <c r="D1332" s="1" t="str">
        <f t="shared" si="107"/>
        <v>FB</v>
      </c>
      <c r="E1332" s="7" t="s">
        <v>1914</v>
      </c>
      <c r="F1332" s="1" t="s">
        <v>275</v>
      </c>
      <c r="G1332" s="4" t="s">
        <v>223</v>
      </c>
      <c r="H1332" s="1" t="s">
        <v>69</v>
      </c>
      <c r="I1332" s="1">
        <v>108000</v>
      </c>
      <c r="J1332" s="45">
        <v>1071330</v>
      </c>
      <c r="K1332" s="1" t="str">
        <f>TRIM(Cleaned_CRM_Data!H1332)</f>
        <v>Follow up</v>
      </c>
      <c r="L1332" t="str">
        <f>IFERROR(VLOOKUP(K1332, Status_Mapping!A:B, 2,), "Not Found")</f>
        <v>Follow Up</v>
      </c>
      <c r="N1332" s="29" t="str">
        <f>IF(M1332="","",M1332-B1332)</f>
        <v/>
      </c>
      <c r="O1332" s="1" t="str">
        <f t="shared" si="105"/>
        <v>Starter</v>
      </c>
      <c r="P1332" t="str">
        <f>TEXT(B1332, "mmmm")</f>
        <v>February</v>
      </c>
      <c r="Q1332" t="str">
        <f t="shared" si="106"/>
        <v>Q1</v>
      </c>
      <c r="R1332" t="str">
        <f>IFERROR(VLOOKUP(TRIM(CLEAN(G1332)),Sheet14!$A$2:$B$19,2,FALSE),"Not Mapped")</f>
        <v>West</v>
      </c>
    </row>
    <row r="1333" spans="1:18">
      <c r="A1333" t="str">
        <f t="shared" si="104"/>
        <v>EOS1332</v>
      </c>
      <c r="B1333" s="38">
        <v>46056</v>
      </c>
      <c r="C1333" s="4" t="s">
        <v>267</v>
      </c>
      <c r="D1333" s="1" t="str">
        <f t="shared" si="107"/>
        <v>FB</v>
      </c>
      <c r="E1333" s="7" t="s">
        <v>1915</v>
      </c>
      <c r="F1333" s="7" t="s">
        <v>358</v>
      </c>
      <c r="G1333" s="4" t="s">
        <v>223</v>
      </c>
      <c r="H1333" s="1" t="s">
        <v>69</v>
      </c>
      <c r="I1333" s="1">
        <v>308000</v>
      </c>
      <c r="J1333" s="45">
        <v>1071331</v>
      </c>
      <c r="K1333" s="1" t="str">
        <f>TRIM(Cleaned_CRM_Data!H1333)</f>
        <v>Follow up</v>
      </c>
      <c r="L1333" t="str">
        <f>IFERROR(VLOOKUP(K1333, Status_Mapping!A:B, 2,), "Not Found")</f>
        <v>Follow Up</v>
      </c>
      <c r="N1333" s="29" t="str">
        <f>IF(M1333="","",M1333-B1333)</f>
        <v/>
      </c>
      <c r="O1333" s="1" t="str">
        <f t="shared" si="105"/>
        <v>Premium</v>
      </c>
      <c r="P1333" t="str">
        <f>TEXT(B1333, "mmmm")</f>
        <v>February</v>
      </c>
      <c r="Q1333" t="str">
        <f t="shared" si="106"/>
        <v>Q1</v>
      </c>
      <c r="R1333" t="str">
        <f>IFERROR(VLOOKUP(TRIM(CLEAN(G1333)),Sheet14!$A$2:$B$19,2,FALSE),"Not Mapped")</f>
        <v>West</v>
      </c>
    </row>
    <row r="1334" spans="1:18">
      <c r="A1334" t="str">
        <f t="shared" si="104"/>
        <v>EOS1333</v>
      </c>
      <c r="B1334" s="38">
        <v>46056</v>
      </c>
      <c r="C1334" s="4" t="s">
        <v>267</v>
      </c>
      <c r="D1334" s="1" t="str">
        <f t="shared" si="107"/>
        <v>FB</v>
      </c>
      <c r="E1334" s="7" t="s">
        <v>1916</v>
      </c>
      <c r="F1334" s="1" t="s">
        <v>1672</v>
      </c>
      <c r="G1334" s="4" t="s">
        <v>223</v>
      </c>
      <c r="H1334" s="1" t="s">
        <v>69</v>
      </c>
      <c r="I1334" s="1">
        <v>108000</v>
      </c>
      <c r="J1334" s="45">
        <v>1071332</v>
      </c>
      <c r="K1334" s="1" t="str">
        <f>TRIM(Cleaned_CRM_Data!H1334)</f>
        <v>Follow up</v>
      </c>
      <c r="L1334" t="str">
        <f>IFERROR(VLOOKUP(K1334, Status_Mapping!A:B, 2,), "Not Found")</f>
        <v>Follow Up</v>
      </c>
      <c r="N1334" s="29" t="str">
        <f>IF(M1334="","",M1334-B1334)</f>
        <v/>
      </c>
      <c r="O1334" s="1" t="str">
        <f t="shared" si="105"/>
        <v>Starter</v>
      </c>
      <c r="P1334" t="str">
        <f>TEXT(B1334, "mmmm")</f>
        <v>February</v>
      </c>
      <c r="Q1334" t="str">
        <f t="shared" si="106"/>
        <v>Q1</v>
      </c>
      <c r="R1334" t="str">
        <f>IFERROR(VLOOKUP(TRIM(CLEAN(G1334)),Sheet14!$A$2:$B$19,2,FALSE),"Not Mapped")</f>
        <v>West</v>
      </c>
    </row>
    <row r="1335" spans="1:18">
      <c r="A1335" t="str">
        <f t="shared" si="104"/>
        <v>EOS1334</v>
      </c>
      <c r="B1335" s="38">
        <v>46056</v>
      </c>
      <c r="C1335" s="4" t="s">
        <v>267</v>
      </c>
      <c r="D1335" s="1" t="str">
        <f t="shared" si="107"/>
        <v>FB</v>
      </c>
      <c r="E1335" s="7" t="s">
        <v>1917</v>
      </c>
      <c r="F1335" s="4" t="s">
        <v>1691</v>
      </c>
      <c r="G1335" s="4" t="s">
        <v>223</v>
      </c>
      <c r="H1335" s="1" t="s">
        <v>69</v>
      </c>
      <c r="I1335" s="1">
        <v>108000</v>
      </c>
      <c r="J1335" s="45">
        <v>1071333</v>
      </c>
      <c r="K1335" s="1" t="str">
        <f>TRIM(Cleaned_CRM_Data!H1335)</f>
        <v>Follow up</v>
      </c>
      <c r="L1335" t="str">
        <f>IFERROR(VLOOKUP(K1335, Status_Mapping!A:B, 2,), "Not Found")</f>
        <v>Follow Up</v>
      </c>
      <c r="N1335" s="29" t="str">
        <f>IF(M1335="","",M1335-B1335)</f>
        <v/>
      </c>
      <c r="O1335" s="1" t="str">
        <f t="shared" si="105"/>
        <v>Starter</v>
      </c>
      <c r="P1335" t="str">
        <f>TEXT(B1335, "mmmm")</f>
        <v>February</v>
      </c>
      <c r="Q1335" t="str">
        <f t="shared" si="106"/>
        <v>Q1</v>
      </c>
      <c r="R1335" t="str">
        <f>IFERROR(VLOOKUP(TRIM(CLEAN(G1335)),Sheet14!$A$2:$B$19,2,FALSE),"Not Mapped")</f>
        <v>West</v>
      </c>
    </row>
    <row r="1336" spans="1:18">
      <c r="A1336" t="str">
        <f t="shared" si="104"/>
        <v>EOS1335</v>
      </c>
      <c r="B1336" s="38">
        <v>46056</v>
      </c>
      <c r="C1336" s="4" t="s">
        <v>267</v>
      </c>
      <c r="D1336" s="1" t="str">
        <f t="shared" si="107"/>
        <v>FB</v>
      </c>
      <c r="E1336" s="7" t="s">
        <v>1918</v>
      </c>
      <c r="F1336" s="7" t="s">
        <v>304</v>
      </c>
      <c r="G1336" s="4" t="s">
        <v>223</v>
      </c>
      <c r="H1336" s="1" t="s">
        <v>69</v>
      </c>
      <c r="I1336" s="1">
        <v>130000</v>
      </c>
      <c r="J1336" s="45">
        <v>1071334</v>
      </c>
      <c r="K1336" s="1" t="str">
        <f>TRIM(Cleaned_CRM_Data!H1336)</f>
        <v>Follow up</v>
      </c>
      <c r="L1336" t="str">
        <f>IFERROR(VLOOKUP(K1336, Status_Mapping!A:B, 2,), "Not Found")</f>
        <v>Follow Up</v>
      </c>
      <c r="N1336" s="29" t="str">
        <f>IF(M1336="","",M1336-B1336)</f>
        <v/>
      </c>
      <c r="O1336" s="1" t="str">
        <f t="shared" si="105"/>
        <v>Starter</v>
      </c>
      <c r="P1336" t="str">
        <f>TEXT(B1336, "mmmm")</f>
        <v>February</v>
      </c>
      <c r="Q1336" t="str">
        <f t="shared" si="106"/>
        <v>Q1</v>
      </c>
      <c r="R1336" t="str">
        <f>IFERROR(VLOOKUP(TRIM(CLEAN(G1336)),Sheet14!$A$2:$B$19,2,FALSE),"Not Mapped")</f>
        <v>West</v>
      </c>
    </row>
    <row r="1337" spans="1:18">
      <c r="A1337" t="str">
        <f t="shared" si="104"/>
        <v>EOS1336</v>
      </c>
      <c r="B1337" s="38">
        <v>46057</v>
      </c>
      <c r="C1337" s="4" t="s">
        <v>267</v>
      </c>
      <c r="D1337" s="1" t="str">
        <f t="shared" si="107"/>
        <v>FB</v>
      </c>
      <c r="E1337" s="7" t="s">
        <v>1919</v>
      </c>
      <c r="F1337" s="1" t="s">
        <v>296</v>
      </c>
      <c r="G1337" s="4" t="s">
        <v>223</v>
      </c>
      <c r="H1337" s="1" t="s">
        <v>69</v>
      </c>
      <c r="I1337" s="1">
        <v>130000</v>
      </c>
      <c r="J1337" s="45">
        <v>1071335</v>
      </c>
      <c r="K1337" s="1" t="str">
        <f>TRIM(Cleaned_CRM_Data!H1337)</f>
        <v>Follow up</v>
      </c>
      <c r="L1337" t="str">
        <f>IFERROR(VLOOKUP(K1337, Status_Mapping!A:B, 2,), "Not Found")</f>
        <v>Follow Up</v>
      </c>
      <c r="N1337" s="29" t="str">
        <f>IF(M1337="","",M1337-B1337)</f>
        <v/>
      </c>
      <c r="O1337" s="1" t="str">
        <f t="shared" si="105"/>
        <v>Starter</v>
      </c>
      <c r="P1337" t="str">
        <f>TEXT(B1337, "mmmm")</f>
        <v>February</v>
      </c>
      <c r="Q1337" t="str">
        <f t="shared" si="106"/>
        <v>Q1</v>
      </c>
      <c r="R1337" t="str">
        <f>IFERROR(VLOOKUP(TRIM(CLEAN(G1337)),Sheet14!$A$2:$B$19,2,FALSE),"Not Mapped")</f>
        <v>West</v>
      </c>
    </row>
    <row r="1338" spans="1:18">
      <c r="A1338" t="str">
        <f t="shared" si="104"/>
        <v>EOS1337</v>
      </c>
      <c r="B1338" s="38">
        <v>46057</v>
      </c>
      <c r="C1338" s="4" t="s">
        <v>267</v>
      </c>
      <c r="D1338" s="1" t="str">
        <f t="shared" si="107"/>
        <v>FB</v>
      </c>
      <c r="E1338" s="7" t="s">
        <v>1920</v>
      </c>
      <c r="F1338" s="7" t="s">
        <v>304</v>
      </c>
      <c r="G1338" s="4" t="s">
        <v>223</v>
      </c>
      <c r="H1338" s="1" t="s">
        <v>69</v>
      </c>
      <c r="I1338" s="1">
        <v>130000</v>
      </c>
      <c r="J1338" s="45">
        <v>1071336</v>
      </c>
      <c r="K1338" s="1" t="str">
        <f>TRIM(Cleaned_CRM_Data!H1338)</f>
        <v>Follow up</v>
      </c>
      <c r="L1338" t="str">
        <f>IFERROR(VLOOKUP(K1338, Status_Mapping!A:B, 2,), "Not Found")</f>
        <v>Follow Up</v>
      </c>
      <c r="N1338" s="29" t="str">
        <f>IF(M1338="","",M1338-B1338)</f>
        <v/>
      </c>
      <c r="O1338" s="1" t="str">
        <f t="shared" si="105"/>
        <v>Starter</v>
      </c>
      <c r="P1338" t="str">
        <f>TEXT(B1338, "mmmm")</f>
        <v>February</v>
      </c>
      <c r="Q1338" t="str">
        <f t="shared" si="106"/>
        <v>Q1</v>
      </c>
      <c r="R1338" t="str">
        <f>IFERROR(VLOOKUP(TRIM(CLEAN(G1338)),Sheet14!$A$2:$B$19,2,FALSE),"Not Mapped")</f>
        <v>West</v>
      </c>
    </row>
    <row r="1339" spans="1:18">
      <c r="A1339" t="str">
        <f t="shared" si="104"/>
        <v>EOS1338</v>
      </c>
      <c r="B1339" s="38">
        <v>46057</v>
      </c>
      <c r="C1339" s="4" t="s">
        <v>267</v>
      </c>
      <c r="D1339" s="1" t="str">
        <f t="shared" si="107"/>
        <v>FB</v>
      </c>
      <c r="E1339" s="7" t="s">
        <v>1921</v>
      </c>
      <c r="F1339" s="4"/>
      <c r="G1339" s="4" t="s">
        <v>223</v>
      </c>
      <c r="H1339" s="1" t="s">
        <v>149</v>
      </c>
      <c r="I1339" s="1">
        <v>130000</v>
      </c>
      <c r="J1339" s="45">
        <v>1071337</v>
      </c>
      <c r="K1339" s="1" t="str">
        <f>TRIM(Cleaned_CRM_Data!H1339)</f>
        <v>Rejected</v>
      </c>
      <c r="L1339" t="str">
        <f>IFERROR(VLOOKUP(K1339, Status_Mapping!A:B, 2,), "Not Found")</f>
        <v>Rejected</v>
      </c>
      <c r="N1339" s="29" t="str">
        <f>IF(M1339="","",M1339-B1339)</f>
        <v/>
      </c>
      <c r="O1339" s="1" t="str">
        <f t="shared" si="105"/>
        <v>Starter</v>
      </c>
      <c r="P1339" t="str">
        <f>TEXT(B1339, "mmmm")</f>
        <v>February</v>
      </c>
      <c r="Q1339" t="str">
        <f t="shared" si="106"/>
        <v>Q1</v>
      </c>
      <c r="R1339" t="str">
        <f>IFERROR(VLOOKUP(TRIM(CLEAN(G1339)),Sheet14!$A$2:$B$19,2,FALSE),"Not Mapped")</f>
        <v>West</v>
      </c>
    </row>
    <row r="1340" spans="1:18">
      <c r="A1340" t="str">
        <f t="shared" si="104"/>
        <v>EOS1339</v>
      </c>
      <c r="B1340" s="38">
        <v>46057</v>
      </c>
      <c r="C1340" s="4" t="s">
        <v>267</v>
      </c>
      <c r="D1340" s="1" t="str">
        <f t="shared" si="107"/>
        <v>FB</v>
      </c>
      <c r="E1340" s="7" t="s">
        <v>1922</v>
      </c>
      <c r="F1340" s="4" t="s">
        <v>1855</v>
      </c>
      <c r="G1340" s="4" t="s">
        <v>223</v>
      </c>
      <c r="H1340" s="1" t="s">
        <v>149</v>
      </c>
      <c r="I1340" s="1">
        <v>108000</v>
      </c>
      <c r="J1340" s="45">
        <v>1071338</v>
      </c>
      <c r="K1340" s="1" t="str">
        <f>TRIM(Cleaned_CRM_Data!H1340)</f>
        <v>Rejected</v>
      </c>
      <c r="L1340" t="str">
        <f>IFERROR(VLOOKUP(K1340, Status_Mapping!A:B, 2,), "Not Found")</f>
        <v>Rejected</v>
      </c>
      <c r="N1340" s="29" t="str">
        <f>IF(M1340="","",M1340-B1340)</f>
        <v/>
      </c>
      <c r="O1340" s="1" t="str">
        <f t="shared" si="105"/>
        <v>Starter</v>
      </c>
      <c r="P1340" t="str">
        <f>TEXT(B1340, "mmmm")</f>
        <v>February</v>
      </c>
      <c r="Q1340" t="str">
        <f t="shared" si="106"/>
        <v>Q1</v>
      </c>
      <c r="R1340" t="str">
        <f>IFERROR(VLOOKUP(TRIM(CLEAN(G1340)),Sheet14!$A$2:$B$19,2,FALSE),"Not Mapped")</f>
        <v>West</v>
      </c>
    </row>
    <row r="1341" spans="1:18">
      <c r="A1341" t="str">
        <f t="shared" si="104"/>
        <v>EOS1340</v>
      </c>
      <c r="B1341" s="38">
        <v>46057</v>
      </c>
      <c r="C1341" s="4" t="s">
        <v>1765</v>
      </c>
      <c r="D1341" s="1" t="str">
        <f t="shared" si="107"/>
        <v>FB</v>
      </c>
      <c r="E1341" s="7" t="s">
        <v>1923</v>
      </c>
      <c r="F1341" s="1" t="s">
        <v>300</v>
      </c>
      <c r="G1341" s="1" t="s">
        <v>224</v>
      </c>
      <c r="H1341" s="1" t="s">
        <v>69</v>
      </c>
      <c r="I1341" s="1">
        <v>108000</v>
      </c>
      <c r="J1341" s="45">
        <v>1071339</v>
      </c>
      <c r="K1341" s="1" t="str">
        <f>TRIM(Cleaned_CRM_Data!H1341)</f>
        <v>Follow up</v>
      </c>
      <c r="L1341" t="str">
        <f>IFERROR(VLOOKUP(K1341, Status_Mapping!A:B, 2,), "Not Found")</f>
        <v>Follow Up</v>
      </c>
      <c r="N1341" s="29" t="str">
        <f>IF(M1341="","",M1341-B1341)</f>
        <v/>
      </c>
      <c r="O1341" s="1" t="str">
        <f t="shared" si="105"/>
        <v>Starter</v>
      </c>
      <c r="P1341" t="str">
        <f>TEXT(B1341, "mmmm")</f>
        <v>February</v>
      </c>
      <c r="Q1341" t="str">
        <f t="shared" si="106"/>
        <v>Q1</v>
      </c>
      <c r="R1341" t="str">
        <f>IFERROR(VLOOKUP(TRIM(CLEAN(G1341)),Sheet14!$A$2:$B$19,2,FALSE),"Not Mapped")</f>
        <v>West</v>
      </c>
    </row>
    <row r="1342" spans="1:18">
      <c r="A1342" t="str">
        <f t="shared" si="104"/>
        <v>EOS1341</v>
      </c>
      <c r="B1342" s="38">
        <v>46059</v>
      </c>
      <c r="C1342" s="4" t="s">
        <v>267</v>
      </c>
      <c r="D1342" s="1" t="str">
        <f t="shared" si="107"/>
        <v>FB</v>
      </c>
      <c r="E1342" s="7" t="s">
        <v>1924</v>
      </c>
      <c r="F1342" s="1" t="s">
        <v>275</v>
      </c>
      <c r="G1342" s="4" t="s">
        <v>224</v>
      </c>
      <c r="H1342" s="1" t="s">
        <v>149</v>
      </c>
      <c r="I1342" s="1">
        <v>130000</v>
      </c>
      <c r="J1342" s="45">
        <v>1071340</v>
      </c>
      <c r="K1342" s="1" t="str">
        <f>TRIM(Cleaned_CRM_Data!H1342)</f>
        <v>Rejected</v>
      </c>
      <c r="L1342" t="str">
        <f>IFERROR(VLOOKUP(K1342, Status_Mapping!A:B, 2,), "Not Found")</f>
        <v>Rejected</v>
      </c>
      <c r="N1342" s="29" t="str">
        <f>IF(M1342="","",M1342-B1342)</f>
        <v/>
      </c>
      <c r="O1342" s="1" t="str">
        <f t="shared" si="105"/>
        <v>Starter</v>
      </c>
      <c r="P1342" t="str">
        <f>TEXT(B1342, "mmmm")</f>
        <v>February</v>
      </c>
      <c r="Q1342" t="str">
        <f t="shared" si="106"/>
        <v>Q1</v>
      </c>
      <c r="R1342" t="str">
        <f>IFERROR(VLOOKUP(TRIM(CLEAN(G1342)),Sheet14!$A$2:$B$19,2,FALSE),"Not Mapped")</f>
        <v>West</v>
      </c>
    </row>
    <row r="1343" spans="1:18">
      <c r="A1343" t="str">
        <f t="shared" si="104"/>
        <v>EOS1342</v>
      </c>
      <c r="B1343" s="38">
        <v>46059</v>
      </c>
      <c r="C1343" s="4" t="s">
        <v>1765</v>
      </c>
      <c r="D1343" s="1" t="str">
        <f t="shared" si="107"/>
        <v>FB</v>
      </c>
      <c r="E1343" s="7" t="s">
        <v>1925</v>
      </c>
      <c r="F1343" s="1" t="s">
        <v>1926</v>
      </c>
      <c r="G1343" s="1" t="s">
        <v>224</v>
      </c>
      <c r="H1343" s="1" t="s">
        <v>69</v>
      </c>
      <c r="I1343" s="1">
        <v>108000</v>
      </c>
      <c r="J1343" s="45">
        <v>1071341</v>
      </c>
      <c r="K1343" s="1" t="str">
        <f>TRIM(Cleaned_CRM_Data!H1343)</f>
        <v>Follow up</v>
      </c>
      <c r="L1343" t="str">
        <f>IFERROR(VLOOKUP(K1343, Status_Mapping!A:B, 2,), "Not Found")</f>
        <v>Follow Up</v>
      </c>
      <c r="N1343" s="29" t="str">
        <f>IF(M1343="","",M1343-B1343)</f>
        <v/>
      </c>
      <c r="O1343" s="1" t="str">
        <f t="shared" si="105"/>
        <v>Starter</v>
      </c>
      <c r="P1343" t="str">
        <f>TEXT(B1343, "mmmm")</f>
        <v>February</v>
      </c>
      <c r="Q1343" t="str">
        <f t="shared" si="106"/>
        <v>Q1</v>
      </c>
      <c r="R1343" t="str">
        <f>IFERROR(VLOOKUP(TRIM(CLEAN(G1343)),Sheet14!$A$2:$B$19,2,FALSE),"Not Mapped")</f>
        <v>West</v>
      </c>
    </row>
    <row r="1344" spans="1:18">
      <c r="A1344" t="str">
        <f t="shared" si="104"/>
        <v>EOS1343</v>
      </c>
      <c r="B1344" s="38">
        <v>46059</v>
      </c>
      <c r="C1344" s="4" t="s">
        <v>267</v>
      </c>
      <c r="D1344" s="1" t="str">
        <f t="shared" si="107"/>
        <v>FB</v>
      </c>
      <c r="E1344" s="7" t="s">
        <v>1927</v>
      </c>
      <c r="F1344" s="1" t="s">
        <v>300</v>
      </c>
      <c r="G1344" s="4" t="s">
        <v>224</v>
      </c>
      <c r="H1344" s="1" t="s">
        <v>149</v>
      </c>
      <c r="I1344" s="1">
        <v>130000</v>
      </c>
      <c r="J1344" s="45">
        <v>1071342</v>
      </c>
      <c r="K1344" s="1" t="str">
        <f>TRIM(Cleaned_CRM_Data!H1344)</f>
        <v>Rejected</v>
      </c>
      <c r="L1344" t="str">
        <f>IFERROR(VLOOKUP(K1344, Status_Mapping!A:B, 2,), "Not Found")</f>
        <v>Rejected</v>
      </c>
      <c r="N1344" s="29" t="str">
        <f>IF(M1344="","",M1344-B1344)</f>
        <v/>
      </c>
      <c r="O1344" s="1" t="str">
        <f t="shared" si="105"/>
        <v>Starter</v>
      </c>
      <c r="P1344" t="str">
        <f>TEXT(B1344, "mmmm")</f>
        <v>February</v>
      </c>
      <c r="Q1344" t="str">
        <f t="shared" si="106"/>
        <v>Q1</v>
      </c>
      <c r="R1344" t="str">
        <f>IFERROR(VLOOKUP(TRIM(CLEAN(G1344)),Sheet14!$A$2:$B$19,2,FALSE),"Not Mapped")</f>
        <v>West</v>
      </c>
    </row>
    <row r="1345" spans="1:18">
      <c r="A1345" t="str">
        <f t="shared" si="104"/>
        <v>EOS1344</v>
      </c>
      <c r="B1345" s="38">
        <v>46062</v>
      </c>
      <c r="C1345" s="4" t="s">
        <v>1765</v>
      </c>
      <c r="D1345" s="1" t="str">
        <f t="shared" si="107"/>
        <v>FB</v>
      </c>
      <c r="E1345" s="7" t="s">
        <v>1928</v>
      </c>
      <c r="F1345" s="7" t="s">
        <v>1929</v>
      </c>
      <c r="G1345" s="4" t="s">
        <v>224</v>
      </c>
      <c r="H1345" s="1" t="s">
        <v>69</v>
      </c>
      <c r="I1345" s="1">
        <v>130000</v>
      </c>
      <c r="J1345" s="45">
        <v>1071343</v>
      </c>
      <c r="K1345" s="1" t="str">
        <f>TRIM(Cleaned_CRM_Data!H1345)</f>
        <v>Follow up</v>
      </c>
      <c r="L1345" t="str">
        <f>IFERROR(VLOOKUP(K1345, Status_Mapping!A:B, 2,), "Not Found")</f>
        <v>Follow Up</v>
      </c>
      <c r="N1345" s="29" t="str">
        <f>IF(M1345="","",M1345-B1345)</f>
        <v/>
      </c>
      <c r="O1345" s="1" t="str">
        <f t="shared" si="105"/>
        <v>Starter</v>
      </c>
      <c r="P1345" t="str">
        <f>TEXT(B1345, "mmmm")</f>
        <v>February</v>
      </c>
      <c r="Q1345" t="str">
        <f t="shared" si="106"/>
        <v>Q1</v>
      </c>
      <c r="R1345" t="str">
        <f>IFERROR(VLOOKUP(TRIM(CLEAN(G1345)),Sheet14!$A$2:$B$19,2,FALSE),"Not Mapped")</f>
        <v>West</v>
      </c>
    </row>
    <row r="1346" spans="1:18">
      <c r="A1346" t="str">
        <f t="shared" si="104"/>
        <v>EOS1345</v>
      </c>
      <c r="B1346" s="38">
        <v>46062</v>
      </c>
      <c r="C1346" s="4" t="s">
        <v>267</v>
      </c>
      <c r="D1346" s="1" t="str">
        <f t="shared" si="107"/>
        <v>FB</v>
      </c>
      <c r="E1346" s="7" t="s">
        <v>1930</v>
      </c>
      <c r="F1346" s="4"/>
      <c r="G1346" s="4" t="s">
        <v>224</v>
      </c>
      <c r="H1346" s="1" t="s">
        <v>69</v>
      </c>
      <c r="I1346" s="1">
        <v>108000</v>
      </c>
      <c r="J1346" s="45">
        <v>1071344</v>
      </c>
      <c r="K1346" s="1" t="str">
        <f>TRIM(Cleaned_CRM_Data!H1346)</f>
        <v>Follow up</v>
      </c>
      <c r="L1346" t="str">
        <f>IFERROR(VLOOKUP(K1346, Status_Mapping!A:B, 2,), "Not Found")</f>
        <v>Follow Up</v>
      </c>
      <c r="N1346" s="29" t="str">
        <f>IF(M1346="","",M1346-B1346)</f>
        <v/>
      </c>
      <c r="O1346" s="1" t="str">
        <f t="shared" si="105"/>
        <v>Starter</v>
      </c>
      <c r="P1346" t="str">
        <f>TEXT(B1346, "mmmm")</f>
        <v>February</v>
      </c>
      <c r="Q1346" t="str">
        <f t="shared" si="106"/>
        <v>Q1</v>
      </c>
      <c r="R1346" t="str">
        <f>IFERROR(VLOOKUP(TRIM(CLEAN(G1346)),Sheet14!$A$2:$B$19,2,FALSE),"Not Mapped")</f>
        <v>West</v>
      </c>
    </row>
    <row r="1347" spans="1:18">
      <c r="A1347" t="str">
        <f t="shared" ref="A1347:A1410" si="108">"EOS"&amp;TEXT(ROW()-1,"0000")</f>
        <v>EOS1346</v>
      </c>
      <c r="B1347" s="38">
        <v>46062</v>
      </c>
      <c r="C1347" s="4" t="s">
        <v>267</v>
      </c>
      <c r="D1347" s="1" t="str">
        <f t="shared" si="107"/>
        <v>FB</v>
      </c>
      <c r="E1347" s="7" t="s">
        <v>1931</v>
      </c>
      <c r="F1347" s="1" t="s">
        <v>271</v>
      </c>
      <c r="G1347" s="4" t="s">
        <v>224</v>
      </c>
      <c r="H1347" s="1" t="s">
        <v>69</v>
      </c>
      <c r="I1347" s="1">
        <v>108000</v>
      </c>
      <c r="J1347" s="45">
        <v>1071345</v>
      </c>
      <c r="K1347" s="1" t="str">
        <f>TRIM(Cleaned_CRM_Data!H1347)</f>
        <v>Follow up</v>
      </c>
      <c r="L1347" t="str">
        <f>IFERROR(VLOOKUP(K1347, Status_Mapping!A:B, 2,), "Not Found")</f>
        <v>Follow Up</v>
      </c>
      <c r="N1347" s="29" t="str">
        <f>IF(M1347="","",M1347-B1347)</f>
        <v/>
      </c>
      <c r="O1347" s="1" t="str">
        <f t="shared" ref="O1347:O1410" si="109">IF(OR(I1347=108000,I1347=130000),"Starter",IF(I1347=177000,"Growth","Premium"))</f>
        <v>Starter</v>
      </c>
      <c r="P1347" t="str">
        <f>TEXT(B1347, "mmmm")</f>
        <v>February</v>
      </c>
      <c r="Q1347" t="str">
        <f t="shared" ref="Q1347:Q1410" si="110">"Q"&amp;ROUNDUP(MONTH(B1347)/3,0)</f>
        <v>Q1</v>
      </c>
      <c r="R1347" t="str">
        <f>IFERROR(VLOOKUP(TRIM(CLEAN(G1347)),Sheet14!$A$2:$B$19,2,FALSE),"Not Mapped")</f>
        <v>West</v>
      </c>
    </row>
    <row r="1348" spans="1:18">
      <c r="A1348" t="str">
        <f t="shared" si="108"/>
        <v>EOS1347</v>
      </c>
      <c r="B1348" s="38">
        <v>46062</v>
      </c>
      <c r="C1348" s="4" t="s">
        <v>267</v>
      </c>
      <c r="D1348" s="1" t="str">
        <f t="shared" si="107"/>
        <v>FB</v>
      </c>
      <c r="E1348" s="7" t="s">
        <v>1932</v>
      </c>
      <c r="F1348" s="2" t="s">
        <v>869</v>
      </c>
      <c r="G1348" s="4" t="s">
        <v>224</v>
      </c>
      <c r="H1348" s="1" t="s">
        <v>149</v>
      </c>
      <c r="I1348" s="1">
        <v>177000</v>
      </c>
      <c r="J1348" s="45">
        <v>1071346</v>
      </c>
      <c r="K1348" s="1" t="str">
        <f>TRIM(Cleaned_CRM_Data!H1348)</f>
        <v>Rejected</v>
      </c>
      <c r="L1348" t="str">
        <f>IFERROR(VLOOKUP(K1348, Status_Mapping!A:B, 2,), "Not Found")</f>
        <v>Rejected</v>
      </c>
      <c r="N1348" s="29" t="str">
        <f>IF(M1348="","",M1348-B1348)</f>
        <v/>
      </c>
      <c r="O1348" s="1" t="str">
        <f t="shared" si="109"/>
        <v>Growth</v>
      </c>
      <c r="P1348" t="str">
        <f>TEXT(B1348, "mmmm")</f>
        <v>February</v>
      </c>
      <c r="Q1348" t="str">
        <f t="shared" si="110"/>
        <v>Q1</v>
      </c>
      <c r="R1348" t="str">
        <f>IFERROR(VLOOKUP(TRIM(CLEAN(G1348)),Sheet14!$A$2:$B$19,2,FALSE),"Not Mapped")</f>
        <v>West</v>
      </c>
    </row>
    <row r="1349" spans="1:18">
      <c r="A1349" t="str">
        <f t="shared" si="108"/>
        <v>EOS1348</v>
      </c>
      <c r="B1349" s="38">
        <v>46062</v>
      </c>
      <c r="C1349" s="4" t="s">
        <v>1765</v>
      </c>
      <c r="D1349" s="1" t="str">
        <f t="shared" si="107"/>
        <v>FB</v>
      </c>
      <c r="E1349" s="7" t="s">
        <v>1933</v>
      </c>
      <c r="F1349" s="1" t="s">
        <v>275</v>
      </c>
      <c r="G1349" s="4" t="s">
        <v>224</v>
      </c>
      <c r="H1349" s="1" t="s">
        <v>69</v>
      </c>
      <c r="I1349" s="1">
        <v>108000</v>
      </c>
      <c r="J1349" s="45">
        <v>1071347</v>
      </c>
      <c r="K1349" s="1" t="str">
        <f>TRIM(Cleaned_CRM_Data!H1349)</f>
        <v>Follow up</v>
      </c>
      <c r="L1349" t="str">
        <f>IFERROR(VLOOKUP(K1349, Status_Mapping!A:B, 2,), "Not Found")</f>
        <v>Follow Up</v>
      </c>
      <c r="N1349" s="29" t="str">
        <f>IF(M1349="","",M1349-B1349)</f>
        <v/>
      </c>
      <c r="O1349" s="1" t="str">
        <f t="shared" si="109"/>
        <v>Starter</v>
      </c>
      <c r="P1349" t="str">
        <f>TEXT(B1349, "mmmm")</f>
        <v>February</v>
      </c>
      <c r="Q1349" t="str">
        <f t="shared" si="110"/>
        <v>Q1</v>
      </c>
      <c r="R1349" t="str">
        <f>IFERROR(VLOOKUP(TRIM(CLEAN(G1349)),Sheet14!$A$2:$B$19,2,FALSE),"Not Mapped")</f>
        <v>West</v>
      </c>
    </row>
    <row r="1350" spans="1:18">
      <c r="A1350" t="str">
        <f t="shared" si="108"/>
        <v>EOS1349</v>
      </c>
      <c r="B1350" s="38">
        <v>46062</v>
      </c>
      <c r="C1350" s="4" t="s">
        <v>267</v>
      </c>
      <c r="D1350" s="1" t="str">
        <f t="shared" si="107"/>
        <v>FB</v>
      </c>
      <c r="E1350" s="7" t="s">
        <v>1934</v>
      </c>
      <c r="F1350" s="1" t="s">
        <v>275</v>
      </c>
      <c r="G1350" s="1" t="s">
        <v>224</v>
      </c>
      <c r="H1350" s="1" t="s">
        <v>69</v>
      </c>
      <c r="I1350" s="1">
        <v>177000</v>
      </c>
      <c r="J1350" s="45">
        <v>1071348</v>
      </c>
      <c r="K1350" s="1" t="str">
        <f>TRIM(Cleaned_CRM_Data!H1350)</f>
        <v>Follow up</v>
      </c>
      <c r="L1350" t="str">
        <f>IFERROR(VLOOKUP(K1350, Status_Mapping!A:B, 2,), "Not Found")</f>
        <v>Follow Up</v>
      </c>
      <c r="N1350" s="29" t="str">
        <f>IF(M1350="","",M1350-B1350)</f>
        <v/>
      </c>
      <c r="O1350" s="1" t="str">
        <f t="shared" si="109"/>
        <v>Growth</v>
      </c>
      <c r="P1350" t="str">
        <f>TEXT(B1350, "mmmm")</f>
        <v>February</v>
      </c>
      <c r="Q1350" t="str">
        <f t="shared" si="110"/>
        <v>Q1</v>
      </c>
      <c r="R1350" t="str">
        <f>IFERROR(VLOOKUP(TRIM(CLEAN(G1350)),Sheet14!$A$2:$B$19,2,FALSE),"Not Mapped")</f>
        <v>West</v>
      </c>
    </row>
    <row r="1351" spans="1:18">
      <c r="A1351" t="str">
        <f t="shared" si="108"/>
        <v>EOS1350</v>
      </c>
      <c r="B1351" s="38">
        <v>46062</v>
      </c>
      <c r="C1351" s="4" t="s">
        <v>267</v>
      </c>
      <c r="D1351" s="1" t="str">
        <f t="shared" si="107"/>
        <v>FB</v>
      </c>
      <c r="E1351" s="7" t="s">
        <v>1935</v>
      </c>
      <c r="F1351" s="7" t="s">
        <v>510</v>
      </c>
      <c r="G1351" s="1" t="s">
        <v>224</v>
      </c>
      <c r="H1351" s="1" t="s">
        <v>69</v>
      </c>
      <c r="I1351" s="1">
        <v>177000</v>
      </c>
      <c r="J1351" s="45">
        <v>1071349</v>
      </c>
      <c r="K1351" s="1" t="str">
        <f>TRIM(Cleaned_CRM_Data!H1351)</f>
        <v>Follow up</v>
      </c>
      <c r="L1351" t="str">
        <f>IFERROR(VLOOKUP(K1351, Status_Mapping!A:B, 2,), "Not Found")</f>
        <v>Follow Up</v>
      </c>
      <c r="N1351" s="29" t="str">
        <f>IF(M1351="","",M1351-B1351)</f>
        <v/>
      </c>
      <c r="O1351" s="1" t="str">
        <f t="shared" si="109"/>
        <v>Growth</v>
      </c>
      <c r="P1351" t="str">
        <f>TEXT(B1351, "mmmm")</f>
        <v>February</v>
      </c>
      <c r="Q1351" t="str">
        <f t="shared" si="110"/>
        <v>Q1</v>
      </c>
      <c r="R1351" t="str">
        <f>IFERROR(VLOOKUP(TRIM(CLEAN(G1351)),Sheet14!$A$2:$B$19,2,FALSE),"Not Mapped")</f>
        <v>West</v>
      </c>
    </row>
    <row r="1352" spans="1:18">
      <c r="A1352" t="str">
        <f t="shared" si="108"/>
        <v>EOS1351</v>
      </c>
      <c r="B1352" s="38">
        <v>46062</v>
      </c>
      <c r="C1352" s="4" t="s">
        <v>267</v>
      </c>
      <c r="D1352" s="1" t="str">
        <f t="shared" si="107"/>
        <v>FB</v>
      </c>
      <c r="E1352" s="7" t="s">
        <v>1936</v>
      </c>
      <c r="F1352" s="7" t="s">
        <v>1937</v>
      </c>
      <c r="G1352" s="4" t="s">
        <v>1487</v>
      </c>
      <c r="H1352" s="1" t="s">
        <v>149</v>
      </c>
      <c r="I1352" s="1">
        <v>108000</v>
      </c>
      <c r="J1352" s="45">
        <v>1071350</v>
      </c>
      <c r="K1352" s="1" t="str">
        <f>TRIM(Cleaned_CRM_Data!H1352)</f>
        <v>Rejected</v>
      </c>
      <c r="L1352" t="str">
        <f>IFERROR(VLOOKUP(K1352, Status_Mapping!A:B, 2,), "Not Found")</f>
        <v>Rejected</v>
      </c>
      <c r="N1352" s="29" t="str">
        <f>IF(M1352="","",M1352-B1352)</f>
        <v/>
      </c>
      <c r="O1352" s="1" t="str">
        <f t="shared" si="109"/>
        <v>Starter</v>
      </c>
      <c r="P1352" t="str">
        <f>TEXT(B1352, "mmmm")</f>
        <v>February</v>
      </c>
      <c r="Q1352" t="str">
        <f t="shared" si="110"/>
        <v>Q1</v>
      </c>
      <c r="R1352" t="str">
        <f>IFERROR(VLOOKUP(TRIM(CLEAN(G1352)),Sheet14!$A$2:$B$19,2,FALSE),"Not Mapped")</f>
        <v>East</v>
      </c>
    </row>
    <row r="1353" spans="1:18">
      <c r="A1353" t="str">
        <f t="shared" si="108"/>
        <v>EOS1352</v>
      </c>
      <c r="B1353" s="38">
        <v>46062</v>
      </c>
      <c r="C1353" s="4" t="s">
        <v>1765</v>
      </c>
      <c r="D1353" s="1" t="str">
        <f t="shared" si="107"/>
        <v>FB</v>
      </c>
      <c r="E1353" s="7" t="s">
        <v>1938</v>
      </c>
      <c r="F1353" s="1" t="s">
        <v>300</v>
      </c>
      <c r="G1353" s="4" t="s">
        <v>224</v>
      </c>
      <c r="H1353" s="4" t="s">
        <v>172</v>
      </c>
      <c r="I1353" s="1">
        <v>108000</v>
      </c>
      <c r="J1353" s="45">
        <v>1071351</v>
      </c>
      <c r="K1353" s="1" t="str">
        <f>TRIM(Cleaned_CRM_Data!H1353)</f>
        <v>Ringing</v>
      </c>
      <c r="L1353" t="str">
        <f>IFERROR(VLOOKUP(K1353, Status_Mapping!A:B, 2,), "Not Found")</f>
        <v>Follow Up</v>
      </c>
      <c r="N1353" s="29" t="str">
        <f>IF(M1353="","",M1353-B1353)</f>
        <v/>
      </c>
      <c r="O1353" s="1" t="str">
        <f t="shared" si="109"/>
        <v>Starter</v>
      </c>
      <c r="P1353" t="str">
        <f>TEXT(B1353, "mmmm")</f>
        <v>February</v>
      </c>
      <c r="Q1353" t="str">
        <f t="shared" si="110"/>
        <v>Q1</v>
      </c>
      <c r="R1353" t="str">
        <f>IFERROR(VLOOKUP(TRIM(CLEAN(G1353)),Sheet14!$A$2:$B$19,2,FALSE),"Not Mapped")</f>
        <v>West</v>
      </c>
    </row>
    <row r="1354" spans="1:18">
      <c r="A1354" t="str">
        <f t="shared" si="108"/>
        <v>EOS1353</v>
      </c>
      <c r="B1354" s="38">
        <v>46062</v>
      </c>
      <c r="C1354" s="4" t="s">
        <v>1765</v>
      </c>
      <c r="D1354" s="1" t="str">
        <f t="shared" si="107"/>
        <v>FB</v>
      </c>
      <c r="E1354" s="7" t="s">
        <v>1939</v>
      </c>
      <c r="F1354" s="7" t="s">
        <v>900</v>
      </c>
      <c r="G1354" s="4" t="s">
        <v>224</v>
      </c>
      <c r="H1354" s="1" t="s">
        <v>149</v>
      </c>
      <c r="I1354" s="1">
        <v>108000</v>
      </c>
      <c r="J1354" s="45">
        <v>1071352</v>
      </c>
      <c r="K1354" s="1" t="str">
        <f>TRIM(Cleaned_CRM_Data!H1354)</f>
        <v>Rejected</v>
      </c>
      <c r="L1354" t="str">
        <f>IFERROR(VLOOKUP(K1354, Status_Mapping!A:B, 2,), "Not Found")</f>
        <v>Rejected</v>
      </c>
      <c r="N1354" s="29" t="str">
        <f>IF(M1354="","",M1354-B1354)</f>
        <v/>
      </c>
      <c r="O1354" s="1" t="str">
        <f t="shared" si="109"/>
        <v>Starter</v>
      </c>
      <c r="P1354" t="str">
        <f>TEXT(B1354, "mmmm")</f>
        <v>February</v>
      </c>
      <c r="Q1354" t="str">
        <f t="shared" si="110"/>
        <v>Q1</v>
      </c>
      <c r="R1354" t="str">
        <f>IFERROR(VLOOKUP(TRIM(CLEAN(G1354)),Sheet14!$A$2:$B$19,2,FALSE),"Not Mapped")</f>
        <v>West</v>
      </c>
    </row>
    <row r="1355" spans="1:18">
      <c r="A1355" t="str">
        <f t="shared" si="108"/>
        <v>EOS1354</v>
      </c>
      <c r="B1355" s="38">
        <v>46062</v>
      </c>
      <c r="C1355" s="4" t="s">
        <v>1765</v>
      </c>
      <c r="D1355" s="1" t="str">
        <f t="shared" si="107"/>
        <v>FB</v>
      </c>
      <c r="E1355" s="7" t="s">
        <v>1272</v>
      </c>
      <c r="F1355" s="1" t="s">
        <v>601</v>
      </c>
      <c r="G1355" s="4" t="s">
        <v>224</v>
      </c>
      <c r="H1355" s="1" t="s">
        <v>69</v>
      </c>
      <c r="I1355" s="1">
        <v>130000</v>
      </c>
      <c r="J1355" s="45">
        <v>1071353</v>
      </c>
      <c r="K1355" s="1" t="str">
        <f>TRIM(Cleaned_CRM_Data!H1355)</f>
        <v>Follow up</v>
      </c>
      <c r="L1355" t="str">
        <f>IFERROR(VLOOKUP(K1355, Status_Mapping!A:B, 2,), "Not Found")</f>
        <v>Follow Up</v>
      </c>
      <c r="N1355" s="29" t="str">
        <f>IF(M1355="","",M1355-B1355)</f>
        <v/>
      </c>
      <c r="O1355" s="1" t="str">
        <f t="shared" si="109"/>
        <v>Starter</v>
      </c>
      <c r="P1355" t="str">
        <f>TEXT(B1355, "mmmm")</f>
        <v>February</v>
      </c>
      <c r="Q1355" t="str">
        <f t="shared" si="110"/>
        <v>Q1</v>
      </c>
      <c r="R1355" t="str">
        <f>IFERROR(VLOOKUP(TRIM(CLEAN(G1355)),Sheet14!$A$2:$B$19,2,FALSE),"Not Mapped")</f>
        <v>West</v>
      </c>
    </row>
    <row r="1356" spans="1:18">
      <c r="A1356" t="str">
        <f t="shared" si="108"/>
        <v>EOS1355</v>
      </c>
      <c r="B1356" s="38">
        <v>46062</v>
      </c>
      <c r="C1356" s="4" t="s">
        <v>267</v>
      </c>
      <c r="D1356" s="1" t="str">
        <f t="shared" si="107"/>
        <v>FB</v>
      </c>
      <c r="E1356" s="7" t="s">
        <v>1940</v>
      </c>
      <c r="F1356" s="7" t="s">
        <v>1941</v>
      </c>
      <c r="G1356" s="7" t="s">
        <v>225</v>
      </c>
      <c r="H1356" s="1" t="s">
        <v>69</v>
      </c>
      <c r="I1356" s="1">
        <v>108000</v>
      </c>
      <c r="J1356" s="45">
        <v>1071354</v>
      </c>
      <c r="K1356" s="1" t="str">
        <f>TRIM(Cleaned_CRM_Data!H1356)</f>
        <v>Follow up</v>
      </c>
      <c r="L1356" t="str">
        <f>IFERROR(VLOOKUP(K1356, Status_Mapping!A:B, 2,), "Not Found")</f>
        <v>Follow Up</v>
      </c>
      <c r="N1356" s="29" t="str">
        <f>IF(M1356="","",M1356-B1356)</f>
        <v/>
      </c>
      <c r="O1356" s="1" t="str">
        <f t="shared" si="109"/>
        <v>Starter</v>
      </c>
      <c r="P1356" t="str">
        <f>TEXT(B1356, "mmmm")</f>
        <v>February</v>
      </c>
      <c r="Q1356" t="str">
        <f t="shared" si="110"/>
        <v>Q1</v>
      </c>
      <c r="R1356" t="str">
        <f>IFERROR(VLOOKUP(TRIM(CLEAN(G1356)),Sheet14!$A$2:$B$19,2,FALSE),"Not Mapped")</f>
        <v>North</v>
      </c>
    </row>
    <row r="1357" spans="1:18">
      <c r="A1357" t="str">
        <f t="shared" si="108"/>
        <v>EOS1356</v>
      </c>
      <c r="B1357" s="38">
        <v>46062</v>
      </c>
      <c r="C1357" s="4" t="s">
        <v>267</v>
      </c>
      <c r="D1357" s="1" t="str">
        <f t="shared" si="107"/>
        <v>FB</v>
      </c>
      <c r="E1357" s="7" t="s">
        <v>1942</v>
      </c>
      <c r="F1357" s="1" t="s">
        <v>412</v>
      </c>
      <c r="G1357" s="1" t="s">
        <v>224</v>
      </c>
      <c r="H1357" s="1" t="s">
        <v>149</v>
      </c>
      <c r="I1357" s="1">
        <v>108000</v>
      </c>
      <c r="J1357" s="45">
        <v>1071355</v>
      </c>
      <c r="K1357" s="1" t="str">
        <f>TRIM(Cleaned_CRM_Data!H1357)</f>
        <v>Rejected</v>
      </c>
      <c r="L1357" t="str">
        <f>IFERROR(VLOOKUP(K1357, Status_Mapping!A:B, 2,), "Not Found")</f>
        <v>Rejected</v>
      </c>
      <c r="N1357" s="29" t="str">
        <f>IF(M1357="","",M1357-B1357)</f>
        <v/>
      </c>
      <c r="O1357" s="1" t="str">
        <f t="shared" si="109"/>
        <v>Starter</v>
      </c>
      <c r="P1357" t="str">
        <f>TEXT(B1357, "mmmm")</f>
        <v>February</v>
      </c>
      <c r="Q1357" t="str">
        <f t="shared" si="110"/>
        <v>Q1</v>
      </c>
      <c r="R1357" t="str">
        <f>IFERROR(VLOOKUP(TRIM(CLEAN(G1357)),Sheet14!$A$2:$B$19,2,FALSE),"Not Mapped")</f>
        <v>West</v>
      </c>
    </row>
    <row r="1358" spans="1:18">
      <c r="A1358" t="str">
        <f t="shared" si="108"/>
        <v>EOS1357</v>
      </c>
      <c r="B1358" s="38">
        <v>46018</v>
      </c>
      <c r="C1358" s="4" t="s">
        <v>1943</v>
      </c>
      <c r="D1358" s="4"/>
      <c r="E1358" s="4" t="s">
        <v>1944</v>
      </c>
      <c r="F1358" s="7" t="s">
        <v>860</v>
      </c>
      <c r="G1358" s="4" t="s">
        <v>223</v>
      </c>
      <c r="H1358" s="1" t="s">
        <v>69</v>
      </c>
      <c r="I1358" s="1">
        <v>108000</v>
      </c>
      <c r="J1358" s="45">
        <v>1071356</v>
      </c>
      <c r="K1358" s="1" t="str">
        <f>TRIM(Cleaned_CRM_Data!H1358)</f>
        <v>Follow up</v>
      </c>
      <c r="L1358" t="str">
        <f>IFERROR(VLOOKUP(K1358, Status_Mapping!A:B, 2,), "Not Found")</f>
        <v>Follow Up</v>
      </c>
      <c r="N1358" s="29" t="str">
        <f>IF(M1358="","",M1358-B1358)</f>
        <v/>
      </c>
      <c r="O1358" s="1" t="str">
        <f t="shared" si="109"/>
        <v>Starter</v>
      </c>
      <c r="P1358" t="str">
        <f>TEXT(B1358, "mmmm")</f>
        <v>December</v>
      </c>
      <c r="Q1358" t="str">
        <f t="shared" si="110"/>
        <v>Q4</v>
      </c>
      <c r="R1358" t="str">
        <f>IFERROR(VLOOKUP(TRIM(CLEAN(G1358)),Sheet14!$A$2:$B$19,2,FALSE),"Not Mapped")</f>
        <v>West</v>
      </c>
    </row>
    <row r="1359" spans="1:18">
      <c r="A1359" t="str">
        <f t="shared" si="108"/>
        <v>EOS1358</v>
      </c>
      <c r="B1359" s="38">
        <v>46062</v>
      </c>
      <c r="C1359" s="4" t="s">
        <v>267</v>
      </c>
      <c r="D1359" s="1" t="str">
        <f t="shared" ref="D1359:D1370" si="111">TRIM(CLEAN(SUBSTITUTE(C1359,CHAR(160),"")))</f>
        <v>FB</v>
      </c>
      <c r="E1359" s="7" t="s">
        <v>1945</v>
      </c>
      <c r="F1359" s="7" t="s">
        <v>643</v>
      </c>
      <c r="G1359" s="1" t="s">
        <v>224</v>
      </c>
      <c r="H1359" s="1" t="s">
        <v>69</v>
      </c>
      <c r="I1359" s="1">
        <v>130000</v>
      </c>
      <c r="J1359" s="45">
        <v>1071357</v>
      </c>
      <c r="K1359" s="1" t="str">
        <f>TRIM(Cleaned_CRM_Data!H1359)</f>
        <v>Follow up</v>
      </c>
      <c r="L1359" t="str">
        <f>IFERROR(VLOOKUP(K1359, Status_Mapping!A:B, 2,), "Not Found")</f>
        <v>Follow Up</v>
      </c>
      <c r="N1359" s="29" t="str">
        <f>IF(M1359="","",M1359-B1359)</f>
        <v/>
      </c>
      <c r="O1359" s="1" t="str">
        <f t="shared" si="109"/>
        <v>Starter</v>
      </c>
      <c r="P1359" t="str">
        <f>TEXT(B1359, "mmmm")</f>
        <v>February</v>
      </c>
      <c r="Q1359" t="str">
        <f t="shared" si="110"/>
        <v>Q1</v>
      </c>
      <c r="R1359" t="str">
        <f>IFERROR(VLOOKUP(TRIM(CLEAN(G1359)),Sheet14!$A$2:$B$19,2,FALSE),"Not Mapped")</f>
        <v>West</v>
      </c>
    </row>
    <row r="1360" spans="1:18">
      <c r="A1360" t="str">
        <f t="shared" si="108"/>
        <v>EOS1359</v>
      </c>
      <c r="B1360" s="38">
        <v>46062</v>
      </c>
      <c r="C1360" s="4" t="s">
        <v>267</v>
      </c>
      <c r="D1360" s="1" t="str">
        <f t="shared" si="111"/>
        <v>FB</v>
      </c>
      <c r="E1360" s="7" t="s">
        <v>1946</v>
      </c>
      <c r="F1360" s="7" t="s">
        <v>397</v>
      </c>
      <c r="G1360" s="1" t="s">
        <v>224</v>
      </c>
      <c r="H1360" s="1" t="s">
        <v>149</v>
      </c>
      <c r="I1360" s="1">
        <v>130000</v>
      </c>
      <c r="J1360" s="45">
        <v>1071358</v>
      </c>
      <c r="K1360" s="1" t="str">
        <f>TRIM(Cleaned_CRM_Data!H1360)</f>
        <v>Rejected</v>
      </c>
      <c r="L1360" t="str">
        <f>IFERROR(VLOOKUP(K1360, Status_Mapping!A:B, 2,), "Not Found")</f>
        <v>Rejected</v>
      </c>
      <c r="N1360" s="29" t="str">
        <f>IF(M1360="","",M1360-B1360)</f>
        <v/>
      </c>
      <c r="O1360" s="1" t="str">
        <f t="shared" si="109"/>
        <v>Starter</v>
      </c>
      <c r="P1360" t="str">
        <f>TEXT(B1360, "mmmm")</f>
        <v>February</v>
      </c>
      <c r="Q1360" t="str">
        <f t="shared" si="110"/>
        <v>Q1</v>
      </c>
      <c r="R1360" t="str">
        <f>IFERROR(VLOOKUP(TRIM(CLEAN(G1360)),Sheet14!$A$2:$B$19,2,FALSE),"Not Mapped")</f>
        <v>West</v>
      </c>
    </row>
    <row r="1361" spans="1:18">
      <c r="A1361" t="str">
        <f t="shared" si="108"/>
        <v>EOS1360</v>
      </c>
      <c r="B1361" s="38">
        <v>46062</v>
      </c>
      <c r="C1361" s="4" t="s">
        <v>1765</v>
      </c>
      <c r="D1361" s="1" t="str">
        <f t="shared" si="111"/>
        <v>FB</v>
      </c>
      <c r="E1361" s="7" t="s">
        <v>1947</v>
      </c>
      <c r="F1361" s="7" t="s">
        <v>643</v>
      </c>
      <c r="G1361" s="1" t="s">
        <v>224</v>
      </c>
      <c r="H1361" s="1" t="s">
        <v>69</v>
      </c>
      <c r="I1361" s="1">
        <v>108000</v>
      </c>
      <c r="J1361" s="45">
        <v>1071359</v>
      </c>
      <c r="K1361" s="1" t="str">
        <f>TRIM(Cleaned_CRM_Data!H1361)</f>
        <v>Follow up</v>
      </c>
      <c r="L1361" t="str">
        <f>IFERROR(VLOOKUP(K1361, Status_Mapping!A:B, 2,), "Not Found")</f>
        <v>Follow Up</v>
      </c>
      <c r="N1361" s="29" t="str">
        <f>IF(M1361="","",M1361-B1361)</f>
        <v/>
      </c>
      <c r="O1361" s="1" t="str">
        <f t="shared" si="109"/>
        <v>Starter</v>
      </c>
      <c r="P1361" t="str">
        <f>TEXT(B1361, "mmmm")</f>
        <v>February</v>
      </c>
      <c r="Q1361" t="str">
        <f t="shared" si="110"/>
        <v>Q1</v>
      </c>
      <c r="R1361" t="str">
        <f>IFERROR(VLOOKUP(TRIM(CLEAN(G1361)),Sheet14!$A$2:$B$19,2,FALSE),"Not Mapped")</f>
        <v>West</v>
      </c>
    </row>
    <row r="1362" spans="1:18">
      <c r="A1362" t="str">
        <f t="shared" si="108"/>
        <v>EOS1361</v>
      </c>
      <c r="B1362" s="38">
        <v>46062</v>
      </c>
      <c r="C1362" s="4" t="s">
        <v>267</v>
      </c>
      <c r="D1362" s="1" t="str">
        <f t="shared" si="111"/>
        <v>FB</v>
      </c>
      <c r="E1362" s="7" t="s">
        <v>1948</v>
      </c>
      <c r="F1362" s="7" t="s">
        <v>1949</v>
      </c>
      <c r="G1362" s="4" t="s">
        <v>223</v>
      </c>
      <c r="H1362" s="1" t="s">
        <v>149</v>
      </c>
      <c r="I1362" s="1">
        <v>130000</v>
      </c>
      <c r="J1362" s="45">
        <v>1071360</v>
      </c>
      <c r="K1362" s="1" t="str">
        <f>TRIM(Cleaned_CRM_Data!H1362)</f>
        <v>Rejected</v>
      </c>
      <c r="L1362" t="str">
        <f>IFERROR(VLOOKUP(K1362, Status_Mapping!A:B, 2,), "Not Found")</f>
        <v>Rejected</v>
      </c>
      <c r="N1362" s="29" t="str">
        <f>IF(M1362="","",M1362-B1362)</f>
        <v/>
      </c>
      <c r="O1362" s="1" t="str">
        <f t="shared" si="109"/>
        <v>Starter</v>
      </c>
      <c r="P1362" t="str">
        <f>TEXT(B1362, "mmmm")</f>
        <v>February</v>
      </c>
      <c r="Q1362" t="str">
        <f t="shared" si="110"/>
        <v>Q1</v>
      </c>
      <c r="R1362" t="str">
        <f>IFERROR(VLOOKUP(TRIM(CLEAN(G1362)),Sheet14!$A$2:$B$19,2,FALSE),"Not Mapped")</f>
        <v>West</v>
      </c>
    </row>
    <row r="1363" spans="1:18">
      <c r="A1363" t="str">
        <f t="shared" si="108"/>
        <v>EOS1362</v>
      </c>
      <c r="B1363" s="38">
        <v>46062</v>
      </c>
      <c r="C1363" s="4" t="s">
        <v>1765</v>
      </c>
      <c r="D1363" s="1" t="str">
        <f t="shared" si="111"/>
        <v>FB</v>
      </c>
      <c r="E1363" s="7" t="s">
        <v>1950</v>
      </c>
      <c r="F1363" s="7" t="s">
        <v>1951</v>
      </c>
      <c r="G1363" s="4" t="s">
        <v>1781</v>
      </c>
      <c r="H1363" s="1" t="s">
        <v>149</v>
      </c>
      <c r="I1363" s="1">
        <v>130000</v>
      </c>
      <c r="J1363" s="45">
        <v>1071361</v>
      </c>
      <c r="K1363" s="1" t="str">
        <f>TRIM(Cleaned_CRM_Data!H1363)</f>
        <v>Rejected</v>
      </c>
      <c r="L1363" t="str">
        <f>IFERROR(VLOOKUP(K1363, Status_Mapping!A:B, 2,), "Not Found")</f>
        <v>Rejected</v>
      </c>
      <c r="N1363" s="29" t="str">
        <f>IF(M1363="","",M1363-B1363)</f>
        <v/>
      </c>
      <c r="O1363" s="1" t="str">
        <f t="shared" si="109"/>
        <v>Starter</v>
      </c>
      <c r="P1363" t="str">
        <f>TEXT(B1363, "mmmm")</f>
        <v>February</v>
      </c>
      <c r="Q1363" t="str">
        <f t="shared" si="110"/>
        <v>Q1</v>
      </c>
      <c r="R1363" t="str">
        <f>IFERROR(VLOOKUP(TRIM(CLEAN(G1363)),Sheet14!$A$2:$B$19,2,FALSE),"Not Mapped")</f>
        <v>North</v>
      </c>
    </row>
    <row r="1364" spans="1:18">
      <c r="A1364" t="str">
        <f t="shared" si="108"/>
        <v>EOS1363</v>
      </c>
      <c r="B1364" s="38">
        <v>46062</v>
      </c>
      <c r="C1364" s="4" t="s">
        <v>1765</v>
      </c>
      <c r="D1364" s="1" t="str">
        <f t="shared" si="111"/>
        <v>FB</v>
      </c>
      <c r="E1364" s="7" t="s">
        <v>1952</v>
      </c>
      <c r="F1364" s="7" t="s">
        <v>1953</v>
      </c>
      <c r="G1364" s="4" t="s">
        <v>1781</v>
      </c>
      <c r="H1364" s="4" t="s">
        <v>172</v>
      </c>
      <c r="I1364" s="1">
        <v>130000</v>
      </c>
      <c r="J1364" s="45">
        <v>1071362</v>
      </c>
      <c r="K1364" s="1" t="str">
        <f>TRIM(Cleaned_CRM_Data!H1364)</f>
        <v>Ringing</v>
      </c>
      <c r="L1364" t="str">
        <f>IFERROR(VLOOKUP(K1364, Status_Mapping!A:B, 2,), "Not Found")</f>
        <v>Follow Up</v>
      </c>
      <c r="N1364" s="29" t="str">
        <f>IF(M1364="","",M1364-B1364)</f>
        <v/>
      </c>
      <c r="O1364" s="1" t="str">
        <f t="shared" si="109"/>
        <v>Starter</v>
      </c>
      <c r="P1364" t="str">
        <f>TEXT(B1364, "mmmm")</f>
        <v>February</v>
      </c>
      <c r="Q1364" t="str">
        <f t="shared" si="110"/>
        <v>Q1</v>
      </c>
      <c r="R1364" t="str">
        <f>IFERROR(VLOOKUP(TRIM(CLEAN(G1364)),Sheet14!$A$2:$B$19,2,FALSE),"Not Mapped")</f>
        <v>North</v>
      </c>
    </row>
    <row r="1365" spans="1:18">
      <c r="A1365" t="str">
        <f t="shared" si="108"/>
        <v>EOS1364</v>
      </c>
      <c r="B1365" s="38">
        <v>46062</v>
      </c>
      <c r="C1365" s="4" t="s">
        <v>1765</v>
      </c>
      <c r="D1365" s="1" t="str">
        <f t="shared" si="111"/>
        <v>FB</v>
      </c>
      <c r="E1365" s="7" t="s">
        <v>1954</v>
      </c>
      <c r="F1365" s="2" t="s">
        <v>328</v>
      </c>
      <c r="G1365" s="1" t="s">
        <v>224</v>
      </c>
      <c r="H1365" s="1" t="s">
        <v>69</v>
      </c>
      <c r="I1365" s="1">
        <v>130000</v>
      </c>
      <c r="J1365" s="45">
        <v>1071363</v>
      </c>
      <c r="K1365" s="1" t="str">
        <f>TRIM(Cleaned_CRM_Data!H1365)</f>
        <v>Follow up</v>
      </c>
      <c r="L1365" t="str">
        <f>IFERROR(VLOOKUP(K1365, Status_Mapping!A:B, 2,), "Not Found")</f>
        <v>Follow Up</v>
      </c>
      <c r="N1365" s="29" t="str">
        <f>IF(M1365="","",M1365-B1365)</f>
        <v/>
      </c>
      <c r="O1365" s="1" t="str">
        <f t="shared" si="109"/>
        <v>Starter</v>
      </c>
      <c r="P1365" t="str">
        <f>TEXT(B1365, "mmmm")</f>
        <v>February</v>
      </c>
      <c r="Q1365" t="str">
        <f t="shared" si="110"/>
        <v>Q1</v>
      </c>
      <c r="R1365" t="str">
        <f>IFERROR(VLOOKUP(TRIM(CLEAN(G1365)),Sheet14!$A$2:$B$19,2,FALSE),"Not Mapped")</f>
        <v>West</v>
      </c>
    </row>
    <row r="1366" spans="1:18">
      <c r="A1366" t="str">
        <f t="shared" si="108"/>
        <v>EOS1365</v>
      </c>
      <c r="B1366" s="38">
        <v>46063</v>
      </c>
      <c r="C1366" s="4" t="s">
        <v>267</v>
      </c>
      <c r="D1366" s="1" t="str">
        <f t="shared" si="111"/>
        <v>FB</v>
      </c>
      <c r="E1366" s="7" t="s">
        <v>1955</v>
      </c>
      <c r="F1366" s="7" t="s">
        <v>304</v>
      </c>
      <c r="G1366" s="4" t="s">
        <v>223</v>
      </c>
      <c r="H1366" s="1" t="s">
        <v>69</v>
      </c>
      <c r="I1366" s="1">
        <v>130000</v>
      </c>
      <c r="J1366" s="45">
        <v>1071364</v>
      </c>
      <c r="K1366" s="1" t="str">
        <f>TRIM(Cleaned_CRM_Data!H1366)</f>
        <v>Follow up</v>
      </c>
      <c r="L1366" t="str">
        <f>IFERROR(VLOOKUP(K1366, Status_Mapping!A:B, 2,), "Not Found")</f>
        <v>Follow Up</v>
      </c>
      <c r="N1366" s="29" t="str">
        <f>IF(M1366="","",M1366-B1366)</f>
        <v/>
      </c>
      <c r="O1366" s="1" t="str">
        <f t="shared" si="109"/>
        <v>Starter</v>
      </c>
      <c r="P1366" t="str">
        <f>TEXT(B1366, "mmmm")</f>
        <v>February</v>
      </c>
      <c r="Q1366" t="str">
        <f t="shared" si="110"/>
        <v>Q1</v>
      </c>
      <c r="R1366" t="str">
        <f>IFERROR(VLOOKUP(TRIM(CLEAN(G1366)),Sheet14!$A$2:$B$19,2,FALSE),"Not Mapped")</f>
        <v>West</v>
      </c>
    </row>
    <row r="1367" spans="1:18">
      <c r="A1367" t="str">
        <f t="shared" si="108"/>
        <v>EOS1366</v>
      </c>
      <c r="B1367" s="38">
        <v>46063</v>
      </c>
      <c r="C1367" s="4" t="s">
        <v>267</v>
      </c>
      <c r="D1367" s="1" t="str">
        <f t="shared" si="111"/>
        <v>FB</v>
      </c>
      <c r="E1367" s="7" t="s">
        <v>1956</v>
      </c>
      <c r="F1367" s="1" t="s">
        <v>1003</v>
      </c>
      <c r="G1367" s="4" t="s">
        <v>223</v>
      </c>
      <c r="H1367" s="1" t="s">
        <v>69</v>
      </c>
      <c r="I1367" s="1">
        <v>108000</v>
      </c>
      <c r="J1367" s="45">
        <v>1071365</v>
      </c>
      <c r="K1367" s="1" t="str">
        <f>TRIM(Cleaned_CRM_Data!H1367)</f>
        <v>Follow up</v>
      </c>
      <c r="L1367" t="str">
        <f>IFERROR(VLOOKUP(K1367, Status_Mapping!A:B, 2,), "Not Found")</f>
        <v>Follow Up</v>
      </c>
      <c r="N1367" s="29" t="str">
        <f>IF(M1367="","",M1367-B1367)</f>
        <v/>
      </c>
      <c r="O1367" s="1" t="str">
        <f t="shared" si="109"/>
        <v>Starter</v>
      </c>
      <c r="P1367" t="str">
        <f>TEXT(B1367, "mmmm")</f>
        <v>February</v>
      </c>
      <c r="Q1367" t="str">
        <f t="shared" si="110"/>
        <v>Q1</v>
      </c>
      <c r="R1367" t="str">
        <f>IFERROR(VLOOKUP(TRIM(CLEAN(G1367)),Sheet14!$A$2:$B$19,2,FALSE),"Not Mapped")</f>
        <v>West</v>
      </c>
    </row>
    <row r="1368" spans="1:18">
      <c r="A1368" t="str">
        <f t="shared" si="108"/>
        <v>EOS1367</v>
      </c>
      <c r="B1368" s="38">
        <v>46063</v>
      </c>
      <c r="C1368" s="4" t="s">
        <v>267</v>
      </c>
      <c r="D1368" s="1" t="str">
        <f t="shared" si="111"/>
        <v>FB</v>
      </c>
      <c r="E1368" s="7" t="s">
        <v>1957</v>
      </c>
      <c r="F1368" s="7" t="s">
        <v>1958</v>
      </c>
      <c r="G1368" s="4" t="s">
        <v>223</v>
      </c>
      <c r="H1368" s="1" t="s">
        <v>69</v>
      </c>
      <c r="I1368" s="1">
        <v>108000</v>
      </c>
      <c r="J1368" s="45">
        <v>1071366</v>
      </c>
      <c r="K1368" s="1" t="str">
        <f>TRIM(Cleaned_CRM_Data!H1368)</f>
        <v>Follow up</v>
      </c>
      <c r="L1368" t="str">
        <f>IFERROR(VLOOKUP(K1368, Status_Mapping!A:B, 2,), "Not Found")</f>
        <v>Follow Up</v>
      </c>
      <c r="N1368" s="29" t="str">
        <f>IF(M1368="","",M1368-B1368)</f>
        <v/>
      </c>
      <c r="O1368" s="1" t="str">
        <f t="shared" si="109"/>
        <v>Starter</v>
      </c>
      <c r="P1368" t="str">
        <f>TEXT(B1368, "mmmm")</f>
        <v>February</v>
      </c>
      <c r="Q1368" t="str">
        <f t="shared" si="110"/>
        <v>Q1</v>
      </c>
      <c r="R1368" t="str">
        <f>IFERROR(VLOOKUP(TRIM(CLEAN(G1368)),Sheet14!$A$2:$B$19,2,FALSE),"Not Mapped")</f>
        <v>West</v>
      </c>
    </row>
    <row r="1369" spans="1:18">
      <c r="A1369" t="str">
        <f t="shared" si="108"/>
        <v>EOS1368</v>
      </c>
      <c r="B1369" s="38">
        <v>46063</v>
      </c>
      <c r="C1369" s="4" t="s">
        <v>267</v>
      </c>
      <c r="D1369" s="1" t="str">
        <f t="shared" si="111"/>
        <v>FB</v>
      </c>
      <c r="E1369" s="4" t="s">
        <v>1959</v>
      </c>
      <c r="F1369" s="1" t="s">
        <v>321</v>
      </c>
      <c r="G1369" s="4" t="s">
        <v>223</v>
      </c>
      <c r="H1369" s="1" t="s">
        <v>69</v>
      </c>
      <c r="I1369" s="1">
        <v>130000</v>
      </c>
      <c r="J1369" s="45">
        <v>1071367</v>
      </c>
      <c r="K1369" s="1" t="str">
        <f>TRIM(Cleaned_CRM_Data!H1369)</f>
        <v>Follow up</v>
      </c>
      <c r="L1369" t="str">
        <f>IFERROR(VLOOKUP(K1369, Status_Mapping!A:B, 2,), "Not Found")</f>
        <v>Follow Up</v>
      </c>
      <c r="N1369" s="29" t="str">
        <f>IF(M1369="","",M1369-B1369)</f>
        <v/>
      </c>
      <c r="O1369" s="1" t="str">
        <f t="shared" si="109"/>
        <v>Starter</v>
      </c>
      <c r="P1369" t="str">
        <f>TEXT(B1369, "mmmm")</f>
        <v>February</v>
      </c>
      <c r="Q1369" t="str">
        <f t="shared" si="110"/>
        <v>Q1</v>
      </c>
      <c r="R1369" t="str">
        <f>IFERROR(VLOOKUP(TRIM(CLEAN(G1369)),Sheet14!$A$2:$B$19,2,FALSE),"Not Mapped")</f>
        <v>West</v>
      </c>
    </row>
    <row r="1370" spans="1:18">
      <c r="A1370" t="str">
        <f t="shared" si="108"/>
        <v>EOS1369</v>
      </c>
      <c r="B1370" s="38">
        <v>46063</v>
      </c>
      <c r="C1370" s="4" t="s">
        <v>267</v>
      </c>
      <c r="D1370" s="1" t="str">
        <f t="shared" si="111"/>
        <v>FB</v>
      </c>
      <c r="E1370" s="7" t="s">
        <v>1960</v>
      </c>
      <c r="F1370" s="1" t="s">
        <v>296</v>
      </c>
      <c r="G1370" s="4" t="s">
        <v>223</v>
      </c>
      <c r="H1370" s="1" t="s">
        <v>149</v>
      </c>
      <c r="I1370" s="1">
        <v>130000</v>
      </c>
      <c r="J1370" s="45">
        <v>1071368</v>
      </c>
      <c r="K1370" s="1" t="str">
        <f>TRIM(Cleaned_CRM_Data!H1370)</f>
        <v>Rejected</v>
      </c>
      <c r="L1370" t="str">
        <f>IFERROR(VLOOKUP(K1370, Status_Mapping!A:B, 2,), "Not Found")</f>
        <v>Rejected</v>
      </c>
      <c r="N1370" s="29" t="str">
        <f>IF(M1370="","",M1370-B1370)</f>
        <v/>
      </c>
      <c r="O1370" s="1" t="str">
        <f t="shared" si="109"/>
        <v>Starter</v>
      </c>
      <c r="P1370" t="str">
        <f>TEXT(B1370, "mmmm")</f>
        <v>February</v>
      </c>
      <c r="Q1370" t="str">
        <f t="shared" si="110"/>
        <v>Q1</v>
      </c>
      <c r="R1370" t="str">
        <f>IFERROR(VLOOKUP(TRIM(CLEAN(G1370)),Sheet14!$A$2:$B$19,2,FALSE),"Not Mapped")</f>
        <v>West</v>
      </c>
    </row>
    <row r="1371" spans="1:18">
      <c r="A1371" t="str">
        <f t="shared" si="108"/>
        <v>EOS1370</v>
      </c>
      <c r="B1371" s="38">
        <v>46063</v>
      </c>
      <c r="C1371" s="4" t="s">
        <v>911</v>
      </c>
      <c r="D1371" s="4"/>
      <c r="E1371" s="7" t="s">
        <v>1961</v>
      </c>
      <c r="F1371" s="4"/>
      <c r="G1371" s="4" t="s">
        <v>223</v>
      </c>
      <c r="H1371" s="1" t="s">
        <v>69</v>
      </c>
      <c r="I1371" s="1">
        <v>130000</v>
      </c>
      <c r="J1371" s="45">
        <v>1071369</v>
      </c>
      <c r="K1371" s="1" t="str">
        <f>TRIM(Cleaned_CRM_Data!H1371)</f>
        <v>Follow up</v>
      </c>
      <c r="L1371" t="str">
        <f>IFERROR(VLOOKUP(K1371, Status_Mapping!A:B, 2,), "Not Found")</f>
        <v>Follow Up</v>
      </c>
      <c r="N1371" s="29" t="str">
        <f>IF(M1371="","",M1371-B1371)</f>
        <v/>
      </c>
      <c r="O1371" s="1" t="str">
        <f t="shared" si="109"/>
        <v>Starter</v>
      </c>
      <c r="P1371" t="str">
        <f>TEXT(B1371, "mmmm")</f>
        <v>February</v>
      </c>
      <c r="Q1371" t="str">
        <f t="shared" si="110"/>
        <v>Q1</v>
      </c>
      <c r="R1371" t="str">
        <f>IFERROR(VLOOKUP(TRIM(CLEAN(G1371)),Sheet14!$A$2:$B$19,2,FALSE),"Not Mapped")</f>
        <v>West</v>
      </c>
    </row>
    <row r="1372" spans="1:18">
      <c r="A1372" t="str">
        <f t="shared" si="108"/>
        <v>EOS1371</v>
      </c>
      <c r="B1372" s="38">
        <v>46063</v>
      </c>
      <c r="C1372" s="4" t="s">
        <v>267</v>
      </c>
      <c r="D1372" s="1" t="str">
        <f t="shared" ref="D1372:D1435" si="112">TRIM(CLEAN(SUBSTITUTE(C1372,CHAR(160),"")))</f>
        <v>FB</v>
      </c>
      <c r="E1372" s="7" t="s">
        <v>1962</v>
      </c>
      <c r="F1372" s="1" t="s">
        <v>661</v>
      </c>
      <c r="G1372" s="4" t="s">
        <v>223</v>
      </c>
      <c r="H1372" s="1" t="s">
        <v>69</v>
      </c>
      <c r="I1372" s="1">
        <v>108000</v>
      </c>
      <c r="J1372" s="45">
        <v>1071370</v>
      </c>
      <c r="K1372" s="1" t="str">
        <f>TRIM(Cleaned_CRM_Data!H1372)</f>
        <v>Follow up</v>
      </c>
      <c r="L1372" t="str">
        <f>IFERROR(VLOOKUP(K1372, Status_Mapping!A:B, 2,), "Not Found")</f>
        <v>Follow Up</v>
      </c>
      <c r="N1372" s="29" t="str">
        <f>IF(M1372="","",M1372-B1372)</f>
        <v/>
      </c>
      <c r="O1372" s="1" t="str">
        <f t="shared" si="109"/>
        <v>Starter</v>
      </c>
      <c r="P1372" t="str">
        <f>TEXT(B1372, "mmmm")</f>
        <v>February</v>
      </c>
      <c r="Q1372" t="str">
        <f t="shared" si="110"/>
        <v>Q1</v>
      </c>
      <c r="R1372" t="str">
        <f>IFERROR(VLOOKUP(TRIM(CLEAN(G1372)),Sheet14!$A$2:$B$19,2,FALSE),"Not Mapped")</f>
        <v>West</v>
      </c>
    </row>
    <row r="1373" spans="1:18">
      <c r="A1373" t="str">
        <f t="shared" si="108"/>
        <v>EOS1372</v>
      </c>
      <c r="B1373" s="38">
        <v>46063</v>
      </c>
      <c r="C1373" s="4" t="s">
        <v>267</v>
      </c>
      <c r="D1373" s="1" t="str">
        <f t="shared" si="112"/>
        <v>FB</v>
      </c>
      <c r="E1373" s="7" t="s">
        <v>1963</v>
      </c>
      <c r="F1373" s="4"/>
      <c r="G1373" s="1" t="s">
        <v>224</v>
      </c>
      <c r="H1373" s="1" t="s">
        <v>69</v>
      </c>
      <c r="I1373" s="1">
        <v>130000</v>
      </c>
      <c r="J1373" s="45">
        <v>1071371</v>
      </c>
      <c r="K1373" s="1" t="str">
        <f>TRIM(Cleaned_CRM_Data!H1373)</f>
        <v>Follow up</v>
      </c>
      <c r="L1373" t="str">
        <f>IFERROR(VLOOKUP(K1373, Status_Mapping!A:B, 2,), "Not Found")</f>
        <v>Follow Up</v>
      </c>
      <c r="N1373" s="29" t="str">
        <f>IF(M1373="","",M1373-B1373)</f>
        <v/>
      </c>
      <c r="O1373" s="1" t="str">
        <f t="shared" si="109"/>
        <v>Starter</v>
      </c>
      <c r="P1373" t="str">
        <f>TEXT(B1373, "mmmm")</f>
        <v>February</v>
      </c>
      <c r="Q1373" t="str">
        <f t="shared" si="110"/>
        <v>Q1</v>
      </c>
      <c r="R1373" t="str">
        <f>IFERROR(VLOOKUP(TRIM(CLEAN(G1373)),Sheet14!$A$2:$B$19,2,FALSE),"Not Mapped")</f>
        <v>West</v>
      </c>
    </row>
    <row r="1374" spans="1:18">
      <c r="A1374" t="str">
        <f t="shared" si="108"/>
        <v>EOS1373</v>
      </c>
      <c r="B1374" s="38">
        <v>46064</v>
      </c>
      <c r="C1374" s="4" t="s">
        <v>267</v>
      </c>
      <c r="D1374" s="1" t="str">
        <f t="shared" si="112"/>
        <v>FB</v>
      </c>
      <c r="E1374" s="4" t="s">
        <v>1964</v>
      </c>
      <c r="F1374" s="2" t="s">
        <v>304</v>
      </c>
      <c r="G1374" s="4" t="s">
        <v>223</v>
      </c>
      <c r="H1374" s="1" t="s">
        <v>69</v>
      </c>
      <c r="I1374" s="1">
        <v>130000</v>
      </c>
      <c r="J1374" s="45">
        <v>1071372</v>
      </c>
      <c r="K1374" s="1" t="str">
        <f>TRIM(Cleaned_CRM_Data!H1374)</f>
        <v>Follow up</v>
      </c>
      <c r="L1374" t="str">
        <f>IFERROR(VLOOKUP(K1374, Status_Mapping!A:B, 2,), "Not Found")</f>
        <v>Follow Up</v>
      </c>
      <c r="N1374" s="29" t="str">
        <f>IF(M1374="","",M1374-B1374)</f>
        <v/>
      </c>
      <c r="O1374" s="1" t="str">
        <f t="shared" si="109"/>
        <v>Starter</v>
      </c>
      <c r="P1374" t="str">
        <f>TEXT(B1374, "mmmm")</f>
        <v>February</v>
      </c>
      <c r="Q1374" t="str">
        <f t="shared" si="110"/>
        <v>Q1</v>
      </c>
      <c r="R1374" t="str">
        <f>IFERROR(VLOOKUP(TRIM(CLEAN(G1374)),Sheet14!$A$2:$B$19,2,FALSE),"Not Mapped")</f>
        <v>West</v>
      </c>
    </row>
    <row r="1375" spans="1:18">
      <c r="A1375" t="str">
        <f t="shared" si="108"/>
        <v>EOS1374</v>
      </c>
      <c r="B1375" s="38">
        <v>46064</v>
      </c>
      <c r="C1375" s="4" t="s">
        <v>267</v>
      </c>
      <c r="D1375" s="1" t="str">
        <f t="shared" si="112"/>
        <v>FB</v>
      </c>
      <c r="E1375" s="7" t="s">
        <v>1965</v>
      </c>
      <c r="F1375" s="4" t="s">
        <v>1966</v>
      </c>
      <c r="G1375" s="1" t="s">
        <v>224</v>
      </c>
      <c r="H1375" s="1" t="s">
        <v>69</v>
      </c>
      <c r="I1375" s="1">
        <v>130000</v>
      </c>
      <c r="J1375" s="45">
        <v>1071373</v>
      </c>
      <c r="K1375" s="1" t="str">
        <f>TRIM(Cleaned_CRM_Data!H1375)</f>
        <v>Follow up</v>
      </c>
      <c r="L1375" t="str">
        <f>IFERROR(VLOOKUP(K1375, Status_Mapping!A:B, 2,), "Not Found")</f>
        <v>Follow Up</v>
      </c>
      <c r="N1375" s="29" t="str">
        <f>IF(M1375="","",M1375-B1375)</f>
        <v/>
      </c>
      <c r="O1375" s="1" t="str">
        <f t="shared" si="109"/>
        <v>Starter</v>
      </c>
      <c r="P1375" t="str">
        <f>TEXT(B1375, "mmmm")</f>
        <v>February</v>
      </c>
      <c r="Q1375" t="str">
        <f t="shared" si="110"/>
        <v>Q1</v>
      </c>
      <c r="R1375" t="str">
        <f>IFERROR(VLOOKUP(TRIM(CLEAN(G1375)),Sheet14!$A$2:$B$19,2,FALSE),"Not Mapped")</f>
        <v>West</v>
      </c>
    </row>
    <row r="1376" spans="1:18">
      <c r="A1376" t="str">
        <f t="shared" si="108"/>
        <v>EOS1375</v>
      </c>
      <c r="B1376" s="38">
        <v>46064</v>
      </c>
      <c r="C1376" s="4" t="s">
        <v>267</v>
      </c>
      <c r="D1376" s="1" t="str">
        <f t="shared" si="112"/>
        <v>FB</v>
      </c>
      <c r="E1376" s="7" t="s">
        <v>1967</v>
      </c>
      <c r="F1376" s="4"/>
      <c r="G1376" s="4" t="s">
        <v>223</v>
      </c>
      <c r="H1376" s="1" t="s">
        <v>69</v>
      </c>
      <c r="I1376" s="1">
        <v>130000</v>
      </c>
      <c r="J1376" s="45">
        <v>1071374</v>
      </c>
      <c r="K1376" s="1" t="str">
        <f>TRIM(Cleaned_CRM_Data!H1376)</f>
        <v>Follow up</v>
      </c>
      <c r="L1376" t="str">
        <f>IFERROR(VLOOKUP(K1376, Status_Mapping!A:B, 2,), "Not Found")</f>
        <v>Follow Up</v>
      </c>
      <c r="N1376" s="29" t="str">
        <f>IF(M1376="","",M1376-B1376)</f>
        <v/>
      </c>
      <c r="O1376" s="1" t="str">
        <f t="shared" si="109"/>
        <v>Starter</v>
      </c>
      <c r="P1376" t="str">
        <f>TEXT(B1376, "mmmm")</f>
        <v>February</v>
      </c>
      <c r="Q1376" t="str">
        <f t="shared" si="110"/>
        <v>Q1</v>
      </c>
      <c r="R1376" t="str">
        <f>IFERROR(VLOOKUP(TRIM(CLEAN(G1376)),Sheet14!$A$2:$B$19,2,FALSE),"Not Mapped")</f>
        <v>West</v>
      </c>
    </row>
    <row r="1377" spans="1:18">
      <c r="A1377" t="str">
        <f t="shared" si="108"/>
        <v>EOS1376</v>
      </c>
      <c r="B1377" s="38">
        <v>46064</v>
      </c>
      <c r="C1377" s="4" t="s">
        <v>267</v>
      </c>
      <c r="D1377" s="1" t="str">
        <f t="shared" si="112"/>
        <v>FB</v>
      </c>
      <c r="E1377" s="7" t="s">
        <v>1968</v>
      </c>
      <c r="F1377" s="4"/>
      <c r="G1377" s="4" t="s">
        <v>223</v>
      </c>
      <c r="H1377" s="1" t="s">
        <v>69</v>
      </c>
      <c r="I1377" s="1">
        <v>108000</v>
      </c>
      <c r="J1377" s="45">
        <v>1071375</v>
      </c>
      <c r="K1377" s="1" t="str">
        <f>TRIM(Cleaned_CRM_Data!H1377)</f>
        <v>Follow up</v>
      </c>
      <c r="L1377" t="str">
        <f>IFERROR(VLOOKUP(K1377, Status_Mapping!A:B, 2,), "Not Found")</f>
        <v>Follow Up</v>
      </c>
      <c r="N1377" s="29" t="str">
        <f>IF(M1377="","",M1377-B1377)</f>
        <v/>
      </c>
      <c r="O1377" s="1" t="str">
        <f t="shared" si="109"/>
        <v>Starter</v>
      </c>
      <c r="P1377" t="str">
        <f>TEXT(B1377, "mmmm")</f>
        <v>February</v>
      </c>
      <c r="Q1377" t="str">
        <f t="shared" si="110"/>
        <v>Q1</v>
      </c>
      <c r="R1377" t="str">
        <f>IFERROR(VLOOKUP(TRIM(CLEAN(G1377)),Sheet14!$A$2:$B$19,2,FALSE),"Not Mapped")</f>
        <v>West</v>
      </c>
    </row>
    <row r="1378" spans="1:18">
      <c r="A1378" t="str">
        <f t="shared" si="108"/>
        <v>EOS1377</v>
      </c>
      <c r="B1378" s="38">
        <v>46064</v>
      </c>
      <c r="C1378" s="4" t="s">
        <v>267</v>
      </c>
      <c r="D1378" s="1" t="str">
        <f t="shared" si="112"/>
        <v>FB</v>
      </c>
      <c r="E1378" s="7" t="s">
        <v>1969</v>
      </c>
      <c r="F1378" s="1" t="s">
        <v>275</v>
      </c>
      <c r="G1378" s="4" t="s">
        <v>223</v>
      </c>
      <c r="H1378" s="1" t="s">
        <v>69</v>
      </c>
      <c r="I1378" s="1">
        <v>108000</v>
      </c>
      <c r="J1378" s="45">
        <v>1071376</v>
      </c>
      <c r="K1378" s="1" t="str">
        <f>TRIM(Cleaned_CRM_Data!H1378)</f>
        <v>Follow up</v>
      </c>
      <c r="L1378" t="str">
        <f>IFERROR(VLOOKUP(K1378, Status_Mapping!A:B, 2,), "Not Found")</f>
        <v>Follow Up</v>
      </c>
      <c r="N1378" s="29" t="str">
        <f>IF(M1378="","",M1378-B1378)</f>
        <v/>
      </c>
      <c r="O1378" s="1" t="str">
        <f t="shared" si="109"/>
        <v>Starter</v>
      </c>
      <c r="P1378" t="str">
        <f>TEXT(B1378, "mmmm")</f>
        <v>February</v>
      </c>
      <c r="Q1378" t="str">
        <f t="shared" si="110"/>
        <v>Q1</v>
      </c>
      <c r="R1378" t="str">
        <f>IFERROR(VLOOKUP(TRIM(CLEAN(G1378)),Sheet14!$A$2:$B$19,2,FALSE),"Not Mapped")</f>
        <v>West</v>
      </c>
    </row>
    <row r="1379" spans="1:18">
      <c r="A1379" t="str">
        <f t="shared" si="108"/>
        <v>EOS1378</v>
      </c>
      <c r="B1379" s="38">
        <v>46065</v>
      </c>
      <c r="C1379" s="4" t="s">
        <v>267</v>
      </c>
      <c r="D1379" s="1" t="str">
        <f t="shared" si="112"/>
        <v>FB</v>
      </c>
      <c r="E1379" s="2" t="s">
        <v>1970</v>
      </c>
      <c r="F1379" s="1" t="s">
        <v>275</v>
      </c>
      <c r="G1379" s="1" t="s">
        <v>224</v>
      </c>
      <c r="H1379" s="1" t="s">
        <v>69</v>
      </c>
      <c r="I1379" s="1">
        <v>130000</v>
      </c>
      <c r="J1379" s="45">
        <v>1071377</v>
      </c>
      <c r="K1379" s="1" t="str">
        <f>TRIM(Cleaned_CRM_Data!H1379)</f>
        <v>Follow up</v>
      </c>
      <c r="L1379" t="str">
        <f>IFERROR(VLOOKUP(K1379, Status_Mapping!A:B, 2,), "Not Found")</f>
        <v>Follow Up</v>
      </c>
      <c r="N1379" s="29" t="str">
        <f>IF(M1379="","",M1379-B1379)</f>
        <v/>
      </c>
      <c r="O1379" s="1" t="str">
        <f t="shared" si="109"/>
        <v>Starter</v>
      </c>
      <c r="P1379" t="str">
        <f>TEXT(B1379, "mmmm")</f>
        <v>February</v>
      </c>
      <c r="Q1379" t="str">
        <f t="shared" si="110"/>
        <v>Q1</v>
      </c>
      <c r="R1379" t="str">
        <f>IFERROR(VLOOKUP(TRIM(CLEAN(G1379)),Sheet14!$A$2:$B$19,2,FALSE),"Not Mapped")</f>
        <v>West</v>
      </c>
    </row>
    <row r="1380" spans="1:18">
      <c r="A1380" t="str">
        <f t="shared" si="108"/>
        <v>EOS1379</v>
      </c>
      <c r="B1380" s="38">
        <v>46065</v>
      </c>
      <c r="C1380" s="4" t="s">
        <v>267</v>
      </c>
      <c r="D1380" s="1" t="str">
        <f t="shared" si="112"/>
        <v>FB</v>
      </c>
      <c r="E1380" s="2" t="s">
        <v>970</v>
      </c>
      <c r="F1380" s="1" t="s">
        <v>844</v>
      </c>
      <c r="G1380" s="4" t="s">
        <v>223</v>
      </c>
      <c r="H1380" s="1" t="s">
        <v>69</v>
      </c>
      <c r="I1380" s="1">
        <v>108000</v>
      </c>
      <c r="J1380" s="45">
        <v>1071378</v>
      </c>
      <c r="K1380" s="1" t="str">
        <f>TRIM(Cleaned_CRM_Data!H1380)</f>
        <v>Follow up</v>
      </c>
      <c r="L1380" t="str">
        <f>IFERROR(VLOOKUP(K1380, Status_Mapping!A:B, 2,), "Not Found")</f>
        <v>Follow Up</v>
      </c>
      <c r="N1380" s="29" t="str">
        <f>IF(M1380="","",M1380-B1380)</f>
        <v/>
      </c>
      <c r="O1380" s="1" t="str">
        <f t="shared" si="109"/>
        <v>Starter</v>
      </c>
      <c r="P1380" t="str">
        <f>TEXT(B1380, "mmmm")</f>
        <v>February</v>
      </c>
      <c r="Q1380" t="str">
        <f t="shared" si="110"/>
        <v>Q1</v>
      </c>
      <c r="R1380" t="str">
        <f>IFERROR(VLOOKUP(TRIM(CLEAN(G1380)),Sheet14!$A$2:$B$19,2,FALSE),"Not Mapped")</f>
        <v>West</v>
      </c>
    </row>
    <row r="1381" spans="1:18">
      <c r="A1381" t="str">
        <f t="shared" si="108"/>
        <v>EOS1380</v>
      </c>
      <c r="B1381" s="38">
        <v>46065</v>
      </c>
      <c r="C1381" s="4" t="s">
        <v>267</v>
      </c>
      <c r="D1381" s="1" t="str">
        <f t="shared" si="112"/>
        <v>FB</v>
      </c>
      <c r="E1381" s="2" t="s">
        <v>1971</v>
      </c>
      <c r="F1381" s="2" t="s">
        <v>1972</v>
      </c>
      <c r="G1381" s="4" t="s">
        <v>223</v>
      </c>
      <c r="H1381" s="1" t="s">
        <v>69</v>
      </c>
      <c r="I1381" s="1">
        <v>108000</v>
      </c>
      <c r="J1381" s="45">
        <v>1071379</v>
      </c>
      <c r="K1381" s="1" t="str">
        <f>TRIM(Cleaned_CRM_Data!H1381)</f>
        <v>Follow up</v>
      </c>
      <c r="L1381" t="str">
        <f>IFERROR(VLOOKUP(K1381, Status_Mapping!A:B, 2,), "Not Found")</f>
        <v>Follow Up</v>
      </c>
      <c r="N1381" s="29" t="str">
        <f>IF(M1381="","",M1381-B1381)</f>
        <v/>
      </c>
      <c r="O1381" s="1" t="str">
        <f t="shared" si="109"/>
        <v>Starter</v>
      </c>
      <c r="P1381" t="str">
        <f>TEXT(B1381, "mmmm")</f>
        <v>February</v>
      </c>
      <c r="Q1381" t="str">
        <f t="shared" si="110"/>
        <v>Q1</v>
      </c>
      <c r="R1381" t="str">
        <f>IFERROR(VLOOKUP(TRIM(CLEAN(G1381)),Sheet14!$A$2:$B$19,2,FALSE),"Not Mapped")</f>
        <v>West</v>
      </c>
    </row>
    <row r="1382" spans="1:18">
      <c r="A1382" t="str">
        <f t="shared" si="108"/>
        <v>EOS1381</v>
      </c>
      <c r="B1382" s="38">
        <v>46065</v>
      </c>
      <c r="C1382" s="4" t="s">
        <v>267</v>
      </c>
      <c r="D1382" s="1" t="str">
        <f t="shared" si="112"/>
        <v>FB</v>
      </c>
      <c r="E1382" s="2" t="s">
        <v>1973</v>
      </c>
      <c r="F1382" s="2" t="s">
        <v>1974</v>
      </c>
      <c r="G1382" s="4" t="s">
        <v>1781</v>
      </c>
      <c r="H1382" s="4" t="s">
        <v>172</v>
      </c>
      <c r="I1382" s="1">
        <v>108000</v>
      </c>
      <c r="J1382" s="45">
        <v>1071380</v>
      </c>
      <c r="K1382" s="1" t="str">
        <f>TRIM(Cleaned_CRM_Data!H1382)</f>
        <v>Ringing</v>
      </c>
      <c r="L1382" t="str">
        <f>IFERROR(VLOOKUP(K1382, Status_Mapping!A:B, 2,), "Not Found")</f>
        <v>Follow Up</v>
      </c>
      <c r="N1382" s="29" t="str">
        <f>IF(M1382="","",M1382-B1382)</f>
        <v/>
      </c>
      <c r="O1382" s="1" t="str">
        <f t="shared" si="109"/>
        <v>Starter</v>
      </c>
      <c r="P1382" t="str">
        <f>TEXT(B1382, "mmmm")</f>
        <v>February</v>
      </c>
      <c r="Q1382" t="str">
        <f t="shared" si="110"/>
        <v>Q1</v>
      </c>
      <c r="R1382" t="str">
        <f>IFERROR(VLOOKUP(TRIM(CLEAN(G1382)),Sheet14!$A$2:$B$19,2,FALSE),"Not Mapped")</f>
        <v>North</v>
      </c>
    </row>
    <row r="1383" spans="1:18">
      <c r="A1383" t="str">
        <f t="shared" si="108"/>
        <v>EOS1382</v>
      </c>
      <c r="B1383" s="38">
        <v>46065</v>
      </c>
      <c r="C1383" s="4" t="s">
        <v>1765</v>
      </c>
      <c r="D1383" s="1" t="str">
        <f t="shared" si="112"/>
        <v>FB</v>
      </c>
      <c r="E1383" s="2" t="s">
        <v>1975</v>
      </c>
      <c r="F1383" s="1" t="s">
        <v>300</v>
      </c>
      <c r="G1383" s="4" t="s">
        <v>223</v>
      </c>
      <c r="H1383" s="1" t="s">
        <v>69</v>
      </c>
      <c r="I1383" s="1">
        <v>108000</v>
      </c>
      <c r="J1383" s="45">
        <v>1071381</v>
      </c>
      <c r="K1383" s="1" t="str">
        <f>TRIM(Cleaned_CRM_Data!H1383)</f>
        <v>Follow up</v>
      </c>
      <c r="L1383" t="str">
        <f>IFERROR(VLOOKUP(K1383, Status_Mapping!A:B, 2,), "Not Found")</f>
        <v>Follow Up</v>
      </c>
      <c r="N1383" s="29" t="str">
        <f>IF(M1383="","",M1383-B1383)</f>
        <v/>
      </c>
      <c r="O1383" s="1" t="str">
        <f t="shared" si="109"/>
        <v>Starter</v>
      </c>
      <c r="P1383" t="str">
        <f>TEXT(B1383, "mmmm")</f>
        <v>February</v>
      </c>
      <c r="Q1383" t="str">
        <f t="shared" si="110"/>
        <v>Q1</v>
      </c>
      <c r="R1383" t="str">
        <f>IFERROR(VLOOKUP(TRIM(CLEAN(G1383)),Sheet14!$A$2:$B$19,2,FALSE),"Not Mapped")</f>
        <v>West</v>
      </c>
    </row>
    <row r="1384" spans="1:18">
      <c r="A1384" t="str">
        <f t="shared" si="108"/>
        <v>EOS1383</v>
      </c>
      <c r="B1384" s="38">
        <v>46065</v>
      </c>
      <c r="C1384" s="4" t="s">
        <v>267</v>
      </c>
      <c r="D1384" s="1" t="str">
        <f t="shared" si="112"/>
        <v>FB</v>
      </c>
      <c r="E1384" s="2" t="s">
        <v>1976</v>
      </c>
      <c r="F1384" s="1" t="s">
        <v>300</v>
      </c>
      <c r="G1384" s="4" t="s">
        <v>223</v>
      </c>
      <c r="H1384" s="1" t="s">
        <v>149</v>
      </c>
      <c r="I1384" s="1">
        <v>108000</v>
      </c>
      <c r="J1384" s="45">
        <v>1071382</v>
      </c>
      <c r="K1384" s="1" t="str">
        <f>TRIM(Cleaned_CRM_Data!H1384)</f>
        <v>Rejected</v>
      </c>
      <c r="L1384" t="str">
        <f>IFERROR(VLOOKUP(K1384, Status_Mapping!A:B, 2,), "Not Found")</f>
        <v>Rejected</v>
      </c>
      <c r="N1384" s="29" t="str">
        <f>IF(M1384="","",M1384-B1384)</f>
        <v/>
      </c>
      <c r="O1384" s="1" t="str">
        <f t="shared" si="109"/>
        <v>Starter</v>
      </c>
      <c r="P1384" t="str">
        <f>TEXT(B1384, "mmmm")</f>
        <v>February</v>
      </c>
      <c r="Q1384" t="str">
        <f t="shared" si="110"/>
        <v>Q1</v>
      </c>
      <c r="R1384" t="str">
        <f>IFERROR(VLOOKUP(TRIM(CLEAN(G1384)),Sheet14!$A$2:$B$19,2,FALSE),"Not Mapped")</f>
        <v>West</v>
      </c>
    </row>
    <row r="1385" spans="1:18">
      <c r="A1385" t="str">
        <f t="shared" si="108"/>
        <v>EOS1384</v>
      </c>
      <c r="B1385" s="38">
        <v>46065</v>
      </c>
      <c r="C1385" s="4" t="s">
        <v>1765</v>
      </c>
      <c r="D1385" s="1" t="str">
        <f t="shared" si="112"/>
        <v>FB</v>
      </c>
      <c r="E1385" s="2" t="s">
        <v>1977</v>
      </c>
      <c r="F1385" s="2" t="s">
        <v>313</v>
      </c>
      <c r="G1385" s="4" t="s">
        <v>223</v>
      </c>
      <c r="H1385" s="1" t="s">
        <v>69</v>
      </c>
      <c r="I1385" s="1">
        <v>108000</v>
      </c>
      <c r="J1385" s="45">
        <v>1071383</v>
      </c>
      <c r="K1385" s="1" t="str">
        <f>TRIM(Cleaned_CRM_Data!H1385)</f>
        <v>Follow up</v>
      </c>
      <c r="L1385" t="str">
        <f>IFERROR(VLOOKUP(K1385, Status_Mapping!A:B, 2,), "Not Found")</f>
        <v>Follow Up</v>
      </c>
      <c r="N1385" s="29" t="str">
        <f>IF(M1385="","",M1385-B1385)</f>
        <v/>
      </c>
      <c r="O1385" s="1" t="str">
        <f t="shared" si="109"/>
        <v>Starter</v>
      </c>
      <c r="P1385" t="str">
        <f>TEXT(B1385, "mmmm")</f>
        <v>February</v>
      </c>
      <c r="Q1385" t="str">
        <f t="shared" si="110"/>
        <v>Q1</v>
      </c>
      <c r="R1385" t="str">
        <f>IFERROR(VLOOKUP(TRIM(CLEAN(G1385)),Sheet14!$A$2:$B$19,2,FALSE),"Not Mapped")</f>
        <v>West</v>
      </c>
    </row>
    <row r="1386" spans="1:18">
      <c r="A1386" t="str">
        <f t="shared" si="108"/>
        <v>EOS1385</v>
      </c>
      <c r="B1386" s="38">
        <v>46065</v>
      </c>
      <c r="C1386" s="4" t="s">
        <v>267</v>
      </c>
      <c r="D1386" s="1" t="str">
        <f t="shared" si="112"/>
        <v>FB</v>
      </c>
      <c r="E1386" s="2" t="s">
        <v>1978</v>
      </c>
      <c r="F1386" s="2" t="s">
        <v>1979</v>
      </c>
      <c r="G1386" s="4" t="s">
        <v>223</v>
      </c>
      <c r="H1386" s="4" t="s">
        <v>172</v>
      </c>
      <c r="I1386" s="1">
        <v>130000</v>
      </c>
      <c r="J1386" s="45">
        <v>1071384</v>
      </c>
      <c r="K1386" s="1" t="str">
        <f>TRIM(Cleaned_CRM_Data!H1386)</f>
        <v>Ringing</v>
      </c>
      <c r="L1386" t="str">
        <f>IFERROR(VLOOKUP(K1386, Status_Mapping!A:B, 2,), "Not Found")</f>
        <v>Follow Up</v>
      </c>
      <c r="N1386" s="29" t="str">
        <f>IF(M1386="","",M1386-B1386)</f>
        <v/>
      </c>
      <c r="O1386" s="1" t="str">
        <f t="shared" si="109"/>
        <v>Starter</v>
      </c>
      <c r="P1386" t="str">
        <f>TEXT(B1386, "mmmm")</f>
        <v>February</v>
      </c>
      <c r="Q1386" t="str">
        <f t="shared" si="110"/>
        <v>Q1</v>
      </c>
      <c r="R1386" t="str">
        <f>IFERROR(VLOOKUP(TRIM(CLEAN(G1386)),Sheet14!$A$2:$B$19,2,FALSE),"Not Mapped")</f>
        <v>West</v>
      </c>
    </row>
    <row r="1387" spans="1:18">
      <c r="A1387" t="str">
        <f t="shared" si="108"/>
        <v>EOS1386</v>
      </c>
      <c r="B1387" s="38">
        <v>46065</v>
      </c>
      <c r="C1387" s="4" t="s">
        <v>1765</v>
      </c>
      <c r="D1387" s="1" t="str">
        <f t="shared" si="112"/>
        <v>FB</v>
      </c>
      <c r="E1387" s="2" t="s">
        <v>1980</v>
      </c>
      <c r="F1387" s="4" t="s">
        <v>1336</v>
      </c>
      <c r="G1387" s="1" t="s">
        <v>224</v>
      </c>
      <c r="H1387" s="1" t="s">
        <v>69</v>
      </c>
      <c r="I1387" s="1">
        <v>130000</v>
      </c>
      <c r="J1387" s="45">
        <v>1071385</v>
      </c>
      <c r="K1387" s="1" t="str">
        <f>TRIM(Cleaned_CRM_Data!H1387)</f>
        <v>Follow up</v>
      </c>
      <c r="L1387" t="str">
        <f>IFERROR(VLOOKUP(K1387, Status_Mapping!A:B, 2,), "Not Found")</f>
        <v>Follow Up</v>
      </c>
      <c r="N1387" s="29" t="str">
        <f>IF(M1387="","",M1387-B1387)</f>
        <v/>
      </c>
      <c r="O1387" s="1" t="str">
        <f t="shared" si="109"/>
        <v>Starter</v>
      </c>
      <c r="P1387" t="str">
        <f>TEXT(B1387, "mmmm")</f>
        <v>February</v>
      </c>
      <c r="Q1387" t="str">
        <f t="shared" si="110"/>
        <v>Q1</v>
      </c>
      <c r="R1387" t="str">
        <f>IFERROR(VLOOKUP(TRIM(CLEAN(G1387)),Sheet14!$A$2:$B$19,2,FALSE),"Not Mapped")</f>
        <v>West</v>
      </c>
    </row>
    <row r="1388" spans="1:18">
      <c r="A1388" t="str">
        <f t="shared" si="108"/>
        <v>EOS1387</v>
      </c>
      <c r="B1388" s="38">
        <v>46065</v>
      </c>
      <c r="C1388" s="4" t="s">
        <v>267</v>
      </c>
      <c r="D1388" s="1" t="str">
        <f t="shared" si="112"/>
        <v>FB</v>
      </c>
      <c r="E1388" s="2" t="s">
        <v>1981</v>
      </c>
      <c r="F1388" s="2" t="s">
        <v>1982</v>
      </c>
      <c r="G1388" s="2" t="s">
        <v>215</v>
      </c>
      <c r="H1388" s="1" t="s">
        <v>149</v>
      </c>
      <c r="I1388" s="1">
        <v>130000</v>
      </c>
      <c r="J1388" s="45">
        <v>1071386</v>
      </c>
      <c r="K1388" s="1" t="str">
        <f>TRIM(Cleaned_CRM_Data!H1388)</f>
        <v>Rejected</v>
      </c>
      <c r="L1388" t="str">
        <f>IFERROR(VLOOKUP(K1388, Status_Mapping!A:B, 2,), "Not Found")</f>
        <v>Rejected</v>
      </c>
      <c r="N1388" s="29" t="str">
        <f>IF(M1388="","",M1388-B1388)</f>
        <v/>
      </c>
      <c r="O1388" s="1" t="str">
        <f t="shared" si="109"/>
        <v>Starter</v>
      </c>
      <c r="P1388" t="str">
        <f>TEXT(B1388, "mmmm")</f>
        <v>February</v>
      </c>
      <c r="Q1388" t="str">
        <f t="shared" si="110"/>
        <v>Q1</v>
      </c>
      <c r="R1388" t="str">
        <f>IFERROR(VLOOKUP(TRIM(CLEAN(G1388)),Sheet14!$A$2:$B$19,2,FALSE),"Not Mapped")</f>
        <v>East</v>
      </c>
    </row>
    <row r="1389" spans="1:18">
      <c r="A1389" t="str">
        <f t="shared" si="108"/>
        <v>EOS1388</v>
      </c>
      <c r="B1389" s="38">
        <v>46065</v>
      </c>
      <c r="C1389" s="4" t="s">
        <v>1765</v>
      </c>
      <c r="D1389" s="1" t="str">
        <f t="shared" si="112"/>
        <v>FB</v>
      </c>
      <c r="E1389" s="2" t="s">
        <v>1983</v>
      </c>
      <c r="F1389" s="2" t="s">
        <v>1984</v>
      </c>
      <c r="G1389" s="2" t="s">
        <v>610</v>
      </c>
      <c r="H1389" s="1" t="s">
        <v>149</v>
      </c>
      <c r="I1389" s="1">
        <v>108000</v>
      </c>
      <c r="J1389" s="45">
        <v>1071387</v>
      </c>
      <c r="K1389" s="1" t="str">
        <f>TRIM(Cleaned_CRM_Data!H1389)</f>
        <v>Rejected</v>
      </c>
      <c r="L1389" t="str">
        <f>IFERROR(VLOOKUP(K1389, Status_Mapping!A:B, 2,), "Not Found")</f>
        <v>Rejected</v>
      </c>
      <c r="N1389" s="29" t="str">
        <f>IF(M1389="","",M1389-B1389)</f>
        <v/>
      </c>
      <c r="O1389" s="1" t="str">
        <f t="shared" si="109"/>
        <v>Starter</v>
      </c>
      <c r="P1389" t="str">
        <f>TEXT(B1389, "mmmm")</f>
        <v>February</v>
      </c>
      <c r="Q1389" t="str">
        <f t="shared" si="110"/>
        <v>Q1</v>
      </c>
      <c r="R1389" t="str">
        <f>IFERROR(VLOOKUP(TRIM(CLEAN(G1389)),Sheet14!$A$2:$B$19,2,FALSE),"Not Mapped")</f>
        <v>East</v>
      </c>
    </row>
    <row r="1390" spans="1:18">
      <c r="A1390" t="str">
        <f t="shared" si="108"/>
        <v>EOS1389</v>
      </c>
      <c r="B1390" s="38">
        <v>46065</v>
      </c>
      <c r="C1390" s="4" t="s">
        <v>1765</v>
      </c>
      <c r="D1390" s="1" t="str">
        <f t="shared" si="112"/>
        <v>FB</v>
      </c>
      <c r="E1390" s="2" t="s">
        <v>1985</v>
      </c>
      <c r="F1390" s="2" t="s">
        <v>298</v>
      </c>
      <c r="G1390" s="1" t="s">
        <v>224</v>
      </c>
      <c r="H1390" s="1" t="s">
        <v>69</v>
      </c>
      <c r="I1390" s="1">
        <v>130000</v>
      </c>
      <c r="J1390" s="45">
        <v>1071388</v>
      </c>
      <c r="K1390" s="1" t="str">
        <f>TRIM(Cleaned_CRM_Data!H1390)</f>
        <v>Follow up</v>
      </c>
      <c r="L1390" t="str">
        <f>IFERROR(VLOOKUP(K1390, Status_Mapping!A:B, 2,), "Not Found")</f>
        <v>Follow Up</v>
      </c>
      <c r="N1390" s="29" t="str">
        <f>IF(M1390="","",M1390-B1390)</f>
        <v/>
      </c>
      <c r="O1390" s="1" t="str">
        <f t="shared" si="109"/>
        <v>Starter</v>
      </c>
      <c r="P1390" t="str">
        <f>TEXT(B1390, "mmmm")</f>
        <v>February</v>
      </c>
      <c r="Q1390" t="str">
        <f t="shared" si="110"/>
        <v>Q1</v>
      </c>
      <c r="R1390" t="str">
        <f>IFERROR(VLOOKUP(TRIM(CLEAN(G1390)),Sheet14!$A$2:$B$19,2,FALSE),"Not Mapped")</f>
        <v>West</v>
      </c>
    </row>
    <row r="1391" spans="1:18">
      <c r="A1391" t="str">
        <f t="shared" si="108"/>
        <v>EOS1390</v>
      </c>
      <c r="B1391" s="38">
        <v>46065</v>
      </c>
      <c r="C1391" s="4" t="s">
        <v>267</v>
      </c>
      <c r="D1391" s="1" t="str">
        <f t="shared" si="112"/>
        <v>FB</v>
      </c>
      <c r="E1391" s="2" t="s">
        <v>1986</v>
      </c>
      <c r="F1391" s="2" t="s">
        <v>304</v>
      </c>
      <c r="G1391" s="1" t="s">
        <v>224</v>
      </c>
      <c r="H1391" s="1" t="s">
        <v>69</v>
      </c>
      <c r="I1391" s="1">
        <v>130000</v>
      </c>
      <c r="J1391" s="45">
        <v>1071389</v>
      </c>
      <c r="K1391" s="1" t="str">
        <f>TRIM(Cleaned_CRM_Data!H1391)</f>
        <v>Follow up</v>
      </c>
      <c r="L1391" t="str">
        <f>IFERROR(VLOOKUP(K1391, Status_Mapping!A:B, 2,), "Not Found")</f>
        <v>Follow Up</v>
      </c>
      <c r="N1391" s="29" t="str">
        <f>IF(M1391="","",M1391-B1391)</f>
        <v/>
      </c>
      <c r="O1391" s="1" t="str">
        <f t="shared" si="109"/>
        <v>Starter</v>
      </c>
      <c r="P1391" t="str">
        <f>TEXT(B1391, "mmmm")</f>
        <v>February</v>
      </c>
      <c r="Q1391" t="str">
        <f t="shared" si="110"/>
        <v>Q1</v>
      </c>
      <c r="R1391" t="str">
        <f>IFERROR(VLOOKUP(TRIM(CLEAN(G1391)),Sheet14!$A$2:$B$19,2,FALSE),"Not Mapped")</f>
        <v>West</v>
      </c>
    </row>
    <row r="1392" spans="1:18">
      <c r="A1392" t="str">
        <f t="shared" si="108"/>
        <v>EOS1391</v>
      </c>
      <c r="B1392" s="38">
        <v>46066</v>
      </c>
      <c r="C1392" s="4" t="s">
        <v>267</v>
      </c>
      <c r="D1392" s="1" t="str">
        <f t="shared" si="112"/>
        <v>FB</v>
      </c>
      <c r="E1392" s="2" t="s">
        <v>1407</v>
      </c>
      <c r="F1392" s="1" t="s">
        <v>321</v>
      </c>
      <c r="G1392" s="1" t="s">
        <v>224</v>
      </c>
      <c r="H1392" s="1" t="s">
        <v>69</v>
      </c>
      <c r="I1392" s="1">
        <v>108000</v>
      </c>
      <c r="J1392" s="45">
        <v>1071390</v>
      </c>
      <c r="K1392" s="1" t="str">
        <f>TRIM(Cleaned_CRM_Data!H1392)</f>
        <v>Follow up</v>
      </c>
      <c r="L1392" t="str">
        <f>IFERROR(VLOOKUP(K1392, Status_Mapping!A:B, 2,), "Not Found")</f>
        <v>Follow Up</v>
      </c>
      <c r="N1392" s="29" t="str">
        <f>IF(M1392="","",M1392-B1392)</f>
        <v/>
      </c>
      <c r="O1392" s="1" t="str">
        <f t="shared" si="109"/>
        <v>Starter</v>
      </c>
      <c r="P1392" t="str">
        <f>TEXT(B1392, "mmmm")</f>
        <v>February</v>
      </c>
      <c r="Q1392" t="str">
        <f t="shared" si="110"/>
        <v>Q1</v>
      </c>
      <c r="R1392" t="str">
        <f>IFERROR(VLOOKUP(TRIM(CLEAN(G1392)),Sheet14!$A$2:$B$19,2,FALSE),"Not Mapped")</f>
        <v>West</v>
      </c>
    </row>
    <row r="1393" spans="1:18">
      <c r="A1393" t="str">
        <f t="shared" si="108"/>
        <v>EOS1392</v>
      </c>
      <c r="B1393" s="38">
        <v>46066</v>
      </c>
      <c r="C1393" s="4" t="s">
        <v>267</v>
      </c>
      <c r="D1393" s="1" t="str">
        <f t="shared" si="112"/>
        <v>FB</v>
      </c>
      <c r="E1393" s="2" t="s">
        <v>1987</v>
      </c>
      <c r="F1393" s="1" t="s">
        <v>350</v>
      </c>
      <c r="G1393" s="1" t="s">
        <v>224</v>
      </c>
      <c r="H1393" s="1" t="s">
        <v>69</v>
      </c>
      <c r="I1393" s="1">
        <v>108000</v>
      </c>
      <c r="J1393" s="45">
        <v>1071391</v>
      </c>
      <c r="K1393" s="1" t="str">
        <f>TRIM(Cleaned_CRM_Data!H1393)</f>
        <v>Follow up</v>
      </c>
      <c r="L1393" t="str">
        <f>IFERROR(VLOOKUP(K1393, Status_Mapping!A:B, 2,), "Not Found")</f>
        <v>Follow Up</v>
      </c>
      <c r="N1393" s="29" t="str">
        <f>IF(M1393="","",M1393-B1393)</f>
        <v/>
      </c>
      <c r="O1393" s="1" t="str">
        <f t="shared" si="109"/>
        <v>Starter</v>
      </c>
      <c r="P1393" t="str">
        <f>TEXT(B1393, "mmmm")</f>
        <v>February</v>
      </c>
      <c r="Q1393" t="str">
        <f t="shared" si="110"/>
        <v>Q1</v>
      </c>
      <c r="R1393" t="str">
        <f>IFERROR(VLOOKUP(TRIM(CLEAN(G1393)),Sheet14!$A$2:$B$19,2,FALSE),"Not Mapped")</f>
        <v>West</v>
      </c>
    </row>
    <row r="1394" spans="1:18">
      <c r="A1394" t="str">
        <f t="shared" si="108"/>
        <v>EOS1393</v>
      </c>
      <c r="B1394" s="38">
        <v>46066</v>
      </c>
      <c r="C1394" s="4" t="s">
        <v>267</v>
      </c>
      <c r="D1394" s="1" t="str">
        <f t="shared" si="112"/>
        <v>FB</v>
      </c>
      <c r="E1394" s="2" t="s">
        <v>1817</v>
      </c>
      <c r="F1394" s="1" t="s">
        <v>275</v>
      </c>
      <c r="G1394" s="1" t="s">
        <v>224</v>
      </c>
      <c r="H1394" s="1" t="s">
        <v>69</v>
      </c>
      <c r="I1394" s="1">
        <v>108000</v>
      </c>
      <c r="J1394" s="45">
        <v>1071392</v>
      </c>
      <c r="K1394" s="1" t="str">
        <f>TRIM(Cleaned_CRM_Data!H1394)</f>
        <v>Follow up</v>
      </c>
      <c r="L1394" t="str">
        <f>IFERROR(VLOOKUP(K1394, Status_Mapping!A:B, 2,), "Not Found")</f>
        <v>Follow Up</v>
      </c>
      <c r="N1394" s="29" t="str">
        <f>IF(M1394="","",M1394-B1394)</f>
        <v/>
      </c>
      <c r="O1394" s="1" t="str">
        <f t="shared" si="109"/>
        <v>Starter</v>
      </c>
      <c r="P1394" t="str">
        <f>TEXT(B1394, "mmmm")</f>
        <v>February</v>
      </c>
      <c r="Q1394" t="str">
        <f t="shared" si="110"/>
        <v>Q1</v>
      </c>
      <c r="R1394" t="str">
        <f>IFERROR(VLOOKUP(TRIM(CLEAN(G1394)),Sheet14!$A$2:$B$19,2,FALSE),"Not Mapped")</f>
        <v>West</v>
      </c>
    </row>
    <row r="1395" spans="1:18">
      <c r="A1395" t="str">
        <f t="shared" si="108"/>
        <v>EOS1394</v>
      </c>
      <c r="B1395" s="38">
        <v>46066</v>
      </c>
      <c r="C1395" s="4" t="s">
        <v>267</v>
      </c>
      <c r="D1395" s="1" t="str">
        <f t="shared" si="112"/>
        <v>FB</v>
      </c>
      <c r="E1395" s="2" t="s">
        <v>1988</v>
      </c>
      <c r="F1395" s="4"/>
      <c r="G1395" s="1" t="s">
        <v>224</v>
      </c>
      <c r="H1395" s="1" t="s">
        <v>69</v>
      </c>
      <c r="I1395" s="1">
        <v>130000</v>
      </c>
      <c r="J1395" s="45">
        <v>1071393</v>
      </c>
      <c r="K1395" s="1" t="str">
        <f>TRIM(Cleaned_CRM_Data!H1395)</f>
        <v>Follow up</v>
      </c>
      <c r="L1395" t="str">
        <f>IFERROR(VLOOKUP(K1395, Status_Mapping!A:B, 2,), "Not Found")</f>
        <v>Follow Up</v>
      </c>
      <c r="N1395" s="29" t="str">
        <f>IF(M1395="","",M1395-B1395)</f>
        <v/>
      </c>
      <c r="O1395" s="1" t="str">
        <f t="shared" si="109"/>
        <v>Starter</v>
      </c>
      <c r="P1395" t="str">
        <f>TEXT(B1395, "mmmm")</f>
        <v>February</v>
      </c>
      <c r="Q1395" t="str">
        <f t="shared" si="110"/>
        <v>Q1</v>
      </c>
      <c r="R1395" t="str">
        <f>IFERROR(VLOOKUP(TRIM(CLEAN(G1395)),Sheet14!$A$2:$B$19,2,FALSE),"Not Mapped")</f>
        <v>West</v>
      </c>
    </row>
    <row r="1396" spans="1:18">
      <c r="A1396" t="str">
        <f t="shared" si="108"/>
        <v>EOS1395</v>
      </c>
      <c r="B1396" s="38">
        <v>46066</v>
      </c>
      <c r="C1396" s="4" t="s">
        <v>267</v>
      </c>
      <c r="D1396" s="1" t="str">
        <f t="shared" si="112"/>
        <v>FB</v>
      </c>
      <c r="E1396" s="2" t="s">
        <v>1989</v>
      </c>
      <c r="F1396" s="1" t="s">
        <v>354</v>
      </c>
      <c r="G1396" s="1" t="s">
        <v>224</v>
      </c>
      <c r="H1396" s="1" t="s">
        <v>69</v>
      </c>
      <c r="I1396" s="1">
        <v>130000</v>
      </c>
      <c r="J1396" s="45">
        <v>1071394</v>
      </c>
      <c r="K1396" s="1" t="str">
        <f>TRIM(Cleaned_CRM_Data!H1396)</f>
        <v>Follow up</v>
      </c>
      <c r="L1396" t="str">
        <f>IFERROR(VLOOKUP(K1396, Status_Mapping!A:B, 2,), "Not Found")</f>
        <v>Follow Up</v>
      </c>
      <c r="N1396" s="29" t="str">
        <f>IF(M1396="","",M1396-B1396)</f>
        <v/>
      </c>
      <c r="O1396" s="1" t="str">
        <f t="shared" si="109"/>
        <v>Starter</v>
      </c>
      <c r="P1396" t="str">
        <f>TEXT(B1396, "mmmm")</f>
        <v>February</v>
      </c>
      <c r="Q1396" t="str">
        <f t="shared" si="110"/>
        <v>Q1</v>
      </c>
      <c r="R1396" t="str">
        <f>IFERROR(VLOOKUP(TRIM(CLEAN(G1396)),Sheet14!$A$2:$B$19,2,FALSE),"Not Mapped")</f>
        <v>West</v>
      </c>
    </row>
    <row r="1397" spans="1:18">
      <c r="A1397" t="str">
        <f t="shared" si="108"/>
        <v>EOS1396</v>
      </c>
      <c r="B1397" s="38">
        <v>46067</v>
      </c>
      <c r="C1397" s="4" t="s">
        <v>267</v>
      </c>
      <c r="D1397" s="1" t="str">
        <f t="shared" si="112"/>
        <v>FB</v>
      </c>
      <c r="E1397" s="2" t="s">
        <v>1990</v>
      </c>
      <c r="F1397" s="2" t="s">
        <v>1991</v>
      </c>
      <c r="G1397" s="1" t="s">
        <v>224</v>
      </c>
      <c r="H1397" s="1" t="s">
        <v>69</v>
      </c>
      <c r="I1397" s="1">
        <v>130000</v>
      </c>
      <c r="J1397" s="45">
        <v>1071395</v>
      </c>
      <c r="K1397" s="1" t="str">
        <f>TRIM(Cleaned_CRM_Data!H1397)</f>
        <v>Follow up</v>
      </c>
      <c r="L1397" t="str">
        <f>IFERROR(VLOOKUP(K1397, Status_Mapping!A:B, 2,), "Not Found")</f>
        <v>Follow Up</v>
      </c>
      <c r="N1397" s="29" t="str">
        <f>IF(M1397="","",M1397-B1397)</f>
        <v/>
      </c>
      <c r="O1397" s="1" t="str">
        <f t="shared" si="109"/>
        <v>Starter</v>
      </c>
      <c r="P1397" t="str">
        <f>TEXT(B1397, "mmmm")</f>
        <v>February</v>
      </c>
      <c r="Q1397" t="str">
        <f t="shared" si="110"/>
        <v>Q1</v>
      </c>
      <c r="R1397" t="str">
        <f>IFERROR(VLOOKUP(TRIM(CLEAN(G1397)),Sheet14!$A$2:$B$19,2,FALSE),"Not Mapped")</f>
        <v>West</v>
      </c>
    </row>
    <row r="1398" spans="1:18">
      <c r="A1398" t="str">
        <f t="shared" si="108"/>
        <v>EOS1397</v>
      </c>
      <c r="B1398" s="38">
        <v>46067</v>
      </c>
      <c r="C1398" s="4" t="s">
        <v>267</v>
      </c>
      <c r="D1398" s="1" t="str">
        <f t="shared" si="112"/>
        <v>FB</v>
      </c>
      <c r="E1398" s="2" t="s">
        <v>1992</v>
      </c>
      <c r="F1398" s="2" t="s">
        <v>578</v>
      </c>
      <c r="G1398" s="4" t="s">
        <v>1781</v>
      </c>
      <c r="H1398" s="1" t="s">
        <v>69</v>
      </c>
      <c r="I1398" s="1">
        <v>177000</v>
      </c>
      <c r="J1398" s="45">
        <v>1071396</v>
      </c>
      <c r="K1398" s="1" t="str">
        <f>TRIM(Cleaned_CRM_Data!H1398)</f>
        <v>Follow up</v>
      </c>
      <c r="L1398" t="str">
        <f>IFERROR(VLOOKUP(K1398, Status_Mapping!A:B, 2,), "Not Found")</f>
        <v>Follow Up</v>
      </c>
      <c r="N1398" s="29" t="str">
        <f>IF(M1398="","",M1398-B1398)</f>
        <v/>
      </c>
      <c r="O1398" s="1" t="str">
        <f t="shared" si="109"/>
        <v>Growth</v>
      </c>
      <c r="P1398" t="str">
        <f>TEXT(B1398, "mmmm")</f>
        <v>February</v>
      </c>
      <c r="Q1398" t="str">
        <f t="shared" si="110"/>
        <v>Q1</v>
      </c>
      <c r="R1398" t="str">
        <f>IFERROR(VLOOKUP(TRIM(CLEAN(G1398)),Sheet14!$A$2:$B$19,2,FALSE),"Not Mapped")</f>
        <v>North</v>
      </c>
    </row>
    <row r="1399" spans="1:18">
      <c r="A1399" t="str">
        <f t="shared" si="108"/>
        <v>EOS1398</v>
      </c>
      <c r="B1399" s="38">
        <v>46067</v>
      </c>
      <c r="C1399" s="4" t="s">
        <v>267</v>
      </c>
      <c r="D1399" s="1" t="str">
        <f t="shared" si="112"/>
        <v>FB</v>
      </c>
      <c r="E1399" s="2" t="s">
        <v>1993</v>
      </c>
      <c r="F1399" s="2" t="s">
        <v>366</v>
      </c>
      <c r="G1399" s="4" t="s">
        <v>1781</v>
      </c>
      <c r="H1399" s="1" t="s">
        <v>69</v>
      </c>
      <c r="I1399" s="1">
        <v>130000</v>
      </c>
      <c r="J1399" s="45">
        <v>1071397</v>
      </c>
      <c r="K1399" s="1" t="str">
        <f>TRIM(Cleaned_CRM_Data!H1399)</f>
        <v>Follow up</v>
      </c>
      <c r="L1399" t="str">
        <f>IFERROR(VLOOKUP(K1399, Status_Mapping!A:B, 2,), "Not Found")</f>
        <v>Follow Up</v>
      </c>
      <c r="N1399" s="29" t="str">
        <f>IF(M1399="","",M1399-B1399)</f>
        <v/>
      </c>
      <c r="O1399" s="1" t="str">
        <f t="shared" si="109"/>
        <v>Starter</v>
      </c>
      <c r="P1399" t="str">
        <f>TEXT(B1399, "mmmm")</f>
        <v>February</v>
      </c>
      <c r="Q1399" t="str">
        <f t="shared" si="110"/>
        <v>Q1</v>
      </c>
      <c r="R1399" t="str">
        <f>IFERROR(VLOOKUP(TRIM(CLEAN(G1399)),Sheet14!$A$2:$B$19,2,FALSE),"Not Mapped")</f>
        <v>North</v>
      </c>
    </row>
    <row r="1400" spans="1:18">
      <c r="A1400" t="str">
        <f t="shared" si="108"/>
        <v>EOS1399</v>
      </c>
      <c r="B1400" s="38">
        <v>46067</v>
      </c>
      <c r="C1400" s="4" t="s">
        <v>267</v>
      </c>
      <c r="D1400" s="1" t="str">
        <f t="shared" si="112"/>
        <v>FB</v>
      </c>
      <c r="E1400" s="2" t="s">
        <v>1994</v>
      </c>
      <c r="F1400" s="1" t="s">
        <v>350</v>
      </c>
      <c r="G1400" s="2" t="s">
        <v>223</v>
      </c>
      <c r="H1400" s="4" t="s">
        <v>150</v>
      </c>
      <c r="I1400" s="1">
        <v>108000</v>
      </c>
      <c r="J1400" s="45">
        <v>1071398</v>
      </c>
      <c r="K1400" s="1" t="str">
        <f>TRIM(Cleaned_CRM_Data!H1400)</f>
        <v>Rejected</v>
      </c>
      <c r="L1400" t="str">
        <f>IFERROR(VLOOKUP(K1400, Status_Mapping!A:B, 2,), "Not Found")</f>
        <v>Rejected</v>
      </c>
      <c r="N1400" s="29" t="str">
        <f>IF(M1400="","",M1400-B1400)</f>
        <v/>
      </c>
      <c r="O1400" s="1" t="str">
        <f t="shared" si="109"/>
        <v>Starter</v>
      </c>
      <c r="P1400" t="str">
        <f>TEXT(B1400, "mmmm")</f>
        <v>February</v>
      </c>
      <c r="Q1400" t="str">
        <f t="shared" si="110"/>
        <v>Q1</v>
      </c>
      <c r="R1400" t="str">
        <f>IFERROR(VLOOKUP(TRIM(CLEAN(G1400)),Sheet14!$A$2:$B$19,2,FALSE),"Not Mapped")</f>
        <v>West</v>
      </c>
    </row>
    <row r="1401" spans="1:18">
      <c r="A1401" t="str">
        <f t="shared" si="108"/>
        <v>EOS1400</v>
      </c>
      <c r="B1401" s="38">
        <v>46067</v>
      </c>
      <c r="C1401" s="4" t="s">
        <v>267</v>
      </c>
      <c r="D1401" s="1" t="str">
        <f t="shared" si="112"/>
        <v>FB</v>
      </c>
      <c r="E1401" s="2" t="s">
        <v>1995</v>
      </c>
      <c r="F1401" s="2" t="s">
        <v>467</v>
      </c>
      <c r="G1401" s="4" t="s">
        <v>1781</v>
      </c>
      <c r="H1401" s="1" t="s">
        <v>149</v>
      </c>
      <c r="I1401" s="1">
        <v>108000</v>
      </c>
      <c r="J1401" s="45">
        <v>1071399</v>
      </c>
      <c r="K1401" s="1" t="str">
        <f>TRIM(Cleaned_CRM_Data!H1401)</f>
        <v>Rejected</v>
      </c>
      <c r="L1401" t="str">
        <f>IFERROR(VLOOKUP(K1401, Status_Mapping!A:B, 2,), "Not Found")</f>
        <v>Rejected</v>
      </c>
      <c r="N1401" s="29" t="str">
        <f>IF(M1401="","",M1401-B1401)</f>
        <v/>
      </c>
      <c r="O1401" s="1" t="str">
        <f t="shared" si="109"/>
        <v>Starter</v>
      </c>
      <c r="P1401" t="str">
        <f>TEXT(B1401, "mmmm")</f>
        <v>February</v>
      </c>
      <c r="Q1401" t="str">
        <f t="shared" si="110"/>
        <v>Q1</v>
      </c>
      <c r="R1401" t="str">
        <f>IFERROR(VLOOKUP(TRIM(CLEAN(G1401)),Sheet14!$A$2:$B$19,2,FALSE),"Not Mapped")</f>
        <v>North</v>
      </c>
    </row>
    <row r="1402" spans="1:18">
      <c r="A1402" t="str">
        <f t="shared" si="108"/>
        <v>EOS1401</v>
      </c>
      <c r="B1402" s="38">
        <v>46069</v>
      </c>
      <c r="C1402" s="4" t="s">
        <v>1765</v>
      </c>
      <c r="D1402" s="1" t="str">
        <f t="shared" si="112"/>
        <v>FB</v>
      </c>
      <c r="E1402" s="2" t="s">
        <v>1996</v>
      </c>
      <c r="F1402" s="1" t="s">
        <v>354</v>
      </c>
      <c r="G1402" s="1" t="s">
        <v>224</v>
      </c>
      <c r="H1402" s="1" t="s">
        <v>69</v>
      </c>
      <c r="I1402" s="1">
        <v>177000</v>
      </c>
      <c r="J1402" s="45">
        <v>1071400</v>
      </c>
      <c r="K1402" s="1" t="str">
        <f>TRIM(Cleaned_CRM_Data!H1402)</f>
        <v>Follow up</v>
      </c>
      <c r="L1402" t="str">
        <f>IFERROR(VLOOKUP(K1402, Status_Mapping!A:B, 2,), "Not Found")</f>
        <v>Follow Up</v>
      </c>
      <c r="N1402" s="29" t="str">
        <f>IF(M1402="","",M1402-B1402)</f>
        <v/>
      </c>
      <c r="O1402" s="1" t="str">
        <f t="shared" si="109"/>
        <v>Growth</v>
      </c>
      <c r="P1402" t="str">
        <f>TEXT(B1402, "mmmm")</f>
        <v>February</v>
      </c>
      <c r="Q1402" t="str">
        <f t="shared" si="110"/>
        <v>Q1</v>
      </c>
      <c r="R1402" t="str">
        <f>IFERROR(VLOOKUP(TRIM(CLEAN(G1402)),Sheet14!$A$2:$B$19,2,FALSE),"Not Mapped")</f>
        <v>West</v>
      </c>
    </row>
    <row r="1403" spans="1:18">
      <c r="A1403" t="str">
        <f t="shared" si="108"/>
        <v>EOS1402</v>
      </c>
      <c r="B1403" s="38">
        <v>46069</v>
      </c>
      <c r="C1403" s="4" t="s">
        <v>267</v>
      </c>
      <c r="D1403" s="1" t="str">
        <f t="shared" si="112"/>
        <v>FB</v>
      </c>
      <c r="E1403" s="2" t="s">
        <v>1990</v>
      </c>
      <c r="F1403" s="2" t="s">
        <v>1997</v>
      </c>
      <c r="G1403" s="1" t="s">
        <v>224</v>
      </c>
      <c r="H1403" s="1" t="s">
        <v>69</v>
      </c>
      <c r="I1403" s="1">
        <v>130000</v>
      </c>
      <c r="J1403" s="45">
        <v>1071401</v>
      </c>
      <c r="K1403" s="1" t="str">
        <f>TRIM(Cleaned_CRM_Data!H1403)</f>
        <v>Follow up</v>
      </c>
      <c r="L1403" t="str">
        <f>IFERROR(VLOOKUP(K1403, Status_Mapping!A:B, 2,), "Not Found")</f>
        <v>Follow Up</v>
      </c>
      <c r="N1403" s="29" t="str">
        <f>IF(M1403="","",M1403-B1403)</f>
        <v/>
      </c>
      <c r="O1403" s="1" t="str">
        <f t="shared" si="109"/>
        <v>Starter</v>
      </c>
      <c r="P1403" t="str">
        <f>TEXT(B1403, "mmmm")</f>
        <v>February</v>
      </c>
      <c r="Q1403" t="str">
        <f t="shared" si="110"/>
        <v>Q1</v>
      </c>
      <c r="R1403" t="str">
        <f>IFERROR(VLOOKUP(TRIM(CLEAN(G1403)),Sheet14!$A$2:$B$19,2,FALSE),"Not Mapped")</f>
        <v>West</v>
      </c>
    </row>
    <row r="1404" spans="1:18">
      <c r="A1404" t="str">
        <f t="shared" si="108"/>
        <v>EOS1403</v>
      </c>
      <c r="B1404" s="38">
        <v>46069</v>
      </c>
      <c r="C1404" s="4" t="s">
        <v>267</v>
      </c>
      <c r="D1404" s="1" t="str">
        <f t="shared" si="112"/>
        <v>FB</v>
      </c>
      <c r="E1404" s="2" t="s">
        <v>1998</v>
      </c>
      <c r="F1404" s="2" t="s">
        <v>1999</v>
      </c>
      <c r="G1404" s="1" t="s">
        <v>224</v>
      </c>
      <c r="H1404" s="1" t="s">
        <v>69</v>
      </c>
      <c r="I1404" s="1">
        <v>108000</v>
      </c>
      <c r="J1404" s="45">
        <v>1071402</v>
      </c>
      <c r="K1404" s="1" t="str">
        <f>TRIM(Cleaned_CRM_Data!H1404)</f>
        <v>Follow up</v>
      </c>
      <c r="L1404" t="str">
        <f>IFERROR(VLOOKUP(K1404, Status_Mapping!A:B, 2,), "Not Found")</f>
        <v>Follow Up</v>
      </c>
      <c r="N1404" s="29" t="str">
        <f>IF(M1404="","",M1404-B1404)</f>
        <v/>
      </c>
      <c r="O1404" s="1" t="str">
        <f t="shared" si="109"/>
        <v>Starter</v>
      </c>
      <c r="P1404" t="str">
        <f>TEXT(B1404, "mmmm")</f>
        <v>February</v>
      </c>
      <c r="Q1404" t="str">
        <f t="shared" si="110"/>
        <v>Q1</v>
      </c>
      <c r="R1404" t="str">
        <f>IFERROR(VLOOKUP(TRIM(CLEAN(G1404)),Sheet14!$A$2:$B$19,2,FALSE),"Not Mapped")</f>
        <v>West</v>
      </c>
    </row>
    <row r="1405" spans="1:18">
      <c r="A1405" t="str">
        <f t="shared" si="108"/>
        <v>EOS1404</v>
      </c>
      <c r="B1405" s="38">
        <v>46069</v>
      </c>
      <c r="C1405" s="4" t="s">
        <v>267</v>
      </c>
      <c r="D1405" s="1" t="str">
        <f t="shared" si="112"/>
        <v>FB</v>
      </c>
      <c r="E1405" s="2" t="s">
        <v>2000</v>
      </c>
      <c r="F1405" s="1" t="s">
        <v>271</v>
      </c>
      <c r="G1405" s="4" t="s">
        <v>223</v>
      </c>
      <c r="H1405" s="1" t="s">
        <v>69</v>
      </c>
      <c r="I1405" s="1">
        <v>108000</v>
      </c>
      <c r="J1405" s="45">
        <v>1071403</v>
      </c>
      <c r="K1405" s="1" t="str">
        <f>TRIM(Cleaned_CRM_Data!H1405)</f>
        <v>Follow up</v>
      </c>
      <c r="L1405" t="str">
        <f>IFERROR(VLOOKUP(K1405, Status_Mapping!A:B, 2,), "Not Found")</f>
        <v>Follow Up</v>
      </c>
      <c r="N1405" s="29" t="str">
        <f>IF(M1405="","",M1405-B1405)</f>
        <v/>
      </c>
      <c r="O1405" s="1" t="str">
        <f t="shared" si="109"/>
        <v>Starter</v>
      </c>
      <c r="P1405" t="str">
        <f>TEXT(B1405, "mmmm")</f>
        <v>February</v>
      </c>
      <c r="Q1405" t="str">
        <f t="shared" si="110"/>
        <v>Q1</v>
      </c>
      <c r="R1405" t="str">
        <f>IFERROR(VLOOKUP(TRIM(CLEAN(G1405)),Sheet14!$A$2:$B$19,2,FALSE),"Not Mapped")</f>
        <v>West</v>
      </c>
    </row>
    <row r="1406" spans="1:18">
      <c r="A1406" t="str">
        <f t="shared" si="108"/>
        <v>EOS1405</v>
      </c>
      <c r="B1406" s="38">
        <v>46069</v>
      </c>
      <c r="C1406" s="4" t="s">
        <v>267</v>
      </c>
      <c r="D1406" s="1" t="str">
        <f t="shared" si="112"/>
        <v>FB</v>
      </c>
      <c r="E1406" s="2" t="s">
        <v>2001</v>
      </c>
      <c r="F1406" s="1" t="s">
        <v>296</v>
      </c>
      <c r="G1406" s="1" t="s">
        <v>224</v>
      </c>
      <c r="H1406" s="1" t="s">
        <v>69</v>
      </c>
      <c r="I1406" s="1">
        <v>130000</v>
      </c>
      <c r="J1406" s="45">
        <v>1071404</v>
      </c>
      <c r="K1406" s="1" t="str">
        <f>TRIM(Cleaned_CRM_Data!H1406)</f>
        <v>Follow up</v>
      </c>
      <c r="L1406" t="str">
        <f>IFERROR(VLOOKUP(K1406, Status_Mapping!A:B, 2,), "Not Found")</f>
        <v>Follow Up</v>
      </c>
      <c r="N1406" s="29" t="str">
        <f>IF(M1406="","",M1406-B1406)</f>
        <v/>
      </c>
      <c r="O1406" s="1" t="str">
        <f t="shared" si="109"/>
        <v>Starter</v>
      </c>
      <c r="P1406" t="str">
        <f>TEXT(B1406, "mmmm")</f>
        <v>February</v>
      </c>
      <c r="Q1406" t="str">
        <f t="shared" si="110"/>
        <v>Q1</v>
      </c>
      <c r="R1406" t="str">
        <f>IFERROR(VLOOKUP(TRIM(CLEAN(G1406)),Sheet14!$A$2:$B$19,2,FALSE),"Not Mapped")</f>
        <v>West</v>
      </c>
    </row>
    <row r="1407" spans="1:18">
      <c r="A1407" t="str">
        <f t="shared" si="108"/>
        <v>EOS1406</v>
      </c>
      <c r="B1407" s="38">
        <v>46069</v>
      </c>
      <c r="C1407" s="4" t="s">
        <v>267</v>
      </c>
      <c r="D1407" s="1" t="str">
        <f t="shared" si="112"/>
        <v>FB</v>
      </c>
      <c r="E1407" s="2" t="s">
        <v>2002</v>
      </c>
      <c r="F1407" s="2" t="s">
        <v>304</v>
      </c>
      <c r="G1407" s="1" t="s">
        <v>224</v>
      </c>
      <c r="H1407" s="1" t="s">
        <v>69</v>
      </c>
      <c r="I1407" s="1">
        <v>108000</v>
      </c>
      <c r="J1407" s="45">
        <v>1071405</v>
      </c>
      <c r="K1407" s="1" t="str">
        <f>TRIM(Cleaned_CRM_Data!H1407)</f>
        <v>Follow up</v>
      </c>
      <c r="L1407" t="str">
        <f>IFERROR(VLOOKUP(K1407, Status_Mapping!A:B, 2,), "Not Found")</f>
        <v>Follow Up</v>
      </c>
      <c r="N1407" s="29" t="str">
        <f>IF(M1407="","",M1407-B1407)</f>
        <v/>
      </c>
      <c r="O1407" s="1" t="str">
        <f t="shared" si="109"/>
        <v>Starter</v>
      </c>
      <c r="P1407" t="str">
        <f>TEXT(B1407, "mmmm")</f>
        <v>February</v>
      </c>
      <c r="Q1407" t="str">
        <f t="shared" si="110"/>
        <v>Q1</v>
      </c>
      <c r="R1407" t="str">
        <f>IFERROR(VLOOKUP(TRIM(CLEAN(G1407)),Sheet14!$A$2:$B$19,2,FALSE),"Not Mapped")</f>
        <v>West</v>
      </c>
    </row>
    <row r="1408" spans="1:18">
      <c r="A1408" t="str">
        <f t="shared" si="108"/>
        <v>EOS1407</v>
      </c>
      <c r="B1408" s="38">
        <v>46069</v>
      </c>
      <c r="C1408" s="4" t="s">
        <v>267</v>
      </c>
      <c r="D1408" s="1" t="str">
        <f t="shared" si="112"/>
        <v>FB</v>
      </c>
      <c r="E1408" s="2" t="s">
        <v>872</v>
      </c>
      <c r="F1408" s="1" t="s">
        <v>275</v>
      </c>
      <c r="G1408" s="1" t="s">
        <v>224</v>
      </c>
      <c r="H1408" s="1" t="s">
        <v>69</v>
      </c>
      <c r="I1408" s="1">
        <v>130000</v>
      </c>
      <c r="J1408" s="45">
        <v>1071406</v>
      </c>
      <c r="K1408" s="1" t="str">
        <f>TRIM(Cleaned_CRM_Data!H1408)</f>
        <v>Follow up</v>
      </c>
      <c r="L1408" t="str">
        <f>IFERROR(VLOOKUP(K1408, Status_Mapping!A:B, 2,), "Not Found")</f>
        <v>Follow Up</v>
      </c>
      <c r="N1408" s="29" t="str">
        <f>IF(M1408="","",M1408-B1408)</f>
        <v/>
      </c>
      <c r="O1408" s="1" t="str">
        <f t="shared" si="109"/>
        <v>Starter</v>
      </c>
      <c r="P1408" t="str">
        <f>TEXT(B1408, "mmmm")</f>
        <v>February</v>
      </c>
      <c r="Q1408" t="str">
        <f t="shared" si="110"/>
        <v>Q1</v>
      </c>
      <c r="R1408" t="str">
        <f>IFERROR(VLOOKUP(TRIM(CLEAN(G1408)),Sheet14!$A$2:$B$19,2,FALSE),"Not Mapped")</f>
        <v>West</v>
      </c>
    </row>
    <row r="1409" spans="1:18">
      <c r="A1409" t="str">
        <f t="shared" si="108"/>
        <v>EOS1408</v>
      </c>
      <c r="B1409" s="38">
        <v>46069</v>
      </c>
      <c r="C1409" s="4" t="s">
        <v>267</v>
      </c>
      <c r="D1409" s="1" t="str">
        <f t="shared" si="112"/>
        <v>FB</v>
      </c>
      <c r="E1409" s="2" t="s">
        <v>2003</v>
      </c>
      <c r="F1409" s="2" t="s">
        <v>2004</v>
      </c>
      <c r="G1409" s="1" t="s">
        <v>224</v>
      </c>
      <c r="H1409" s="1" t="s">
        <v>69</v>
      </c>
      <c r="I1409" s="1">
        <v>130000</v>
      </c>
      <c r="J1409" s="45">
        <v>1071407</v>
      </c>
      <c r="K1409" s="1" t="str">
        <f>TRIM(Cleaned_CRM_Data!H1409)</f>
        <v>Follow up</v>
      </c>
      <c r="L1409" t="str">
        <f>IFERROR(VLOOKUP(K1409, Status_Mapping!A:B, 2,), "Not Found")</f>
        <v>Follow Up</v>
      </c>
      <c r="N1409" s="29" t="str">
        <f>IF(M1409="","",M1409-B1409)</f>
        <v/>
      </c>
      <c r="O1409" s="1" t="str">
        <f t="shared" si="109"/>
        <v>Starter</v>
      </c>
      <c r="P1409" t="str">
        <f>TEXT(B1409, "mmmm")</f>
        <v>February</v>
      </c>
      <c r="Q1409" t="str">
        <f t="shared" si="110"/>
        <v>Q1</v>
      </c>
      <c r="R1409" t="str">
        <f>IFERROR(VLOOKUP(TRIM(CLEAN(G1409)),Sheet14!$A$2:$B$19,2,FALSE),"Not Mapped")</f>
        <v>West</v>
      </c>
    </row>
    <row r="1410" spans="1:18">
      <c r="A1410" t="str">
        <f t="shared" si="108"/>
        <v>EOS1409</v>
      </c>
      <c r="B1410" s="38">
        <v>46069</v>
      </c>
      <c r="C1410" s="4" t="s">
        <v>267</v>
      </c>
      <c r="D1410" s="1" t="str">
        <f t="shared" si="112"/>
        <v>FB</v>
      </c>
      <c r="E1410" s="2" t="s">
        <v>2005</v>
      </c>
      <c r="F1410" s="2" t="s">
        <v>413</v>
      </c>
      <c r="G1410" s="4" t="s">
        <v>223</v>
      </c>
      <c r="H1410" s="1" t="s">
        <v>69</v>
      </c>
      <c r="I1410" s="1">
        <v>108000</v>
      </c>
      <c r="J1410" s="45">
        <v>1071408</v>
      </c>
      <c r="K1410" s="1" t="str">
        <f>TRIM(Cleaned_CRM_Data!H1410)</f>
        <v>Follow up</v>
      </c>
      <c r="L1410" t="str">
        <f>IFERROR(VLOOKUP(K1410, Status_Mapping!A:B, 2,), "Not Found")</f>
        <v>Follow Up</v>
      </c>
      <c r="N1410" s="29" t="str">
        <f>IF(M1410="","",M1410-B1410)</f>
        <v/>
      </c>
      <c r="O1410" s="1" t="str">
        <f t="shared" si="109"/>
        <v>Starter</v>
      </c>
      <c r="P1410" t="str">
        <f>TEXT(B1410, "mmmm")</f>
        <v>February</v>
      </c>
      <c r="Q1410" t="str">
        <f t="shared" si="110"/>
        <v>Q1</v>
      </c>
      <c r="R1410" t="str">
        <f>IFERROR(VLOOKUP(TRIM(CLEAN(G1410)),Sheet14!$A$2:$B$19,2,FALSE),"Not Mapped")</f>
        <v>West</v>
      </c>
    </row>
    <row r="1411" spans="1:18">
      <c r="A1411" t="str">
        <f t="shared" ref="A1411:A1474" si="113">"EOS"&amp;TEXT(ROW()-1,"0000")</f>
        <v>EOS1410</v>
      </c>
      <c r="B1411" s="38">
        <v>46069</v>
      </c>
      <c r="C1411" s="4" t="s">
        <v>267</v>
      </c>
      <c r="D1411" s="1" t="str">
        <f t="shared" si="112"/>
        <v>FB</v>
      </c>
      <c r="E1411" s="2" t="s">
        <v>2006</v>
      </c>
      <c r="F1411" s="2" t="s">
        <v>2007</v>
      </c>
      <c r="G1411" s="4" t="s">
        <v>1781</v>
      </c>
      <c r="H1411" s="1" t="s">
        <v>69</v>
      </c>
      <c r="I1411" s="1">
        <v>108000</v>
      </c>
      <c r="J1411" s="45">
        <v>1071409</v>
      </c>
      <c r="K1411" s="1" t="str">
        <f>TRIM(Cleaned_CRM_Data!H1411)</f>
        <v>Follow up</v>
      </c>
      <c r="L1411" t="str">
        <f>IFERROR(VLOOKUP(K1411, Status_Mapping!A:B, 2,), "Not Found")</f>
        <v>Follow Up</v>
      </c>
      <c r="N1411" s="29" t="str">
        <f>IF(M1411="","",M1411-B1411)</f>
        <v/>
      </c>
      <c r="O1411" s="1" t="str">
        <f t="shared" ref="O1411:O1474" si="114">IF(OR(I1411=108000,I1411=130000),"Starter",IF(I1411=177000,"Growth","Premium"))</f>
        <v>Starter</v>
      </c>
      <c r="P1411" t="str">
        <f>TEXT(B1411, "mmmm")</f>
        <v>February</v>
      </c>
      <c r="Q1411" t="str">
        <f t="shared" ref="Q1411:Q1474" si="115">"Q"&amp;ROUNDUP(MONTH(B1411)/3,0)</f>
        <v>Q1</v>
      </c>
      <c r="R1411" t="str">
        <f>IFERROR(VLOOKUP(TRIM(CLEAN(G1411)),Sheet14!$A$2:$B$19,2,FALSE),"Not Mapped")</f>
        <v>North</v>
      </c>
    </row>
    <row r="1412" spans="1:18">
      <c r="A1412" t="str">
        <f t="shared" si="113"/>
        <v>EOS1411</v>
      </c>
      <c r="B1412" s="38">
        <v>46069</v>
      </c>
      <c r="C1412" s="4" t="s">
        <v>267</v>
      </c>
      <c r="D1412" s="1" t="str">
        <f t="shared" si="112"/>
        <v>FB</v>
      </c>
      <c r="E1412" s="2" t="s">
        <v>2008</v>
      </c>
      <c r="F1412" s="2" t="s">
        <v>451</v>
      </c>
      <c r="G1412" s="4" t="s">
        <v>1781</v>
      </c>
      <c r="H1412" s="1" t="s">
        <v>69</v>
      </c>
      <c r="I1412" s="1">
        <v>130000</v>
      </c>
      <c r="J1412" s="45">
        <v>1071410</v>
      </c>
      <c r="K1412" s="1" t="str">
        <f>TRIM(Cleaned_CRM_Data!H1412)</f>
        <v>Follow up</v>
      </c>
      <c r="L1412" t="str">
        <f>IFERROR(VLOOKUP(K1412, Status_Mapping!A:B, 2,), "Not Found")</f>
        <v>Follow Up</v>
      </c>
      <c r="N1412" s="29" t="str">
        <f>IF(M1412="","",M1412-B1412)</f>
        <v/>
      </c>
      <c r="O1412" s="1" t="str">
        <f t="shared" si="114"/>
        <v>Starter</v>
      </c>
      <c r="P1412" t="str">
        <f>TEXT(B1412, "mmmm")</f>
        <v>February</v>
      </c>
      <c r="Q1412" t="str">
        <f t="shared" si="115"/>
        <v>Q1</v>
      </c>
      <c r="R1412" t="str">
        <f>IFERROR(VLOOKUP(TRIM(CLEAN(G1412)),Sheet14!$A$2:$B$19,2,FALSE),"Not Mapped")</f>
        <v>North</v>
      </c>
    </row>
    <row r="1413" spans="1:18">
      <c r="A1413" t="str">
        <f t="shared" si="113"/>
        <v>EOS1412</v>
      </c>
      <c r="B1413" s="38">
        <v>46069</v>
      </c>
      <c r="C1413" s="4" t="s">
        <v>267</v>
      </c>
      <c r="D1413" s="1" t="str">
        <f t="shared" si="112"/>
        <v>FB</v>
      </c>
      <c r="E1413" s="2" t="s">
        <v>2009</v>
      </c>
      <c r="F1413" s="1" t="s">
        <v>271</v>
      </c>
      <c r="G1413" s="4" t="s">
        <v>224</v>
      </c>
      <c r="H1413" s="1" t="s">
        <v>69</v>
      </c>
      <c r="I1413" s="1">
        <v>108000</v>
      </c>
      <c r="J1413" s="45">
        <v>1071411</v>
      </c>
      <c r="K1413" s="1" t="str">
        <f>TRIM(Cleaned_CRM_Data!H1413)</f>
        <v>Follow up</v>
      </c>
      <c r="L1413" t="str">
        <f>IFERROR(VLOOKUP(K1413, Status_Mapping!A:B, 2,), "Not Found")</f>
        <v>Follow Up</v>
      </c>
      <c r="N1413" s="29" t="str">
        <f>IF(M1413="","",M1413-B1413)</f>
        <v/>
      </c>
      <c r="O1413" s="1" t="str">
        <f t="shared" si="114"/>
        <v>Starter</v>
      </c>
      <c r="P1413" t="str">
        <f>TEXT(B1413, "mmmm")</f>
        <v>February</v>
      </c>
      <c r="Q1413" t="str">
        <f t="shared" si="115"/>
        <v>Q1</v>
      </c>
      <c r="R1413" t="str">
        <f>IFERROR(VLOOKUP(TRIM(CLEAN(G1413)),Sheet14!$A$2:$B$19,2,FALSE),"Not Mapped")</f>
        <v>West</v>
      </c>
    </row>
    <row r="1414" spans="1:18">
      <c r="A1414" t="str">
        <f t="shared" si="113"/>
        <v>EOS1413</v>
      </c>
      <c r="B1414" s="38">
        <v>46070</v>
      </c>
      <c r="C1414" s="4" t="s">
        <v>267</v>
      </c>
      <c r="D1414" s="1" t="str">
        <f t="shared" si="112"/>
        <v>FB</v>
      </c>
      <c r="E1414" s="2" t="s">
        <v>2010</v>
      </c>
      <c r="F1414" s="1" t="s">
        <v>275</v>
      </c>
      <c r="G1414" s="1" t="s">
        <v>224</v>
      </c>
      <c r="H1414" s="1" t="s">
        <v>69</v>
      </c>
      <c r="I1414" s="1">
        <v>108000</v>
      </c>
      <c r="J1414" s="45">
        <v>1071412</v>
      </c>
      <c r="K1414" s="1" t="str">
        <f>TRIM(Cleaned_CRM_Data!H1414)</f>
        <v>Follow up</v>
      </c>
      <c r="L1414" t="str">
        <f>IFERROR(VLOOKUP(K1414, Status_Mapping!A:B, 2,), "Not Found")</f>
        <v>Follow Up</v>
      </c>
      <c r="N1414" s="29" t="str">
        <f>IF(M1414="","",M1414-B1414)</f>
        <v/>
      </c>
      <c r="O1414" s="1" t="str">
        <f t="shared" si="114"/>
        <v>Starter</v>
      </c>
      <c r="P1414" t="str">
        <f>TEXT(B1414, "mmmm")</f>
        <v>February</v>
      </c>
      <c r="Q1414" t="str">
        <f t="shared" si="115"/>
        <v>Q1</v>
      </c>
      <c r="R1414" t="str">
        <f>IFERROR(VLOOKUP(TRIM(CLEAN(G1414)),Sheet14!$A$2:$B$19,2,FALSE),"Not Mapped")</f>
        <v>West</v>
      </c>
    </row>
    <row r="1415" spans="1:18">
      <c r="A1415" t="str">
        <f t="shared" si="113"/>
        <v>EOS1414</v>
      </c>
      <c r="B1415" s="38">
        <v>46070</v>
      </c>
      <c r="C1415" s="4" t="s">
        <v>267</v>
      </c>
      <c r="D1415" s="1" t="str">
        <f t="shared" si="112"/>
        <v>FB</v>
      </c>
      <c r="E1415" s="2" t="s">
        <v>2011</v>
      </c>
      <c r="F1415" s="2" t="s">
        <v>860</v>
      </c>
      <c r="G1415" s="1" t="s">
        <v>224</v>
      </c>
      <c r="H1415" s="1" t="s">
        <v>69</v>
      </c>
      <c r="I1415" s="1">
        <v>108000</v>
      </c>
      <c r="J1415" s="45">
        <v>1071413</v>
      </c>
      <c r="K1415" s="1" t="str">
        <f>TRIM(Cleaned_CRM_Data!H1415)</f>
        <v>Follow up</v>
      </c>
      <c r="L1415" t="str">
        <f>IFERROR(VLOOKUP(K1415, Status_Mapping!A:B, 2,), "Not Found")</f>
        <v>Follow Up</v>
      </c>
      <c r="N1415" s="29" t="str">
        <f>IF(M1415="","",M1415-B1415)</f>
        <v/>
      </c>
      <c r="O1415" s="1" t="str">
        <f t="shared" si="114"/>
        <v>Starter</v>
      </c>
      <c r="P1415" t="str">
        <f>TEXT(B1415, "mmmm")</f>
        <v>February</v>
      </c>
      <c r="Q1415" t="str">
        <f t="shared" si="115"/>
        <v>Q1</v>
      </c>
      <c r="R1415" t="str">
        <f>IFERROR(VLOOKUP(TRIM(CLEAN(G1415)),Sheet14!$A$2:$B$19,2,FALSE),"Not Mapped")</f>
        <v>West</v>
      </c>
    </row>
    <row r="1416" spans="1:18">
      <c r="A1416" t="str">
        <f t="shared" si="113"/>
        <v>EOS1415</v>
      </c>
      <c r="B1416" s="38">
        <v>46070</v>
      </c>
      <c r="C1416" s="4" t="s">
        <v>267</v>
      </c>
      <c r="D1416" s="1" t="str">
        <f t="shared" si="112"/>
        <v>FB</v>
      </c>
      <c r="E1416" s="2" t="s">
        <v>2012</v>
      </c>
      <c r="F1416" s="2" t="s">
        <v>2013</v>
      </c>
      <c r="G1416" s="1" t="s">
        <v>224</v>
      </c>
      <c r="H1416" s="1" t="s">
        <v>69</v>
      </c>
      <c r="I1416" s="1">
        <v>108000</v>
      </c>
      <c r="J1416" s="45">
        <v>1071414</v>
      </c>
      <c r="K1416" s="1" t="str">
        <f>TRIM(Cleaned_CRM_Data!H1416)</f>
        <v>Follow up</v>
      </c>
      <c r="L1416" t="str">
        <f>IFERROR(VLOOKUP(K1416, Status_Mapping!A:B, 2,), "Not Found")</f>
        <v>Follow Up</v>
      </c>
      <c r="N1416" s="29" t="str">
        <f>IF(M1416="","",M1416-B1416)</f>
        <v/>
      </c>
      <c r="O1416" s="1" t="str">
        <f t="shared" si="114"/>
        <v>Starter</v>
      </c>
      <c r="P1416" t="str">
        <f>TEXT(B1416, "mmmm")</f>
        <v>February</v>
      </c>
      <c r="Q1416" t="str">
        <f t="shared" si="115"/>
        <v>Q1</v>
      </c>
      <c r="R1416" t="str">
        <f>IFERROR(VLOOKUP(TRIM(CLEAN(G1416)),Sheet14!$A$2:$B$19,2,FALSE),"Not Mapped")</f>
        <v>West</v>
      </c>
    </row>
    <row r="1417" spans="1:18">
      <c r="A1417" t="str">
        <f t="shared" si="113"/>
        <v>EOS1416</v>
      </c>
      <c r="B1417" s="38">
        <v>46070</v>
      </c>
      <c r="C1417" s="4" t="s">
        <v>267</v>
      </c>
      <c r="D1417" s="1" t="str">
        <f t="shared" si="112"/>
        <v>FB</v>
      </c>
      <c r="E1417" s="2" t="s">
        <v>2014</v>
      </c>
      <c r="F1417" s="1" t="s">
        <v>292</v>
      </c>
      <c r="G1417" s="1" t="s">
        <v>224</v>
      </c>
      <c r="H1417" s="1" t="s">
        <v>69</v>
      </c>
      <c r="I1417" s="1">
        <v>130000</v>
      </c>
      <c r="J1417" s="45">
        <v>1071415</v>
      </c>
      <c r="K1417" s="1" t="str">
        <f>TRIM(Cleaned_CRM_Data!H1417)</f>
        <v>Follow up</v>
      </c>
      <c r="L1417" t="str">
        <f>IFERROR(VLOOKUP(K1417, Status_Mapping!A:B, 2,), "Not Found")</f>
        <v>Follow Up</v>
      </c>
      <c r="N1417" s="29" t="str">
        <f>IF(M1417="","",M1417-B1417)</f>
        <v/>
      </c>
      <c r="O1417" s="1" t="str">
        <f t="shared" si="114"/>
        <v>Starter</v>
      </c>
      <c r="P1417" t="str">
        <f>TEXT(B1417, "mmmm")</f>
        <v>February</v>
      </c>
      <c r="Q1417" t="str">
        <f t="shared" si="115"/>
        <v>Q1</v>
      </c>
      <c r="R1417" t="str">
        <f>IFERROR(VLOOKUP(TRIM(CLEAN(G1417)),Sheet14!$A$2:$B$19,2,FALSE),"Not Mapped")</f>
        <v>West</v>
      </c>
    </row>
    <row r="1418" spans="1:18">
      <c r="A1418" t="str">
        <f t="shared" si="113"/>
        <v>EOS1417</v>
      </c>
      <c r="B1418" s="38">
        <v>46070</v>
      </c>
      <c r="C1418" s="4" t="s">
        <v>267</v>
      </c>
      <c r="D1418" s="1" t="str">
        <f t="shared" si="112"/>
        <v>FB</v>
      </c>
      <c r="E1418" s="2" t="s">
        <v>2015</v>
      </c>
      <c r="F1418" s="2" t="s">
        <v>2016</v>
      </c>
      <c r="G1418" s="4" t="s">
        <v>1781</v>
      </c>
      <c r="H1418" s="1" t="s">
        <v>69</v>
      </c>
      <c r="I1418" s="1">
        <v>108000</v>
      </c>
      <c r="J1418" s="45">
        <v>1071416</v>
      </c>
      <c r="K1418" s="1" t="str">
        <f>TRIM(Cleaned_CRM_Data!H1418)</f>
        <v>Follow up</v>
      </c>
      <c r="L1418" t="str">
        <f>IFERROR(VLOOKUP(K1418, Status_Mapping!A:B, 2,), "Not Found")</f>
        <v>Follow Up</v>
      </c>
      <c r="N1418" s="29" t="str">
        <f>IF(M1418="","",M1418-B1418)</f>
        <v/>
      </c>
      <c r="O1418" s="1" t="str">
        <f t="shared" si="114"/>
        <v>Starter</v>
      </c>
      <c r="P1418" t="str">
        <f>TEXT(B1418, "mmmm")</f>
        <v>February</v>
      </c>
      <c r="Q1418" t="str">
        <f t="shared" si="115"/>
        <v>Q1</v>
      </c>
      <c r="R1418" t="str">
        <f>IFERROR(VLOOKUP(TRIM(CLEAN(G1418)),Sheet14!$A$2:$B$19,2,FALSE),"Not Mapped")</f>
        <v>North</v>
      </c>
    </row>
    <row r="1419" spans="1:18">
      <c r="A1419" t="str">
        <f t="shared" si="113"/>
        <v>EOS1418</v>
      </c>
      <c r="B1419" s="38">
        <v>46070</v>
      </c>
      <c r="C1419" s="4" t="s">
        <v>267</v>
      </c>
      <c r="D1419" s="1" t="str">
        <f t="shared" si="112"/>
        <v>FB</v>
      </c>
      <c r="E1419" s="2" t="s">
        <v>1188</v>
      </c>
      <c r="F1419" s="2" t="s">
        <v>451</v>
      </c>
      <c r="G1419" s="4" t="s">
        <v>1781</v>
      </c>
      <c r="H1419" s="1" t="s">
        <v>69</v>
      </c>
      <c r="I1419" s="1">
        <v>108000</v>
      </c>
      <c r="J1419" s="45">
        <v>1071417</v>
      </c>
      <c r="K1419" s="1" t="str">
        <f>TRIM(Cleaned_CRM_Data!H1419)</f>
        <v>Follow up</v>
      </c>
      <c r="L1419" t="str">
        <f>IFERROR(VLOOKUP(K1419, Status_Mapping!A:B, 2,), "Not Found")</f>
        <v>Follow Up</v>
      </c>
      <c r="N1419" s="29" t="str">
        <f>IF(M1419="","",M1419-B1419)</f>
        <v/>
      </c>
      <c r="O1419" s="1" t="str">
        <f t="shared" si="114"/>
        <v>Starter</v>
      </c>
      <c r="P1419" t="str">
        <f>TEXT(B1419, "mmmm")</f>
        <v>February</v>
      </c>
      <c r="Q1419" t="str">
        <f t="shared" si="115"/>
        <v>Q1</v>
      </c>
      <c r="R1419" t="str">
        <f>IFERROR(VLOOKUP(TRIM(CLEAN(G1419)),Sheet14!$A$2:$B$19,2,FALSE),"Not Mapped")</f>
        <v>North</v>
      </c>
    </row>
    <row r="1420" spans="1:18">
      <c r="A1420" t="str">
        <f t="shared" si="113"/>
        <v>EOS1419</v>
      </c>
      <c r="B1420" s="38">
        <v>46070</v>
      </c>
      <c r="C1420" s="4" t="s">
        <v>267</v>
      </c>
      <c r="D1420" s="1" t="str">
        <f t="shared" si="112"/>
        <v>FB</v>
      </c>
      <c r="E1420" s="2" t="s">
        <v>2017</v>
      </c>
      <c r="F1420" s="2" t="s">
        <v>2018</v>
      </c>
      <c r="G1420" s="4" t="s">
        <v>1781</v>
      </c>
      <c r="H1420" s="1" t="s">
        <v>69</v>
      </c>
      <c r="I1420" s="1">
        <v>130000</v>
      </c>
      <c r="J1420" s="45">
        <v>1071418</v>
      </c>
      <c r="K1420" s="1" t="str">
        <f>TRIM(Cleaned_CRM_Data!H1420)</f>
        <v>Follow up</v>
      </c>
      <c r="L1420" t="str">
        <f>IFERROR(VLOOKUP(K1420, Status_Mapping!A:B, 2,), "Not Found")</f>
        <v>Follow Up</v>
      </c>
      <c r="N1420" s="29" t="str">
        <f>IF(M1420="","",M1420-B1420)</f>
        <v/>
      </c>
      <c r="O1420" s="1" t="str">
        <f t="shared" si="114"/>
        <v>Starter</v>
      </c>
      <c r="P1420" t="str">
        <f>TEXT(B1420, "mmmm")</f>
        <v>February</v>
      </c>
      <c r="Q1420" t="str">
        <f t="shared" si="115"/>
        <v>Q1</v>
      </c>
      <c r="R1420" t="str">
        <f>IFERROR(VLOOKUP(TRIM(CLEAN(G1420)),Sheet14!$A$2:$B$19,2,FALSE),"Not Mapped")</f>
        <v>North</v>
      </c>
    </row>
    <row r="1421" spans="1:18">
      <c r="A1421" t="str">
        <f t="shared" si="113"/>
        <v>EOS1420</v>
      </c>
      <c r="B1421" s="38">
        <v>46070</v>
      </c>
      <c r="C1421" s="4" t="s">
        <v>267</v>
      </c>
      <c r="D1421" s="1" t="str">
        <f t="shared" si="112"/>
        <v>FB</v>
      </c>
      <c r="E1421" s="2" t="s">
        <v>2019</v>
      </c>
      <c r="F1421" s="1" t="s">
        <v>275</v>
      </c>
      <c r="G1421" s="1" t="s">
        <v>224</v>
      </c>
      <c r="H1421" s="1" t="s">
        <v>69</v>
      </c>
      <c r="I1421" s="1">
        <v>130000</v>
      </c>
      <c r="J1421" s="45">
        <v>1071419</v>
      </c>
      <c r="K1421" s="1" t="str">
        <f>TRIM(Cleaned_CRM_Data!H1421)</f>
        <v>Follow up</v>
      </c>
      <c r="L1421" t="str">
        <f>IFERROR(VLOOKUP(K1421, Status_Mapping!A:B, 2,), "Not Found")</f>
        <v>Follow Up</v>
      </c>
      <c r="N1421" s="29" t="str">
        <f>IF(M1421="","",M1421-B1421)</f>
        <v/>
      </c>
      <c r="O1421" s="1" t="str">
        <f t="shared" si="114"/>
        <v>Starter</v>
      </c>
      <c r="P1421" t="str">
        <f>TEXT(B1421, "mmmm")</f>
        <v>February</v>
      </c>
      <c r="Q1421" t="str">
        <f t="shared" si="115"/>
        <v>Q1</v>
      </c>
      <c r="R1421" t="str">
        <f>IFERROR(VLOOKUP(TRIM(CLEAN(G1421)),Sheet14!$A$2:$B$19,2,FALSE),"Not Mapped")</f>
        <v>West</v>
      </c>
    </row>
    <row r="1422" spans="1:18">
      <c r="A1422" t="str">
        <f t="shared" si="113"/>
        <v>EOS1421</v>
      </c>
      <c r="B1422" s="38">
        <v>46070</v>
      </c>
      <c r="C1422" s="4" t="s">
        <v>267</v>
      </c>
      <c r="D1422" s="1" t="str">
        <f t="shared" si="112"/>
        <v>FB</v>
      </c>
      <c r="E1422" s="2" t="s">
        <v>2020</v>
      </c>
      <c r="F1422" s="2" t="s">
        <v>358</v>
      </c>
      <c r="G1422" s="1" t="s">
        <v>224</v>
      </c>
      <c r="H1422" s="1" t="s">
        <v>69</v>
      </c>
      <c r="I1422" s="1">
        <v>108000</v>
      </c>
      <c r="J1422" s="45">
        <v>1071420</v>
      </c>
      <c r="K1422" s="1" t="str">
        <f>TRIM(Cleaned_CRM_Data!H1422)</f>
        <v>Follow up</v>
      </c>
      <c r="L1422" t="str">
        <f>IFERROR(VLOOKUP(K1422, Status_Mapping!A:B, 2,), "Not Found")</f>
        <v>Follow Up</v>
      </c>
      <c r="N1422" s="29" t="str">
        <f>IF(M1422="","",M1422-B1422)</f>
        <v/>
      </c>
      <c r="O1422" s="1" t="str">
        <f t="shared" si="114"/>
        <v>Starter</v>
      </c>
      <c r="P1422" t="str">
        <f>TEXT(B1422, "mmmm")</f>
        <v>February</v>
      </c>
      <c r="Q1422" t="str">
        <f t="shared" si="115"/>
        <v>Q1</v>
      </c>
      <c r="R1422" t="str">
        <f>IFERROR(VLOOKUP(TRIM(CLEAN(G1422)),Sheet14!$A$2:$B$19,2,FALSE),"Not Mapped")</f>
        <v>West</v>
      </c>
    </row>
    <row r="1423" spans="1:18">
      <c r="A1423" t="str">
        <f t="shared" si="113"/>
        <v>EOS1422</v>
      </c>
      <c r="B1423" s="38">
        <v>46071</v>
      </c>
      <c r="C1423" s="4" t="s">
        <v>267</v>
      </c>
      <c r="D1423" s="1" t="str">
        <f t="shared" si="112"/>
        <v>FB</v>
      </c>
      <c r="E1423" s="2" t="s">
        <v>2021</v>
      </c>
      <c r="F1423" s="4" t="s">
        <v>273</v>
      </c>
      <c r="G1423" s="1" t="s">
        <v>224</v>
      </c>
      <c r="H1423" s="1" t="s">
        <v>69</v>
      </c>
      <c r="I1423" s="1">
        <v>108000</v>
      </c>
      <c r="J1423" s="45">
        <v>1071421</v>
      </c>
      <c r="K1423" s="1" t="str">
        <f>TRIM(Cleaned_CRM_Data!H1423)</f>
        <v>Follow up</v>
      </c>
      <c r="L1423" t="str">
        <f>IFERROR(VLOOKUP(K1423, Status_Mapping!A:B, 2,), "Not Found")</f>
        <v>Follow Up</v>
      </c>
      <c r="N1423" s="29" t="str">
        <f>IF(M1423="","",M1423-B1423)</f>
        <v/>
      </c>
      <c r="O1423" s="1" t="str">
        <f t="shared" si="114"/>
        <v>Starter</v>
      </c>
      <c r="P1423" t="str">
        <f>TEXT(B1423, "mmmm")</f>
        <v>February</v>
      </c>
      <c r="Q1423" t="str">
        <f t="shared" si="115"/>
        <v>Q1</v>
      </c>
      <c r="R1423" t="str">
        <f>IFERROR(VLOOKUP(TRIM(CLEAN(G1423)),Sheet14!$A$2:$B$19,2,FALSE),"Not Mapped")</f>
        <v>West</v>
      </c>
    </row>
    <row r="1424" spans="1:18">
      <c r="A1424" t="str">
        <f t="shared" si="113"/>
        <v>EOS1423</v>
      </c>
      <c r="B1424" s="38">
        <v>46071</v>
      </c>
      <c r="C1424" s="4" t="s">
        <v>267</v>
      </c>
      <c r="D1424" s="1" t="str">
        <f t="shared" si="112"/>
        <v>FB</v>
      </c>
      <c r="E1424" s="4" t="s">
        <v>2022</v>
      </c>
      <c r="F1424" s="2" t="s">
        <v>1287</v>
      </c>
      <c r="G1424" s="4" t="s">
        <v>223</v>
      </c>
      <c r="H1424" s="1" t="s">
        <v>149</v>
      </c>
      <c r="I1424" s="1">
        <v>108000</v>
      </c>
      <c r="J1424" s="45">
        <v>1071422</v>
      </c>
      <c r="K1424" s="1" t="str">
        <f>TRIM(Cleaned_CRM_Data!H1424)</f>
        <v>Rejected</v>
      </c>
      <c r="L1424" t="str">
        <f>IFERROR(VLOOKUP(K1424, Status_Mapping!A:B, 2,), "Not Found")</f>
        <v>Rejected</v>
      </c>
      <c r="N1424" s="29" t="str">
        <f>IF(M1424="","",M1424-B1424)</f>
        <v/>
      </c>
      <c r="O1424" s="1" t="str">
        <f t="shared" si="114"/>
        <v>Starter</v>
      </c>
      <c r="P1424" t="str">
        <f>TEXT(B1424, "mmmm")</f>
        <v>February</v>
      </c>
      <c r="Q1424" t="str">
        <f t="shared" si="115"/>
        <v>Q1</v>
      </c>
      <c r="R1424" t="str">
        <f>IFERROR(VLOOKUP(TRIM(CLEAN(G1424)),Sheet14!$A$2:$B$19,2,FALSE),"Not Mapped")</f>
        <v>West</v>
      </c>
    </row>
    <row r="1425" spans="1:18">
      <c r="A1425" t="str">
        <f t="shared" si="113"/>
        <v>EOS1424</v>
      </c>
      <c r="B1425" s="38">
        <v>46071</v>
      </c>
      <c r="C1425" s="4" t="s">
        <v>1765</v>
      </c>
      <c r="D1425" s="1" t="str">
        <f t="shared" si="112"/>
        <v>FB</v>
      </c>
      <c r="E1425" s="2" t="s">
        <v>2023</v>
      </c>
      <c r="F1425" s="2" t="s">
        <v>328</v>
      </c>
      <c r="G1425" s="1" t="s">
        <v>224</v>
      </c>
      <c r="H1425" s="1" t="s">
        <v>69</v>
      </c>
      <c r="I1425" s="1">
        <v>130000</v>
      </c>
      <c r="J1425" s="45">
        <v>1071423</v>
      </c>
      <c r="K1425" s="1" t="str">
        <f>TRIM(Cleaned_CRM_Data!H1425)</f>
        <v>Follow up</v>
      </c>
      <c r="L1425" t="str">
        <f>IFERROR(VLOOKUP(K1425, Status_Mapping!A:B, 2,), "Not Found")</f>
        <v>Follow Up</v>
      </c>
      <c r="N1425" s="29" t="str">
        <f>IF(M1425="","",M1425-B1425)</f>
        <v/>
      </c>
      <c r="O1425" s="1" t="str">
        <f t="shared" si="114"/>
        <v>Starter</v>
      </c>
      <c r="P1425" t="str">
        <f>TEXT(B1425, "mmmm")</f>
        <v>February</v>
      </c>
      <c r="Q1425" t="str">
        <f t="shared" si="115"/>
        <v>Q1</v>
      </c>
      <c r="R1425" t="str">
        <f>IFERROR(VLOOKUP(TRIM(CLEAN(G1425)),Sheet14!$A$2:$B$19,2,FALSE),"Not Mapped")</f>
        <v>West</v>
      </c>
    </row>
    <row r="1426" spans="1:18">
      <c r="A1426" t="str">
        <f t="shared" si="113"/>
        <v>EOS1425</v>
      </c>
      <c r="B1426" s="38">
        <v>46071</v>
      </c>
      <c r="C1426" s="4" t="s">
        <v>267</v>
      </c>
      <c r="D1426" s="1" t="str">
        <f t="shared" si="112"/>
        <v>FB</v>
      </c>
      <c r="E1426" s="2" t="s">
        <v>2024</v>
      </c>
      <c r="F1426" s="2" t="s">
        <v>659</v>
      </c>
      <c r="G1426" s="1" t="s">
        <v>224</v>
      </c>
      <c r="H1426" s="1" t="s">
        <v>69</v>
      </c>
      <c r="I1426" s="1">
        <v>108000</v>
      </c>
      <c r="J1426" s="45">
        <v>1071424</v>
      </c>
      <c r="K1426" s="1" t="str">
        <f>TRIM(Cleaned_CRM_Data!H1426)</f>
        <v>Follow up</v>
      </c>
      <c r="L1426" t="str">
        <f>IFERROR(VLOOKUP(K1426, Status_Mapping!A:B, 2,), "Not Found")</f>
        <v>Follow Up</v>
      </c>
      <c r="N1426" s="29" t="str">
        <f>IF(M1426="","",M1426-B1426)</f>
        <v/>
      </c>
      <c r="O1426" s="1" t="str">
        <f t="shared" si="114"/>
        <v>Starter</v>
      </c>
      <c r="P1426" t="str">
        <f>TEXT(B1426, "mmmm")</f>
        <v>February</v>
      </c>
      <c r="Q1426" t="str">
        <f t="shared" si="115"/>
        <v>Q1</v>
      </c>
      <c r="R1426" t="str">
        <f>IFERROR(VLOOKUP(TRIM(CLEAN(G1426)),Sheet14!$A$2:$B$19,2,FALSE),"Not Mapped")</f>
        <v>West</v>
      </c>
    </row>
    <row r="1427" spans="1:18">
      <c r="A1427" t="str">
        <f t="shared" si="113"/>
        <v>EOS1426</v>
      </c>
      <c r="B1427" s="38">
        <v>46071</v>
      </c>
      <c r="C1427" s="4" t="s">
        <v>267</v>
      </c>
      <c r="D1427" s="1" t="str">
        <f t="shared" si="112"/>
        <v>FB</v>
      </c>
      <c r="E1427" s="2" t="s">
        <v>2025</v>
      </c>
      <c r="F1427" s="1" t="s">
        <v>300</v>
      </c>
      <c r="G1427" s="1" t="s">
        <v>224</v>
      </c>
      <c r="H1427" s="1" t="s">
        <v>69</v>
      </c>
      <c r="I1427" s="1">
        <v>108000</v>
      </c>
      <c r="J1427" s="45">
        <v>1071425</v>
      </c>
      <c r="K1427" s="1" t="str">
        <f>TRIM(Cleaned_CRM_Data!H1427)</f>
        <v>Follow up</v>
      </c>
      <c r="L1427" t="str">
        <f>IFERROR(VLOOKUP(K1427, Status_Mapping!A:B, 2,), "Not Found")</f>
        <v>Follow Up</v>
      </c>
      <c r="N1427" s="29" t="str">
        <f>IF(M1427="","",M1427-B1427)</f>
        <v/>
      </c>
      <c r="O1427" s="1" t="str">
        <f t="shared" si="114"/>
        <v>Starter</v>
      </c>
      <c r="P1427" t="str">
        <f>TEXT(B1427, "mmmm")</f>
        <v>February</v>
      </c>
      <c r="Q1427" t="str">
        <f t="shared" si="115"/>
        <v>Q1</v>
      </c>
      <c r="R1427" t="str">
        <f>IFERROR(VLOOKUP(TRIM(CLEAN(G1427)),Sheet14!$A$2:$B$19,2,FALSE),"Not Mapped")</f>
        <v>West</v>
      </c>
    </row>
    <row r="1428" spans="1:18">
      <c r="A1428" t="str">
        <f t="shared" si="113"/>
        <v>EOS1427</v>
      </c>
      <c r="B1428" s="38">
        <v>46071</v>
      </c>
      <c r="C1428" s="4" t="s">
        <v>267</v>
      </c>
      <c r="D1428" s="1" t="str">
        <f t="shared" si="112"/>
        <v>FB</v>
      </c>
      <c r="E1428" s="2" t="s">
        <v>2026</v>
      </c>
      <c r="F1428" s="2" t="s">
        <v>456</v>
      </c>
      <c r="G1428" s="4" t="s">
        <v>1781</v>
      </c>
      <c r="H1428" s="1" t="s">
        <v>69</v>
      </c>
      <c r="I1428" s="1">
        <v>130000</v>
      </c>
      <c r="J1428" s="45">
        <v>1071426</v>
      </c>
      <c r="K1428" s="1" t="str">
        <f>TRIM(Cleaned_CRM_Data!H1428)</f>
        <v>Follow up</v>
      </c>
      <c r="L1428" t="str">
        <f>IFERROR(VLOOKUP(K1428, Status_Mapping!A:B, 2,), "Not Found")</f>
        <v>Follow Up</v>
      </c>
      <c r="N1428" s="29" t="str">
        <f>IF(M1428="","",M1428-B1428)</f>
        <v/>
      </c>
      <c r="O1428" s="1" t="str">
        <f t="shared" si="114"/>
        <v>Starter</v>
      </c>
      <c r="P1428" t="str">
        <f>TEXT(B1428, "mmmm")</f>
        <v>February</v>
      </c>
      <c r="Q1428" t="str">
        <f t="shared" si="115"/>
        <v>Q1</v>
      </c>
      <c r="R1428" t="str">
        <f>IFERROR(VLOOKUP(TRIM(CLEAN(G1428)),Sheet14!$A$2:$B$19,2,FALSE),"Not Mapped")</f>
        <v>North</v>
      </c>
    </row>
    <row r="1429" spans="1:18">
      <c r="A1429" t="str">
        <f t="shared" si="113"/>
        <v>EOS1428</v>
      </c>
      <c r="B1429" s="38">
        <v>46071</v>
      </c>
      <c r="C1429" s="4" t="s">
        <v>267</v>
      </c>
      <c r="D1429" s="1" t="str">
        <f t="shared" si="112"/>
        <v>FB</v>
      </c>
      <c r="E1429" s="2" t="s">
        <v>2027</v>
      </c>
      <c r="F1429" s="2" t="s">
        <v>2028</v>
      </c>
      <c r="G1429" s="4" t="s">
        <v>239</v>
      </c>
      <c r="H1429" s="1" t="s">
        <v>69</v>
      </c>
      <c r="I1429" s="1">
        <v>108000</v>
      </c>
      <c r="J1429" s="45">
        <v>1071427</v>
      </c>
      <c r="K1429" s="1" t="str">
        <f>TRIM(Cleaned_CRM_Data!H1429)</f>
        <v>Follow up</v>
      </c>
      <c r="L1429" t="str">
        <f>IFERROR(VLOOKUP(K1429, Status_Mapping!A:B, 2,), "Not Found")</f>
        <v>Follow Up</v>
      </c>
      <c r="N1429" s="29" t="str">
        <f>IF(M1429="","",M1429-B1429)</f>
        <v/>
      </c>
      <c r="O1429" s="1" t="str">
        <f t="shared" si="114"/>
        <v>Starter</v>
      </c>
      <c r="P1429" t="str">
        <f>TEXT(B1429, "mmmm")</f>
        <v>February</v>
      </c>
      <c r="Q1429" t="str">
        <f t="shared" si="115"/>
        <v>Q1</v>
      </c>
      <c r="R1429" t="str">
        <f>IFERROR(VLOOKUP(TRIM(CLEAN(G1429)),Sheet14!$A$2:$B$19,2,FALSE),"Not Mapped")</f>
        <v>East</v>
      </c>
    </row>
    <row r="1430" spans="1:18">
      <c r="A1430" t="str">
        <f t="shared" si="113"/>
        <v>EOS1429</v>
      </c>
      <c r="B1430" s="38">
        <v>46071</v>
      </c>
      <c r="C1430" s="4" t="s">
        <v>267</v>
      </c>
      <c r="D1430" s="1" t="str">
        <f t="shared" si="112"/>
        <v>FB</v>
      </c>
      <c r="E1430" s="2" t="s">
        <v>2029</v>
      </c>
      <c r="F1430" s="1" t="s">
        <v>354</v>
      </c>
      <c r="G1430" s="1" t="s">
        <v>224</v>
      </c>
      <c r="H1430" s="1" t="s">
        <v>69</v>
      </c>
      <c r="I1430" s="1">
        <v>108000</v>
      </c>
      <c r="J1430" s="45">
        <v>1071428</v>
      </c>
      <c r="K1430" s="1" t="str">
        <f>TRIM(Cleaned_CRM_Data!H1430)</f>
        <v>Follow up</v>
      </c>
      <c r="L1430" t="str">
        <f>IFERROR(VLOOKUP(K1430, Status_Mapping!A:B, 2,), "Not Found")</f>
        <v>Follow Up</v>
      </c>
      <c r="N1430" s="29" t="str">
        <f>IF(M1430="","",M1430-B1430)</f>
        <v/>
      </c>
      <c r="O1430" s="1" t="str">
        <f t="shared" si="114"/>
        <v>Starter</v>
      </c>
      <c r="P1430" t="str">
        <f>TEXT(B1430, "mmmm")</f>
        <v>February</v>
      </c>
      <c r="Q1430" t="str">
        <f t="shared" si="115"/>
        <v>Q1</v>
      </c>
      <c r="R1430" t="str">
        <f>IFERROR(VLOOKUP(TRIM(CLEAN(G1430)),Sheet14!$A$2:$B$19,2,FALSE),"Not Mapped")</f>
        <v>West</v>
      </c>
    </row>
    <row r="1431" spans="1:18">
      <c r="A1431" t="str">
        <f t="shared" si="113"/>
        <v>EOS1430</v>
      </c>
      <c r="B1431" s="38">
        <v>46071</v>
      </c>
      <c r="C1431" s="4" t="s">
        <v>267</v>
      </c>
      <c r="D1431" s="1" t="str">
        <f t="shared" si="112"/>
        <v>FB</v>
      </c>
      <c r="E1431" s="2" t="s">
        <v>2030</v>
      </c>
      <c r="F1431" s="2" t="s">
        <v>275</v>
      </c>
      <c r="G1431" s="4" t="s">
        <v>224</v>
      </c>
      <c r="H1431" s="1" t="s">
        <v>69</v>
      </c>
      <c r="I1431" s="1">
        <v>130000</v>
      </c>
      <c r="J1431" s="45">
        <v>1071429</v>
      </c>
      <c r="K1431" s="1" t="str">
        <f>TRIM(Cleaned_CRM_Data!H1431)</f>
        <v>Follow up</v>
      </c>
      <c r="L1431" t="str">
        <f>IFERROR(VLOOKUP(K1431, Status_Mapping!A:B, 2,), "Not Found")</f>
        <v>Follow Up</v>
      </c>
      <c r="N1431" s="29" t="str">
        <f>IF(M1431="","",M1431-B1431)</f>
        <v/>
      </c>
      <c r="O1431" s="1" t="str">
        <f t="shared" si="114"/>
        <v>Starter</v>
      </c>
      <c r="P1431" t="str">
        <f>TEXT(B1431, "mmmm")</f>
        <v>February</v>
      </c>
      <c r="Q1431" t="str">
        <f t="shared" si="115"/>
        <v>Q1</v>
      </c>
      <c r="R1431" t="str">
        <f>IFERROR(VLOOKUP(TRIM(CLEAN(G1431)),Sheet14!$A$2:$B$19,2,FALSE),"Not Mapped")</f>
        <v>West</v>
      </c>
    </row>
    <row r="1432" spans="1:18">
      <c r="A1432" t="str">
        <f t="shared" si="113"/>
        <v>EOS1431</v>
      </c>
      <c r="B1432" s="38">
        <v>46074</v>
      </c>
      <c r="C1432" s="4" t="s">
        <v>267</v>
      </c>
      <c r="D1432" s="1" t="str">
        <f t="shared" si="112"/>
        <v>FB</v>
      </c>
      <c r="E1432" s="2" t="s">
        <v>2031</v>
      </c>
      <c r="F1432" s="2" t="s">
        <v>275</v>
      </c>
      <c r="G1432" s="4" t="s">
        <v>224</v>
      </c>
      <c r="H1432" s="1" t="s">
        <v>69</v>
      </c>
      <c r="I1432" s="1">
        <v>108000</v>
      </c>
      <c r="J1432" s="45">
        <v>1071430</v>
      </c>
      <c r="K1432" s="1" t="str">
        <f>TRIM(Cleaned_CRM_Data!H1432)</f>
        <v>Follow up</v>
      </c>
      <c r="L1432" t="str">
        <f>IFERROR(VLOOKUP(K1432, Status_Mapping!A:B, 2,), "Not Found")</f>
        <v>Follow Up</v>
      </c>
      <c r="N1432" s="29" t="str">
        <f>IF(M1432="","",M1432-B1432)</f>
        <v/>
      </c>
      <c r="O1432" s="1" t="str">
        <f t="shared" si="114"/>
        <v>Starter</v>
      </c>
      <c r="P1432" t="str">
        <f>TEXT(B1432, "mmmm")</f>
        <v>February</v>
      </c>
      <c r="Q1432" t="str">
        <f t="shared" si="115"/>
        <v>Q1</v>
      </c>
      <c r="R1432" t="str">
        <f>IFERROR(VLOOKUP(TRIM(CLEAN(G1432)),Sheet14!$A$2:$B$19,2,FALSE),"Not Mapped")</f>
        <v>West</v>
      </c>
    </row>
    <row r="1433" spans="1:18">
      <c r="A1433" t="str">
        <f t="shared" si="113"/>
        <v>EOS1432</v>
      </c>
      <c r="B1433" s="38">
        <v>46074</v>
      </c>
      <c r="C1433" s="4" t="s">
        <v>267</v>
      </c>
      <c r="D1433" s="1" t="str">
        <f t="shared" si="112"/>
        <v>FB</v>
      </c>
      <c r="E1433" s="4" t="s">
        <v>2032</v>
      </c>
      <c r="F1433" s="2" t="s">
        <v>722</v>
      </c>
      <c r="G1433" s="4" t="s">
        <v>224</v>
      </c>
      <c r="H1433" s="1" t="s">
        <v>69</v>
      </c>
      <c r="I1433" s="1">
        <v>108000</v>
      </c>
      <c r="J1433" s="45">
        <v>1071431</v>
      </c>
      <c r="K1433" s="1" t="str">
        <f>TRIM(Cleaned_CRM_Data!H1433)</f>
        <v>Follow up</v>
      </c>
      <c r="L1433" t="str">
        <f>IFERROR(VLOOKUP(K1433, Status_Mapping!A:B, 2,), "Not Found")</f>
        <v>Follow Up</v>
      </c>
      <c r="N1433" s="29" t="str">
        <f>IF(M1433="","",M1433-B1433)</f>
        <v/>
      </c>
      <c r="O1433" s="1" t="str">
        <f t="shared" si="114"/>
        <v>Starter</v>
      </c>
      <c r="P1433" t="str">
        <f>TEXT(B1433, "mmmm")</f>
        <v>February</v>
      </c>
      <c r="Q1433" t="str">
        <f t="shared" si="115"/>
        <v>Q1</v>
      </c>
      <c r="R1433" t="str">
        <f>IFERROR(VLOOKUP(TRIM(CLEAN(G1433)),Sheet14!$A$2:$B$19,2,FALSE),"Not Mapped")</f>
        <v>West</v>
      </c>
    </row>
    <row r="1434" spans="1:18">
      <c r="A1434" t="str">
        <f t="shared" si="113"/>
        <v>EOS1433</v>
      </c>
      <c r="B1434" s="38">
        <v>46074</v>
      </c>
      <c r="C1434" s="4" t="s">
        <v>267</v>
      </c>
      <c r="D1434" s="1" t="str">
        <f t="shared" si="112"/>
        <v>FB</v>
      </c>
      <c r="E1434" s="2" t="s">
        <v>2033</v>
      </c>
      <c r="F1434" s="4" t="s">
        <v>1563</v>
      </c>
      <c r="G1434" s="4" t="s">
        <v>224</v>
      </c>
      <c r="H1434" s="1" t="s">
        <v>69</v>
      </c>
      <c r="I1434" s="1">
        <v>108000</v>
      </c>
      <c r="J1434" s="45">
        <v>1071432</v>
      </c>
      <c r="K1434" s="1" t="str">
        <f>TRIM(Cleaned_CRM_Data!H1434)</f>
        <v>Follow up</v>
      </c>
      <c r="L1434" t="str">
        <f>IFERROR(VLOOKUP(K1434, Status_Mapping!A:B, 2,), "Not Found")</f>
        <v>Follow Up</v>
      </c>
      <c r="N1434" s="29" t="str">
        <f>IF(M1434="","",M1434-B1434)</f>
        <v/>
      </c>
      <c r="O1434" s="1" t="str">
        <f t="shared" si="114"/>
        <v>Starter</v>
      </c>
      <c r="P1434" t="str">
        <f>TEXT(B1434, "mmmm")</f>
        <v>February</v>
      </c>
      <c r="Q1434" t="str">
        <f t="shared" si="115"/>
        <v>Q1</v>
      </c>
      <c r="R1434" t="str">
        <f>IFERROR(VLOOKUP(TRIM(CLEAN(G1434)),Sheet14!$A$2:$B$19,2,FALSE),"Not Mapped")</f>
        <v>West</v>
      </c>
    </row>
    <row r="1435" spans="1:18">
      <c r="A1435" t="str">
        <f t="shared" si="113"/>
        <v>EOS1434</v>
      </c>
      <c r="B1435" s="38">
        <v>46074</v>
      </c>
      <c r="C1435" s="4" t="s">
        <v>267</v>
      </c>
      <c r="D1435" s="1" t="str">
        <f t="shared" si="112"/>
        <v>FB</v>
      </c>
      <c r="E1435" s="2" t="s">
        <v>1375</v>
      </c>
      <c r="F1435" s="4"/>
      <c r="G1435" s="4" t="s">
        <v>1781</v>
      </c>
      <c r="H1435" s="1" t="s">
        <v>69</v>
      </c>
      <c r="I1435" s="1">
        <v>130000</v>
      </c>
      <c r="J1435" s="45">
        <v>1071433</v>
      </c>
      <c r="K1435" s="1" t="str">
        <f>TRIM(Cleaned_CRM_Data!H1435)</f>
        <v>Follow up</v>
      </c>
      <c r="L1435" t="str">
        <f>IFERROR(VLOOKUP(K1435, Status_Mapping!A:B, 2,), "Not Found")</f>
        <v>Follow Up</v>
      </c>
      <c r="N1435" s="29" t="str">
        <f>IF(M1435="","",M1435-B1435)</f>
        <v/>
      </c>
      <c r="O1435" s="1" t="str">
        <f t="shared" si="114"/>
        <v>Starter</v>
      </c>
      <c r="P1435" t="str">
        <f>TEXT(B1435, "mmmm")</f>
        <v>February</v>
      </c>
      <c r="Q1435" t="str">
        <f t="shared" si="115"/>
        <v>Q1</v>
      </c>
      <c r="R1435" t="str">
        <f>IFERROR(VLOOKUP(TRIM(CLEAN(G1435)),Sheet14!$A$2:$B$19,2,FALSE),"Not Mapped")</f>
        <v>North</v>
      </c>
    </row>
    <row r="1436" spans="1:18">
      <c r="A1436" t="str">
        <f t="shared" si="113"/>
        <v>EOS1435</v>
      </c>
      <c r="B1436" s="38">
        <v>46074</v>
      </c>
      <c r="C1436" s="4" t="s">
        <v>267</v>
      </c>
      <c r="D1436" s="1" t="str">
        <f t="shared" ref="D1436:D1499" si="116">TRIM(CLEAN(SUBSTITUTE(C1436,CHAR(160),"")))</f>
        <v>FB</v>
      </c>
      <c r="E1436" s="2" t="s">
        <v>2034</v>
      </c>
      <c r="F1436" s="4" t="s">
        <v>2035</v>
      </c>
      <c r="G1436" s="4" t="s">
        <v>1781</v>
      </c>
      <c r="H1436" s="1" t="s">
        <v>69</v>
      </c>
      <c r="I1436" s="1">
        <v>130000</v>
      </c>
      <c r="J1436" s="45">
        <v>1071434</v>
      </c>
      <c r="K1436" s="1" t="str">
        <f>TRIM(Cleaned_CRM_Data!H1436)</f>
        <v>Follow up</v>
      </c>
      <c r="L1436" t="str">
        <f>IFERROR(VLOOKUP(K1436, Status_Mapping!A:B, 2,), "Not Found")</f>
        <v>Follow Up</v>
      </c>
      <c r="N1436" s="29" t="str">
        <f>IF(M1436="","",M1436-B1436)</f>
        <v/>
      </c>
      <c r="O1436" s="1" t="str">
        <f t="shared" si="114"/>
        <v>Starter</v>
      </c>
      <c r="P1436" t="str">
        <f>TEXT(B1436, "mmmm")</f>
        <v>February</v>
      </c>
      <c r="Q1436" t="str">
        <f t="shared" si="115"/>
        <v>Q1</v>
      </c>
      <c r="R1436" t="str">
        <f>IFERROR(VLOOKUP(TRIM(CLEAN(G1436)),Sheet14!$A$2:$B$19,2,FALSE),"Not Mapped")</f>
        <v>North</v>
      </c>
    </row>
    <row r="1437" spans="1:18">
      <c r="A1437" t="str">
        <f t="shared" si="113"/>
        <v>EOS1436</v>
      </c>
      <c r="B1437" s="38">
        <v>46074</v>
      </c>
      <c r="C1437" s="4" t="s">
        <v>267</v>
      </c>
      <c r="D1437" s="1" t="str">
        <f t="shared" si="116"/>
        <v>FB</v>
      </c>
      <c r="E1437" s="2" t="s">
        <v>2036</v>
      </c>
      <c r="F1437" s="2" t="s">
        <v>304</v>
      </c>
      <c r="G1437" s="4" t="s">
        <v>224</v>
      </c>
      <c r="H1437" s="1" t="s">
        <v>149</v>
      </c>
      <c r="I1437" s="1">
        <v>108000</v>
      </c>
      <c r="J1437" s="45">
        <v>1071435</v>
      </c>
      <c r="K1437" s="1" t="str">
        <f>TRIM(Cleaned_CRM_Data!H1437)</f>
        <v>Rejected</v>
      </c>
      <c r="L1437" t="str">
        <f>IFERROR(VLOOKUP(K1437, Status_Mapping!A:B, 2,), "Not Found")</f>
        <v>Rejected</v>
      </c>
      <c r="N1437" s="29" t="str">
        <f>IF(M1437="","",M1437-B1437)</f>
        <v/>
      </c>
      <c r="O1437" s="1" t="str">
        <f t="shared" si="114"/>
        <v>Starter</v>
      </c>
      <c r="P1437" t="str">
        <f>TEXT(B1437, "mmmm")</f>
        <v>February</v>
      </c>
      <c r="Q1437" t="str">
        <f t="shared" si="115"/>
        <v>Q1</v>
      </c>
      <c r="R1437" t="str">
        <f>IFERROR(VLOOKUP(TRIM(CLEAN(G1437)),Sheet14!$A$2:$B$19,2,FALSE),"Not Mapped")</f>
        <v>West</v>
      </c>
    </row>
    <row r="1438" spans="1:18">
      <c r="A1438" t="str">
        <f t="shared" si="113"/>
        <v>EOS1437</v>
      </c>
      <c r="B1438" s="38">
        <v>46074</v>
      </c>
      <c r="C1438" s="4" t="s">
        <v>1765</v>
      </c>
      <c r="D1438" s="1" t="str">
        <f t="shared" si="116"/>
        <v>FB</v>
      </c>
      <c r="E1438" s="2" t="s">
        <v>2037</v>
      </c>
      <c r="F1438" s="2" t="s">
        <v>2038</v>
      </c>
      <c r="G1438" s="4" t="s">
        <v>223</v>
      </c>
      <c r="H1438" s="1" t="s">
        <v>149</v>
      </c>
      <c r="I1438" s="1">
        <v>108000</v>
      </c>
      <c r="J1438" s="45">
        <v>1071436</v>
      </c>
      <c r="K1438" s="1" t="str">
        <f>TRIM(Cleaned_CRM_Data!H1438)</f>
        <v>Rejected</v>
      </c>
      <c r="L1438" t="str">
        <f>IFERROR(VLOOKUP(K1438, Status_Mapping!A:B, 2,), "Not Found")</f>
        <v>Rejected</v>
      </c>
      <c r="N1438" s="29" t="str">
        <f>IF(M1438="","",M1438-B1438)</f>
        <v/>
      </c>
      <c r="O1438" s="1" t="str">
        <f t="shared" si="114"/>
        <v>Starter</v>
      </c>
      <c r="P1438" t="str">
        <f>TEXT(B1438, "mmmm")</f>
        <v>February</v>
      </c>
      <c r="Q1438" t="str">
        <f t="shared" si="115"/>
        <v>Q1</v>
      </c>
      <c r="R1438" t="str">
        <f>IFERROR(VLOOKUP(TRIM(CLEAN(G1438)),Sheet14!$A$2:$B$19,2,FALSE),"Not Mapped")</f>
        <v>West</v>
      </c>
    </row>
    <row r="1439" spans="1:18">
      <c r="A1439" t="str">
        <f t="shared" si="113"/>
        <v>EOS1438</v>
      </c>
      <c r="B1439" s="38">
        <v>46074</v>
      </c>
      <c r="C1439" s="4" t="s">
        <v>1765</v>
      </c>
      <c r="D1439" s="1" t="str">
        <f t="shared" si="116"/>
        <v>FB</v>
      </c>
      <c r="E1439" s="2" t="s">
        <v>2039</v>
      </c>
      <c r="F1439" s="4" t="s">
        <v>2040</v>
      </c>
      <c r="G1439" s="4" t="s">
        <v>223</v>
      </c>
      <c r="H1439" s="1" t="s">
        <v>69</v>
      </c>
      <c r="I1439" s="1">
        <v>130000</v>
      </c>
      <c r="J1439" s="45">
        <v>1071437</v>
      </c>
      <c r="K1439" s="1" t="str">
        <f>TRIM(Cleaned_CRM_Data!H1439)</f>
        <v>Follow up</v>
      </c>
      <c r="L1439" t="str">
        <f>IFERROR(VLOOKUP(K1439, Status_Mapping!A:B, 2,), "Not Found")</f>
        <v>Follow Up</v>
      </c>
      <c r="N1439" s="29" t="str">
        <f>IF(M1439="","",M1439-B1439)</f>
        <v/>
      </c>
      <c r="O1439" s="1" t="str">
        <f t="shared" si="114"/>
        <v>Starter</v>
      </c>
      <c r="P1439" t="str">
        <f>TEXT(B1439, "mmmm")</f>
        <v>February</v>
      </c>
      <c r="Q1439" t="str">
        <f t="shared" si="115"/>
        <v>Q1</v>
      </c>
      <c r="R1439" t="str">
        <f>IFERROR(VLOOKUP(TRIM(CLEAN(G1439)),Sheet14!$A$2:$B$19,2,FALSE),"Not Mapped")</f>
        <v>West</v>
      </c>
    </row>
    <row r="1440" spans="1:18">
      <c r="A1440" t="str">
        <f t="shared" si="113"/>
        <v>EOS1439</v>
      </c>
      <c r="B1440" s="38">
        <v>46074</v>
      </c>
      <c r="C1440" s="4" t="s">
        <v>267</v>
      </c>
      <c r="D1440" s="1" t="str">
        <f t="shared" si="116"/>
        <v>FB</v>
      </c>
      <c r="E1440" s="4" t="s">
        <v>2041</v>
      </c>
      <c r="F1440" s="2" t="s">
        <v>2042</v>
      </c>
      <c r="G1440" s="4" t="s">
        <v>223</v>
      </c>
      <c r="H1440" s="1" t="s">
        <v>69</v>
      </c>
      <c r="I1440" s="1">
        <v>108000</v>
      </c>
      <c r="J1440" s="45">
        <v>1071438</v>
      </c>
      <c r="K1440" s="1" t="str">
        <f>TRIM(Cleaned_CRM_Data!H1440)</f>
        <v>Follow up</v>
      </c>
      <c r="L1440" t="str">
        <f>IFERROR(VLOOKUP(K1440, Status_Mapping!A:B, 2,), "Not Found")</f>
        <v>Follow Up</v>
      </c>
      <c r="N1440" s="29" t="str">
        <f>IF(M1440="","",M1440-B1440)</f>
        <v/>
      </c>
      <c r="O1440" s="1" t="str">
        <f t="shared" si="114"/>
        <v>Starter</v>
      </c>
      <c r="P1440" t="str">
        <f>TEXT(B1440, "mmmm")</f>
        <v>February</v>
      </c>
      <c r="Q1440" t="str">
        <f t="shared" si="115"/>
        <v>Q1</v>
      </c>
      <c r="R1440" t="str">
        <f>IFERROR(VLOOKUP(TRIM(CLEAN(G1440)),Sheet14!$A$2:$B$19,2,FALSE),"Not Mapped")</f>
        <v>West</v>
      </c>
    </row>
    <row r="1441" spans="1:18">
      <c r="A1441" t="str">
        <f t="shared" si="113"/>
        <v>EOS1440</v>
      </c>
      <c r="B1441" s="38">
        <v>46074</v>
      </c>
      <c r="C1441" s="4" t="s">
        <v>267</v>
      </c>
      <c r="D1441" s="1" t="str">
        <f t="shared" si="116"/>
        <v>FB</v>
      </c>
      <c r="E1441" s="4" t="s">
        <v>2043</v>
      </c>
      <c r="F1441" s="2" t="s">
        <v>275</v>
      </c>
      <c r="G1441" s="4" t="s">
        <v>223</v>
      </c>
      <c r="H1441" s="1" t="s">
        <v>149</v>
      </c>
      <c r="I1441" s="1">
        <v>130000</v>
      </c>
      <c r="J1441" s="45">
        <v>1071439</v>
      </c>
      <c r="K1441" s="1" t="str">
        <f>TRIM(Cleaned_CRM_Data!H1441)</f>
        <v>Rejected</v>
      </c>
      <c r="L1441" t="str">
        <f>IFERROR(VLOOKUP(K1441, Status_Mapping!A:B, 2,), "Not Found")</f>
        <v>Rejected</v>
      </c>
      <c r="N1441" s="29" t="str">
        <f>IF(M1441="","",M1441-B1441)</f>
        <v/>
      </c>
      <c r="O1441" s="1" t="str">
        <f t="shared" si="114"/>
        <v>Starter</v>
      </c>
      <c r="P1441" t="str">
        <f>TEXT(B1441, "mmmm")</f>
        <v>February</v>
      </c>
      <c r="Q1441" t="str">
        <f t="shared" si="115"/>
        <v>Q1</v>
      </c>
      <c r="R1441" t="str">
        <f>IFERROR(VLOOKUP(TRIM(CLEAN(G1441)),Sheet14!$A$2:$B$19,2,FALSE),"Not Mapped")</f>
        <v>West</v>
      </c>
    </row>
    <row r="1442" spans="1:18">
      <c r="A1442" t="str">
        <f t="shared" si="113"/>
        <v>EOS1441</v>
      </c>
      <c r="B1442" s="38">
        <v>46074</v>
      </c>
      <c r="C1442" s="4" t="s">
        <v>1765</v>
      </c>
      <c r="D1442" s="1" t="str">
        <f t="shared" si="116"/>
        <v>FB</v>
      </c>
      <c r="E1442" s="4" t="s">
        <v>2032</v>
      </c>
      <c r="F1442" s="4" t="s">
        <v>1262</v>
      </c>
      <c r="G1442" s="2" t="s">
        <v>223</v>
      </c>
      <c r="H1442" s="1" t="s">
        <v>149</v>
      </c>
      <c r="I1442" s="1">
        <v>108000</v>
      </c>
      <c r="J1442" s="45">
        <v>1071440</v>
      </c>
      <c r="K1442" s="1" t="str">
        <f>TRIM(Cleaned_CRM_Data!H1442)</f>
        <v>Rejected</v>
      </c>
      <c r="L1442" t="str">
        <f>IFERROR(VLOOKUP(K1442, Status_Mapping!A:B, 2,), "Not Found")</f>
        <v>Rejected</v>
      </c>
      <c r="N1442" s="29" t="str">
        <f>IF(M1442="","",M1442-B1442)</f>
        <v/>
      </c>
      <c r="O1442" s="1" t="str">
        <f t="shared" si="114"/>
        <v>Starter</v>
      </c>
      <c r="P1442" t="str">
        <f>TEXT(B1442, "mmmm")</f>
        <v>February</v>
      </c>
      <c r="Q1442" t="str">
        <f t="shared" si="115"/>
        <v>Q1</v>
      </c>
      <c r="R1442" t="str">
        <f>IFERROR(VLOOKUP(TRIM(CLEAN(G1442)),Sheet14!$A$2:$B$19,2,FALSE),"Not Mapped")</f>
        <v>West</v>
      </c>
    </row>
    <row r="1443" spans="1:18">
      <c r="A1443" t="str">
        <f t="shared" si="113"/>
        <v>EOS1442</v>
      </c>
      <c r="B1443" s="38">
        <v>46074</v>
      </c>
      <c r="C1443" s="4" t="s">
        <v>1765</v>
      </c>
      <c r="D1443" s="1" t="str">
        <f t="shared" si="116"/>
        <v>FB</v>
      </c>
      <c r="E1443" s="4" t="s">
        <v>2044</v>
      </c>
      <c r="F1443" s="2" t="s">
        <v>2045</v>
      </c>
      <c r="G1443" s="2" t="s">
        <v>223</v>
      </c>
      <c r="H1443" s="1" t="s">
        <v>69</v>
      </c>
      <c r="I1443" s="1">
        <v>130000</v>
      </c>
      <c r="J1443" s="45">
        <v>1071441</v>
      </c>
      <c r="K1443" s="1" t="str">
        <f>TRIM(Cleaned_CRM_Data!H1443)</f>
        <v>Follow up</v>
      </c>
      <c r="L1443" t="str">
        <f>IFERROR(VLOOKUP(K1443, Status_Mapping!A:B, 2,), "Not Found")</f>
        <v>Follow Up</v>
      </c>
      <c r="N1443" s="29" t="str">
        <f>IF(M1443="","",M1443-B1443)</f>
        <v/>
      </c>
      <c r="O1443" s="1" t="str">
        <f t="shared" si="114"/>
        <v>Starter</v>
      </c>
      <c r="P1443" t="str">
        <f>TEXT(B1443, "mmmm")</f>
        <v>February</v>
      </c>
      <c r="Q1443" t="str">
        <f t="shared" si="115"/>
        <v>Q1</v>
      </c>
      <c r="R1443" t="str">
        <f>IFERROR(VLOOKUP(TRIM(CLEAN(G1443)),Sheet14!$A$2:$B$19,2,FALSE),"Not Mapped")</f>
        <v>West</v>
      </c>
    </row>
    <row r="1444" spans="1:18">
      <c r="A1444" t="str">
        <f t="shared" si="113"/>
        <v>EOS1443</v>
      </c>
      <c r="B1444" s="38">
        <v>46074</v>
      </c>
      <c r="C1444" s="4" t="s">
        <v>267</v>
      </c>
      <c r="D1444" s="1" t="str">
        <f t="shared" si="116"/>
        <v>FB</v>
      </c>
      <c r="E1444" s="2" t="s">
        <v>2046</v>
      </c>
      <c r="F1444" s="2" t="s">
        <v>336</v>
      </c>
      <c r="G1444" s="2" t="s">
        <v>223</v>
      </c>
      <c r="H1444" s="1" t="s">
        <v>69</v>
      </c>
      <c r="I1444" s="1">
        <v>130000</v>
      </c>
      <c r="J1444" s="45">
        <v>1071442</v>
      </c>
      <c r="K1444" s="1" t="str">
        <f>TRIM(Cleaned_CRM_Data!H1444)</f>
        <v>Follow up</v>
      </c>
      <c r="L1444" t="str">
        <f>IFERROR(VLOOKUP(K1444, Status_Mapping!A:B, 2,), "Not Found")</f>
        <v>Follow Up</v>
      </c>
      <c r="N1444" s="29" t="str">
        <f>IF(M1444="","",M1444-B1444)</f>
        <v/>
      </c>
      <c r="O1444" s="1" t="str">
        <f t="shared" si="114"/>
        <v>Starter</v>
      </c>
      <c r="P1444" t="str">
        <f>TEXT(B1444, "mmmm")</f>
        <v>February</v>
      </c>
      <c r="Q1444" t="str">
        <f t="shared" si="115"/>
        <v>Q1</v>
      </c>
      <c r="R1444" t="str">
        <f>IFERROR(VLOOKUP(TRIM(CLEAN(G1444)),Sheet14!$A$2:$B$19,2,FALSE),"Not Mapped")</f>
        <v>West</v>
      </c>
    </row>
    <row r="1445" spans="1:18">
      <c r="A1445" t="str">
        <f t="shared" si="113"/>
        <v>EOS1444</v>
      </c>
      <c r="B1445" s="38">
        <v>46075</v>
      </c>
      <c r="C1445" s="4" t="s">
        <v>267</v>
      </c>
      <c r="D1445" s="1" t="str">
        <f t="shared" si="116"/>
        <v>FB</v>
      </c>
      <c r="E1445" s="2" t="s">
        <v>2047</v>
      </c>
      <c r="F1445" s="2" t="s">
        <v>275</v>
      </c>
      <c r="G1445" s="2" t="s">
        <v>223</v>
      </c>
      <c r="H1445" s="1" t="s">
        <v>69</v>
      </c>
      <c r="I1445" s="1">
        <v>108000</v>
      </c>
      <c r="J1445" s="45">
        <v>1071443</v>
      </c>
      <c r="K1445" s="1" t="str">
        <f>TRIM(Cleaned_CRM_Data!H1445)</f>
        <v>Follow up</v>
      </c>
      <c r="L1445" t="str">
        <f>IFERROR(VLOOKUP(K1445, Status_Mapping!A:B, 2,), "Not Found")</f>
        <v>Follow Up</v>
      </c>
      <c r="N1445" s="29" t="str">
        <f>IF(M1445="","",M1445-B1445)</f>
        <v/>
      </c>
      <c r="O1445" s="1" t="str">
        <f t="shared" si="114"/>
        <v>Starter</v>
      </c>
      <c r="P1445" t="str">
        <f>TEXT(B1445, "mmmm")</f>
        <v>February</v>
      </c>
      <c r="Q1445" t="str">
        <f t="shared" si="115"/>
        <v>Q1</v>
      </c>
      <c r="R1445" t="str">
        <f>IFERROR(VLOOKUP(TRIM(CLEAN(G1445)),Sheet14!$A$2:$B$19,2,FALSE),"Not Mapped")</f>
        <v>West</v>
      </c>
    </row>
    <row r="1446" spans="1:18">
      <c r="A1446" t="str">
        <f t="shared" si="113"/>
        <v>EOS1445</v>
      </c>
      <c r="B1446" s="38">
        <v>46078</v>
      </c>
      <c r="C1446" s="4" t="s">
        <v>267</v>
      </c>
      <c r="D1446" s="1" t="str">
        <f t="shared" si="116"/>
        <v>FB</v>
      </c>
      <c r="E1446" s="2" t="s">
        <v>2048</v>
      </c>
      <c r="F1446" s="4" t="s">
        <v>275</v>
      </c>
      <c r="G1446" s="4"/>
      <c r="H1446" s="1" t="s">
        <v>69</v>
      </c>
      <c r="I1446" s="1">
        <v>130000</v>
      </c>
      <c r="J1446" s="45">
        <v>1071444</v>
      </c>
      <c r="K1446" s="1" t="str">
        <f>TRIM(Cleaned_CRM_Data!H1446)</f>
        <v>Follow up</v>
      </c>
      <c r="L1446" t="str">
        <f>IFERROR(VLOOKUP(K1446, Status_Mapping!A:B, 2,), "Not Found")</f>
        <v>Follow Up</v>
      </c>
      <c r="N1446" s="29" t="str">
        <f>IF(M1446="","",M1446-B1446)</f>
        <v/>
      </c>
      <c r="O1446" s="1" t="str">
        <f t="shared" si="114"/>
        <v>Starter</v>
      </c>
      <c r="P1446" t="str">
        <f>TEXT(B1446, "mmmm")</f>
        <v>February</v>
      </c>
      <c r="Q1446" t="str">
        <f t="shared" si="115"/>
        <v>Q1</v>
      </c>
      <c r="R1446" t="str">
        <f>IFERROR(VLOOKUP(TRIM(CLEAN(G1446)),Sheet14!$A$2:$B$19,2,FALSE),"Not Mapped")</f>
        <v>Not Mapped</v>
      </c>
    </row>
    <row r="1447" spans="1:18">
      <c r="A1447" t="str">
        <f t="shared" si="113"/>
        <v>EOS1446</v>
      </c>
      <c r="B1447" s="38">
        <v>46078</v>
      </c>
      <c r="C1447" s="4" t="s">
        <v>267</v>
      </c>
      <c r="D1447" s="1" t="str">
        <f t="shared" si="116"/>
        <v>FB</v>
      </c>
      <c r="E1447" s="2" t="s">
        <v>2049</v>
      </c>
      <c r="F1447" s="2" t="s">
        <v>2050</v>
      </c>
      <c r="G1447" s="2" t="s">
        <v>223</v>
      </c>
      <c r="H1447" s="1" t="s">
        <v>69</v>
      </c>
      <c r="I1447" s="1">
        <v>108000</v>
      </c>
      <c r="J1447" s="45">
        <v>1071445</v>
      </c>
      <c r="K1447" s="1" t="str">
        <f>TRIM(Cleaned_CRM_Data!H1447)</f>
        <v>Follow up</v>
      </c>
      <c r="L1447" t="str">
        <f>IFERROR(VLOOKUP(K1447, Status_Mapping!A:B, 2,), "Not Found")</f>
        <v>Follow Up</v>
      </c>
      <c r="N1447" s="29" t="str">
        <f>IF(M1447="","",M1447-B1447)</f>
        <v/>
      </c>
      <c r="O1447" s="1" t="str">
        <f t="shared" si="114"/>
        <v>Starter</v>
      </c>
      <c r="P1447" t="str">
        <f>TEXT(B1447, "mmmm")</f>
        <v>February</v>
      </c>
      <c r="Q1447" t="str">
        <f t="shared" si="115"/>
        <v>Q1</v>
      </c>
      <c r="R1447" t="str">
        <f>IFERROR(VLOOKUP(TRIM(CLEAN(G1447)),Sheet14!$A$2:$B$19,2,FALSE),"Not Mapped")</f>
        <v>West</v>
      </c>
    </row>
    <row r="1448" spans="1:18">
      <c r="A1448" t="str">
        <f t="shared" si="113"/>
        <v>EOS1447</v>
      </c>
      <c r="B1448" s="38">
        <v>46093</v>
      </c>
      <c r="C1448" s="4" t="s">
        <v>267</v>
      </c>
      <c r="D1448" s="1" t="str">
        <f t="shared" si="116"/>
        <v>FB</v>
      </c>
      <c r="E1448" s="2" t="s">
        <v>2051</v>
      </c>
      <c r="F1448" s="4" t="s">
        <v>412</v>
      </c>
      <c r="G1448" s="2" t="s">
        <v>223</v>
      </c>
      <c r="H1448" s="1" t="s">
        <v>69</v>
      </c>
      <c r="I1448" s="1">
        <v>108000</v>
      </c>
      <c r="J1448" s="45">
        <v>1071446</v>
      </c>
      <c r="K1448" s="1" t="str">
        <f>TRIM(Cleaned_CRM_Data!H1448)</f>
        <v>Follow up</v>
      </c>
      <c r="L1448" t="str">
        <f>IFERROR(VLOOKUP(K1448, Status_Mapping!A:B, 2,), "Not Found")</f>
        <v>Follow Up</v>
      </c>
      <c r="N1448" s="29" t="str">
        <f>IF(M1448="","",M1448-B1448)</f>
        <v/>
      </c>
      <c r="O1448" s="1" t="str">
        <f t="shared" si="114"/>
        <v>Starter</v>
      </c>
      <c r="P1448" t="str">
        <f>TEXT(B1448, "mmmm")</f>
        <v>March</v>
      </c>
      <c r="Q1448" t="str">
        <f t="shared" si="115"/>
        <v>Q1</v>
      </c>
      <c r="R1448" t="str">
        <f>IFERROR(VLOOKUP(TRIM(CLEAN(G1448)),Sheet14!$A$2:$B$19,2,FALSE),"Not Mapped")</f>
        <v>West</v>
      </c>
    </row>
    <row r="1449" spans="1:18">
      <c r="A1449" t="str">
        <f t="shared" si="113"/>
        <v>EOS1448</v>
      </c>
      <c r="B1449" s="38">
        <v>46093</v>
      </c>
      <c r="C1449" s="4" t="s">
        <v>267</v>
      </c>
      <c r="D1449" s="1" t="str">
        <f t="shared" si="116"/>
        <v>FB</v>
      </c>
      <c r="E1449" s="4" t="s">
        <v>2052</v>
      </c>
      <c r="F1449" s="4" t="s">
        <v>2053</v>
      </c>
      <c r="G1449" s="2" t="s">
        <v>223</v>
      </c>
      <c r="H1449" s="1" t="s">
        <v>69</v>
      </c>
      <c r="I1449" s="1">
        <v>108000</v>
      </c>
      <c r="J1449" s="45">
        <v>1071447</v>
      </c>
      <c r="K1449" s="1" t="str">
        <f>TRIM(Cleaned_CRM_Data!H1449)</f>
        <v>Follow up</v>
      </c>
      <c r="L1449" t="str">
        <f>IFERROR(VLOOKUP(K1449, Status_Mapping!A:B, 2,), "Not Found")</f>
        <v>Follow Up</v>
      </c>
      <c r="N1449" s="29" t="str">
        <f>IF(M1449="","",M1449-B1449)</f>
        <v/>
      </c>
      <c r="O1449" s="1" t="str">
        <f t="shared" si="114"/>
        <v>Starter</v>
      </c>
      <c r="P1449" t="str">
        <f>TEXT(B1449, "mmmm")</f>
        <v>March</v>
      </c>
      <c r="Q1449" t="str">
        <f t="shared" si="115"/>
        <v>Q1</v>
      </c>
      <c r="R1449" t="str">
        <f>IFERROR(VLOOKUP(TRIM(CLEAN(G1449)),Sheet14!$A$2:$B$19,2,FALSE),"Not Mapped")</f>
        <v>West</v>
      </c>
    </row>
    <row r="1450" spans="1:18">
      <c r="A1450" t="str">
        <f t="shared" si="113"/>
        <v>EOS1449</v>
      </c>
      <c r="B1450" s="38">
        <v>46094</v>
      </c>
      <c r="C1450" s="4" t="s">
        <v>267</v>
      </c>
      <c r="D1450" s="1" t="str">
        <f t="shared" si="116"/>
        <v>FB</v>
      </c>
      <c r="E1450" s="4" t="s">
        <v>2054</v>
      </c>
      <c r="F1450" s="4" t="s">
        <v>412</v>
      </c>
      <c r="G1450" s="2" t="s">
        <v>223</v>
      </c>
      <c r="H1450" s="1" t="s">
        <v>69</v>
      </c>
      <c r="I1450" s="1">
        <v>108000</v>
      </c>
      <c r="J1450" s="45">
        <v>1071448</v>
      </c>
      <c r="K1450" s="1" t="str">
        <f>TRIM(Cleaned_CRM_Data!H1450)</f>
        <v>Follow up</v>
      </c>
      <c r="L1450" t="str">
        <f>IFERROR(VLOOKUP(K1450, Status_Mapping!A:B, 2,), "Not Found")</f>
        <v>Follow Up</v>
      </c>
      <c r="N1450" s="29" t="str">
        <f>IF(M1450="","",M1450-B1450)</f>
        <v/>
      </c>
      <c r="O1450" s="1" t="str">
        <f t="shared" si="114"/>
        <v>Starter</v>
      </c>
      <c r="P1450" t="str">
        <f>TEXT(B1450, "mmmm")</f>
        <v>March</v>
      </c>
      <c r="Q1450" t="str">
        <f t="shared" si="115"/>
        <v>Q1</v>
      </c>
      <c r="R1450" t="str">
        <f>IFERROR(VLOOKUP(TRIM(CLEAN(G1450)),Sheet14!$A$2:$B$19,2,FALSE),"Not Mapped")</f>
        <v>West</v>
      </c>
    </row>
    <row r="1451" spans="1:18">
      <c r="A1451" t="str">
        <f t="shared" si="113"/>
        <v>EOS1450</v>
      </c>
      <c r="B1451" s="38">
        <v>46094</v>
      </c>
      <c r="C1451" s="4" t="s">
        <v>267</v>
      </c>
      <c r="D1451" s="1" t="str">
        <f t="shared" si="116"/>
        <v>FB</v>
      </c>
      <c r="E1451" s="4" t="s">
        <v>2055</v>
      </c>
      <c r="F1451" s="2" t="s">
        <v>643</v>
      </c>
      <c r="G1451" s="2" t="s">
        <v>223</v>
      </c>
      <c r="H1451" s="1" t="s">
        <v>69</v>
      </c>
      <c r="I1451" s="1">
        <v>177000</v>
      </c>
      <c r="J1451" s="45">
        <v>1071449</v>
      </c>
      <c r="K1451" s="1" t="str">
        <f>TRIM(Cleaned_CRM_Data!H1451)</f>
        <v>Follow up</v>
      </c>
      <c r="L1451" t="str">
        <f>IFERROR(VLOOKUP(K1451, Status_Mapping!A:B, 2,), "Not Found")</f>
        <v>Follow Up</v>
      </c>
      <c r="N1451" s="29" t="str">
        <f>IF(M1451="","",M1451-B1451)</f>
        <v/>
      </c>
      <c r="O1451" s="1" t="str">
        <f t="shared" si="114"/>
        <v>Growth</v>
      </c>
      <c r="P1451" t="str">
        <f>TEXT(B1451, "mmmm")</f>
        <v>March</v>
      </c>
      <c r="Q1451" t="str">
        <f t="shared" si="115"/>
        <v>Q1</v>
      </c>
      <c r="R1451" t="str">
        <f>IFERROR(VLOOKUP(TRIM(CLEAN(G1451)),Sheet14!$A$2:$B$19,2,FALSE),"Not Mapped")</f>
        <v>West</v>
      </c>
    </row>
    <row r="1452" spans="1:18">
      <c r="A1452" t="str">
        <f t="shared" si="113"/>
        <v>EOS1451</v>
      </c>
      <c r="B1452" s="38">
        <v>46097</v>
      </c>
      <c r="C1452" s="4" t="s">
        <v>267</v>
      </c>
      <c r="D1452" s="1" t="str">
        <f t="shared" si="116"/>
        <v>FB</v>
      </c>
      <c r="E1452" s="2" t="s">
        <v>2056</v>
      </c>
      <c r="F1452" s="2" t="s">
        <v>292</v>
      </c>
      <c r="G1452" s="2" t="s">
        <v>223</v>
      </c>
      <c r="H1452" s="1" t="s">
        <v>69</v>
      </c>
      <c r="I1452" s="1">
        <v>130000</v>
      </c>
      <c r="J1452" s="45">
        <v>1071450</v>
      </c>
      <c r="K1452" s="1" t="str">
        <f>TRIM(Cleaned_CRM_Data!H1452)</f>
        <v>Follow up</v>
      </c>
      <c r="L1452" t="str">
        <f>IFERROR(VLOOKUP(K1452, Status_Mapping!A:B, 2,), "Not Found")</f>
        <v>Follow Up</v>
      </c>
      <c r="N1452" s="29" t="str">
        <f>IF(M1452="","",M1452-B1452)</f>
        <v/>
      </c>
      <c r="O1452" s="1" t="str">
        <f t="shared" si="114"/>
        <v>Starter</v>
      </c>
      <c r="P1452" t="str">
        <f>TEXT(B1452, "mmmm")</f>
        <v>March</v>
      </c>
      <c r="Q1452" t="str">
        <f t="shared" si="115"/>
        <v>Q1</v>
      </c>
      <c r="R1452" t="str">
        <f>IFERROR(VLOOKUP(TRIM(CLEAN(G1452)),Sheet14!$A$2:$B$19,2,FALSE),"Not Mapped")</f>
        <v>West</v>
      </c>
    </row>
    <row r="1453" spans="1:18">
      <c r="A1453" t="str">
        <f t="shared" si="113"/>
        <v>EOS1452</v>
      </c>
      <c r="B1453" s="38">
        <v>46097</v>
      </c>
      <c r="C1453" s="4" t="s">
        <v>267</v>
      </c>
      <c r="D1453" s="1" t="str">
        <f t="shared" si="116"/>
        <v>FB</v>
      </c>
      <c r="E1453" s="2" t="s">
        <v>2057</v>
      </c>
      <c r="F1453" s="2" t="s">
        <v>321</v>
      </c>
      <c r="G1453" s="2" t="s">
        <v>223</v>
      </c>
      <c r="H1453" s="1" t="s">
        <v>69</v>
      </c>
      <c r="I1453" s="1">
        <v>108000</v>
      </c>
      <c r="J1453" s="45">
        <v>1071451</v>
      </c>
      <c r="K1453" s="1" t="str">
        <f>TRIM(Cleaned_CRM_Data!H1453)</f>
        <v>Follow up</v>
      </c>
      <c r="L1453" t="str">
        <f>IFERROR(VLOOKUP(K1453, Status_Mapping!A:B, 2,), "Not Found")</f>
        <v>Follow Up</v>
      </c>
      <c r="N1453" s="29" t="str">
        <f>IF(M1453="","",M1453-B1453)</f>
        <v/>
      </c>
      <c r="O1453" s="1" t="str">
        <f t="shared" si="114"/>
        <v>Starter</v>
      </c>
      <c r="P1453" t="str">
        <f>TEXT(B1453, "mmmm")</f>
        <v>March</v>
      </c>
      <c r="Q1453" t="str">
        <f t="shared" si="115"/>
        <v>Q1</v>
      </c>
      <c r="R1453" t="str">
        <f>IFERROR(VLOOKUP(TRIM(CLEAN(G1453)),Sheet14!$A$2:$B$19,2,FALSE),"Not Mapped")</f>
        <v>West</v>
      </c>
    </row>
    <row r="1454" spans="1:18">
      <c r="A1454" t="str">
        <f t="shared" si="113"/>
        <v>EOS1453</v>
      </c>
      <c r="B1454" s="38">
        <v>46097</v>
      </c>
      <c r="C1454" s="4" t="s">
        <v>267</v>
      </c>
      <c r="D1454" s="1" t="str">
        <f t="shared" si="116"/>
        <v>FB</v>
      </c>
      <c r="E1454" s="2" t="s">
        <v>2058</v>
      </c>
      <c r="F1454" s="2" t="s">
        <v>661</v>
      </c>
      <c r="G1454" s="2" t="s">
        <v>223</v>
      </c>
      <c r="H1454" s="1" t="s">
        <v>69</v>
      </c>
      <c r="I1454" s="1">
        <v>177000</v>
      </c>
      <c r="J1454" s="45">
        <v>1071452</v>
      </c>
      <c r="K1454" s="1" t="str">
        <f>TRIM(Cleaned_CRM_Data!H1454)</f>
        <v>Follow up</v>
      </c>
      <c r="L1454" t="str">
        <f>IFERROR(VLOOKUP(K1454, Status_Mapping!A:B, 2,), "Not Found")</f>
        <v>Follow Up</v>
      </c>
      <c r="N1454" s="29" t="str">
        <f>IF(M1454="","",M1454-B1454)</f>
        <v/>
      </c>
      <c r="O1454" s="1" t="str">
        <f t="shared" si="114"/>
        <v>Growth</v>
      </c>
      <c r="P1454" t="str">
        <f>TEXT(B1454, "mmmm")</f>
        <v>March</v>
      </c>
      <c r="Q1454" t="str">
        <f t="shared" si="115"/>
        <v>Q1</v>
      </c>
      <c r="R1454" t="str">
        <f>IFERROR(VLOOKUP(TRIM(CLEAN(G1454)),Sheet14!$A$2:$B$19,2,FALSE),"Not Mapped")</f>
        <v>West</v>
      </c>
    </row>
    <row r="1455" spans="1:18">
      <c r="A1455" t="str">
        <f t="shared" si="113"/>
        <v>EOS1454</v>
      </c>
      <c r="B1455" s="38">
        <v>46097</v>
      </c>
      <c r="C1455" s="4" t="s">
        <v>267</v>
      </c>
      <c r="D1455" s="1" t="str">
        <f t="shared" si="116"/>
        <v>FB</v>
      </c>
      <c r="E1455" s="2" t="s">
        <v>2059</v>
      </c>
      <c r="F1455" s="2" t="s">
        <v>2060</v>
      </c>
      <c r="G1455" s="2" t="s">
        <v>223</v>
      </c>
      <c r="H1455" s="1" t="s">
        <v>69</v>
      </c>
      <c r="I1455" s="1">
        <v>130000</v>
      </c>
      <c r="J1455" s="45">
        <v>1071453</v>
      </c>
      <c r="K1455" s="1" t="str">
        <f>TRIM(Cleaned_CRM_Data!H1455)</f>
        <v>Follow up</v>
      </c>
      <c r="L1455" t="str">
        <f>IFERROR(VLOOKUP(K1455, Status_Mapping!A:B, 2,), "Not Found")</f>
        <v>Follow Up</v>
      </c>
      <c r="N1455" s="29" t="str">
        <f>IF(M1455="","",M1455-B1455)</f>
        <v/>
      </c>
      <c r="O1455" s="1" t="str">
        <f t="shared" si="114"/>
        <v>Starter</v>
      </c>
      <c r="P1455" t="str">
        <f>TEXT(B1455, "mmmm")</f>
        <v>March</v>
      </c>
      <c r="Q1455" t="str">
        <f t="shared" si="115"/>
        <v>Q1</v>
      </c>
      <c r="R1455" t="str">
        <f>IFERROR(VLOOKUP(TRIM(CLEAN(G1455)),Sheet14!$A$2:$B$19,2,FALSE),"Not Mapped")</f>
        <v>West</v>
      </c>
    </row>
    <row r="1456" spans="1:18">
      <c r="A1456" t="str">
        <f t="shared" si="113"/>
        <v>EOS1455</v>
      </c>
      <c r="B1456" s="38">
        <v>46097</v>
      </c>
      <c r="C1456" s="4" t="s">
        <v>267</v>
      </c>
      <c r="D1456" s="1" t="str">
        <f t="shared" si="116"/>
        <v>FB</v>
      </c>
      <c r="E1456" s="2" t="s">
        <v>2061</v>
      </c>
      <c r="F1456" s="2" t="s">
        <v>275</v>
      </c>
      <c r="G1456" s="2" t="s">
        <v>223</v>
      </c>
      <c r="H1456" s="1" t="s">
        <v>69</v>
      </c>
      <c r="I1456" s="1">
        <v>108000</v>
      </c>
      <c r="J1456" s="45">
        <v>1071454</v>
      </c>
      <c r="K1456" s="1" t="str">
        <f>TRIM(Cleaned_CRM_Data!H1456)</f>
        <v>Follow up</v>
      </c>
      <c r="L1456" t="str">
        <f>IFERROR(VLOOKUP(K1456, Status_Mapping!A:B, 2,), "Not Found")</f>
        <v>Follow Up</v>
      </c>
      <c r="N1456" s="29" t="str">
        <f>IF(M1456="","",M1456-B1456)</f>
        <v/>
      </c>
      <c r="O1456" s="1" t="str">
        <f t="shared" si="114"/>
        <v>Starter</v>
      </c>
      <c r="P1456" t="str">
        <f>TEXT(B1456, "mmmm")</f>
        <v>March</v>
      </c>
      <c r="Q1456" t="str">
        <f t="shared" si="115"/>
        <v>Q1</v>
      </c>
      <c r="R1456" t="str">
        <f>IFERROR(VLOOKUP(TRIM(CLEAN(G1456)),Sheet14!$A$2:$B$19,2,FALSE),"Not Mapped")</f>
        <v>West</v>
      </c>
    </row>
    <row r="1457" spans="1:18">
      <c r="A1457" t="str">
        <f t="shared" si="113"/>
        <v>EOS1456</v>
      </c>
      <c r="B1457" s="38">
        <v>46097</v>
      </c>
      <c r="C1457" s="4" t="s">
        <v>267</v>
      </c>
      <c r="D1457" s="1" t="str">
        <f t="shared" si="116"/>
        <v>FB</v>
      </c>
      <c r="E1457" s="2" t="s">
        <v>2062</v>
      </c>
      <c r="F1457" s="2" t="s">
        <v>412</v>
      </c>
      <c r="G1457" s="2" t="s">
        <v>223</v>
      </c>
      <c r="H1457" s="1" t="s">
        <v>69</v>
      </c>
      <c r="I1457" s="1">
        <v>108000</v>
      </c>
      <c r="J1457" s="45">
        <v>1071455</v>
      </c>
      <c r="K1457" s="1" t="str">
        <f>TRIM(Cleaned_CRM_Data!H1457)</f>
        <v>Follow up</v>
      </c>
      <c r="L1457" t="str">
        <f>IFERROR(VLOOKUP(K1457, Status_Mapping!A:B, 2,), "Not Found")</f>
        <v>Follow Up</v>
      </c>
      <c r="N1457" s="29" t="str">
        <f>IF(M1457="","",M1457-B1457)</f>
        <v/>
      </c>
      <c r="O1457" s="1" t="str">
        <f t="shared" si="114"/>
        <v>Starter</v>
      </c>
      <c r="P1457" t="str">
        <f>TEXT(B1457, "mmmm")</f>
        <v>March</v>
      </c>
      <c r="Q1457" t="str">
        <f t="shared" si="115"/>
        <v>Q1</v>
      </c>
      <c r="R1457" t="str">
        <f>IFERROR(VLOOKUP(TRIM(CLEAN(G1457)),Sheet14!$A$2:$B$19,2,FALSE),"Not Mapped")</f>
        <v>West</v>
      </c>
    </row>
    <row r="1458" spans="1:18">
      <c r="A1458" t="str">
        <f t="shared" si="113"/>
        <v>EOS1457</v>
      </c>
      <c r="B1458" s="38">
        <v>46097</v>
      </c>
      <c r="C1458" s="4" t="s">
        <v>267</v>
      </c>
      <c r="D1458" s="1" t="str">
        <f t="shared" si="116"/>
        <v>FB</v>
      </c>
      <c r="E1458" s="2" t="s">
        <v>2063</v>
      </c>
      <c r="F1458" s="2" t="s">
        <v>654</v>
      </c>
      <c r="G1458" s="2" t="s">
        <v>223</v>
      </c>
      <c r="H1458" s="1" t="s">
        <v>69</v>
      </c>
      <c r="I1458" s="1">
        <v>108000</v>
      </c>
      <c r="J1458" s="45">
        <v>1071456</v>
      </c>
      <c r="K1458" s="1" t="str">
        <f>TRIM(Cleaned_CRM_Data!H1458)</f>
        <v>Follow up</v>
      </c>
      <c r="L1458" t="str">
        <f>IFERROR(VLOOKUP(K1458, Status_Mapping!A:B, 2,), "Not Found")</f>
        <v>Follow Up</v>
      </c>
      <c r="N1458" s="29" t="str">
        <f>IF(M1458="","",M1458-B1458)</f>
        <v/>
      </c>
      <c r="O1458" s="1" t="str">
        <f t="shared" si="114"/>
        <v>Starter</v>
      </c>
      <c r="P1458" t="str">
        <f>TEXT(B1458, "mmmm")</f>
        <v>March</v>
      </c>
      <c r="Q1458" t="str">
        <f t="shared" si="115"/>
        <v>Q1</v>
      </c>
      <c r="R1458" t="str">
        <f>IFERROR(VLOOKUP(TRIM(CLEAN(G1458)),Sheet14!$A$2:$B$19,2,FALSE),"Not Mapped")</f>
        <v>West</v>
      </c>
    </row>
    <row r="1459" spans="1:18">
      <c r="A1459" t="str">
        <f t="shared" si="113"/>
        <v>EOS1458</v>
      </c>
      <c r="B1459" s="38">
        <v>46097</v>
      </c>
      <c r="C1459" s="4" t="s">
        <v>267</v>
      </c>
      <c r="D1459" s="1" t="str">
        <f t="shared" si="116"/>
        <v>FB</v>
      </c>
      <c r="E1459" s="2" t="s">
        <v>2064</v>
      </c>
      <c r="F1459" s="2" t="s">
        <v>275</v>
      </c>
      <c r="G1459" s="2" t="s">
        <v>223</v>
      </c>
      <c r="H1459" s="1" t="s">
        <v>149</v>
      </c>
      <c r="I1459" s="1">
        <v>130000</v>
      </c>
      <c r="J1459" s="45">
        <v>1071457</v>
      </c>
      <c r="K1459" s="1" t="str">
        <f>TRIM(Cleaned_CRM_Data!H1459)</f>
        <v>Rejected</v>
      </c>
      <c r="L1459" t="str">
        <f>IFERROR(VLOOKUP(K1459, Status_Mapping!A:B, 2,), "Not Found")</f>
        <v>Rejected</v>
      </c>
      <c r="N1459" s="29" t="str">
        <f>IF(M1459="","",M1459-B1459)</f>
        <v/>
      </c>
      <c r="O1459" s="1" t="str">
        <f t="shared" si="114"/>
        <v>Starter</v>
      </c>
      <c r="P1459" t="str">
        <f>TEXT(B1459, "mmmm")</f>
        <v>March</v>
      </c>
      <c r="Q1459" t="str">
        <f t="shared" si="115"/>
        <v>Q1</v>
      </c>
      <c r="R1459" t="str">
        <f>IFERROR(VLOOKUP(TRIM(CLEAN(G1459)),Sheet14!$A$2:$B$19,2,FALSE),"Not Mapped")</f>
        <v>West</v>
      </c>
    </row>
    <row r="1460" spans="1:18">
      <c r="A1460" t="str">
        <f t="shared" si="113"/>
        <v>EOS1459</v>
      </c>
      <c r="B1460" s="38">
        <v>46097</v>
      </c>
      <c r="C1460" s="4" t="s">
        <v>267</v>
      </c>
      <c r="D1460" s="1" t="str">
        <f t="shared" si="116"/>
        <v>FB</v>
      </c>
      <c r="E1460" s="2" t="s">
        <v>2065</v>
      </c>
      <c r="F1460" s="2" t="s">
        <v>275</v>
      </c>
      <c r="G1460" s="2" t="s">
        <v>223</v>
      </c>
      <c r="H1460" s="1" t="s">
        <v>69</v>
      </c>
      <c r="I1460" s="1">
        <v>130000</v>
      </c>
      <c r="J1460" s="45">
        <v>1071458</v>
      </c>
      <c r="K1460" s="1" t="str">
        <f>TRIM(Cleaned_CRM_Data!H1460)</f>
        <v>Follow up</v>
      </c>
      <c r="L1460" t="str">
        <f>IFERROR(VLOOKUP(K1460, Status_Mapping!A:B, 2,), "Not Found")</f>
        <v>Follow Up</v>
      </c>
      <c r="N1460" s="29" t="str">
        <f>IF(M1460="","",M1460-B1460)</f>
        <v/>
      </c>
      <c r="O1460" s="1" t="str">
        <f t="shared" si="114"/>
        <v>Starter</v>
      </c>
      <c r="P1460" t="str">
        <f>TEXT(B1460, "mmmm")</f>
        <v>March</v>
      </c>
      <c r="Q1460" t="str">
        <f t="shared" si="115"/>
        <v>Q1</v>
      </c>
      <c r="R1460" t="str">
        <f>IFERROR(VLOOKUP(TRIM(CLEAN(G1460)),Sheet14!$A$2:$B$19,2,FALSE),"Not Mapped")</f>
        <v>West</v>
      </c>
    </row>
    <row r="1461" spans="1:18">
      <c r="A1461" t="str">
        <f t="shared" si="113"/>
        <v>EOS1460</v>
      </c>
      <c r="B1461" s="38">
        <v>46097</v>
      </c>
      <c r="C1461" s="4" t="s">
        <v>267</v>
      </c>
      <c r="D1461" s="1" t="str">
        <f t="shared" si="116"/>
        <v>FB</v>
      </c>
      <c r="E1461" s="2" t="s">
        <v>2066</v>
      </c>
      <c r="F1461" s="2" t="s">
        <v>661</v>
      </c>
      <c r="G1461" s="2" t="s">
        <v>223</v>
      </c>
      <c r="H1461" s="1" t="s">
        <v>69</v>
      </c>
      <c r="I1461" s="1">
        <v>108000</v>
      </c>
      <c r="J1461" s="45">
        <v>1071459</v>
      </c>
      <c r="K1461" s="1" t="str">
        <f>TRIM(Cleaned_CRM_Data!H1461)</f>
        <v>Follow up</v>
      </c>
      <c r="L1461" t="str">
        <f>IFERROR(VLOOKUP(K1461, Status_Mapping!A:B, 2,), "Not Found")</f>
        <v>Follow Up</v>
      </c>
      <c r="N1461" s="29" t="str">
        <f>IF(M1461="","",M1461-B1461)</f>
        <v/>
      </c>
      <c r="O1461" s="1" t="str">
        <f t="shared" si="114"/>
        <v>Starter</v>
      </c>
      <c r="P1461" t="str">
        <f>TEXT(B1461, "mmmm")</f>
        <v>March</v>
      </c>
      <c r="Q1461" t="str">
        <f t="shared" si="115"/>
        <v>Q1</v>
      </c>
      <c r="R1461" t="str">
        <f>IFERROR(VLOOKUP(TRIM(CLEAN(G1461)),Sheet14!$A$2:$B$19,2,FALSE),"Not Mapped")</f>
        <v>West</v>
      </c>
    </row>
    <row r="1462" spans="1:18">
      <c r="A1462" t="str">
        <f t="shared" si="113"/>
        <v>EOS1461</v>
      </c>
      <c r="B1462" s="38">
        <v>46097</v>
      </c>
      <c r="C1462" s="4" t="s">
        <v>267</v>
      </c>
      <c r="D1462" s="1" t="str">
        <f t="shared" si="116"/>
        <v>FB</v>
      </c>
      <c r="E1462" s="2" t="s">
        <v>2067</v>
      </c>
      <c r="F1462" s="2" t="s">
        <v>2068</v>
      </c>
      <c r="G1462" s="2" t="s">
        <v>223</v>
      </c>
      <c r="H1462" s="1" t="s">
        <v>69</v>
      </c>
      <c r="I1462" s="1">
        <v>130000</v>
      </c>
      <c r="J1462" s="45">
        <v>1071460</v>
      </c>
      <c r="K1462" s="1" t="str">
        <f>TRIM(Cleaned_CRM_Data!H1462)</f>
        <v>Follow up</v>
      </c>
      <c r="L1462" t="str">
        <f>IFERROR(VLOOKUP(K1462, Status_Mapping!A:B, 2,), "Not Found")</f>
        <v>Follow Up</v>
      </c>
      <c r="N1462" s="29" t="str">
        <f>IF(M1462="","",M1462-B1462)</f>
        <v/>
      </c>
      <c r="O1462" s="1" t="str">
        <f t="shared" si="114"/>
        <v>Starter</v>
      </c>
      <c r="P1462" t="str">
        <f>TEXT(B1462, "mmmm")</f>
        <v>March</v>
      </c>
      <c r="Q1462" t="str">
        <f t="shared" si="115"/>
        <v>Q1</v>
      </c>
      <c r="R1462" t="str">
        <f>IFERROR(VLOOKUP(TRIM(CLEAN(G1462)),Sheet14!$A$2:$B$19,2,FALSE),"Not Mapped")</f>
        <v>West</v>
      </c>
    </row>
    <row r="1463" spans="1:18">
      <c r="A1463" t="str">
        <f t="shared" si="113"/>
        <v>EOS1462</v>
      </c>
      <c r="B1463" s="38">
        <v>46097</v>
      </c>
      <c r="C1463" s="4" t="s">
        <v>267</v>
      </c>
      <c r="D1463" s="1" t="str">
        <f t="shared" si="116"/>
        <v>FB</v>
      </c>
      <c r="E1463" s="2" t="s">
        <v>2069</v>
      </c>
      <c r="F1463" s="2" t="s">
        <v>2050</v>
      </c>
      <c r="G1463" s="2" t="s">
        <v>223</v>
      </c>
      <c r="H1463" s="1" t="s">
        <v>69</v>
      </c>
      <c r="I1463" s="1">
        <v>108000</v>
      </c>
      <c r="J1463" s="45">
        <v>1071461</v>
      </c>
      <c r="K1463" s="1" t="str">
        <f>TRIM(Cleaned_CRM_Data!H1463)</f>
        <v>Follow up</v>
      </c>
      <c r="L1463" t="str">
        <f>IFERROR(VLOOKUP(K1463, Status_Mapping!A:B, 2,), "Not Found")</f>
        <v>Follow Up</v>
      </c>
      <c r="N1463" s="29" t="str">
        <f>IF(M1463="","",M1463-B1463)</f>
        <v/>
      </c>
      <c r="O1463" s="1" t="str">
        <f t="shared" si="114"/>
        <v>Starter</v>
      </c>
      <c r="P1463" t="str">
        <f>TEXT(B1463, "mmmm")</f>
        <v>March</v>
      </c>
      <c r="Q1463" t="str">
        <f t="shared" si="115"/>
        <v>Q1</v>
      </c>
      <c r="R1463" t="str">
        <f>IFERROR(VLOOKUP(TRIM(CLEAN(G1463)),Sheet14!$A$2:$B$19,2,FALSE),"Not Mapped")</f>
        <v>West</v>
      </c>
    </row>
    <row r="1464" spans="1:18">
      <c r="A1464" t="str">
        <f t="shared" si="113"/>
        <v>EOS1463</v>
      </c>
      <c r="B1464" s="38">
        <v>46097</v>
      </c>
      <c r="C1464" s="4" t="s">
        <v>267</v>
      </c>
      <c r="D1464" s="1" t="str">
        <f t="shared" si="116"/>
        <v>FB</v>
      </c>
      <c r="E1464" s="2" t="s">
        <v>2070</v>
      </c>
      <c r="F1464" s="2" t="s">
        <v>336</v>
      </c>
      <c r="G1464" s="2" t="s">
        <v>223</v>
      </c>
      <c r="H1464" s="1" t="s">
        <v>69</v>
      </c>
      <c r="I1464" s="1">
        <v>130000</v>
      </c>
      <c r="J1464" s="45">
        <v>1071462</v>
      </c>
      <c r="K1464" s="1" t="str">
        <f>TRIM(Cleaned_CRM_Data!H1464)</f>
        <v>Follow up</v>
      </c>
      <c r="L1464" t="str">
        <f>IFERROR(VLOOKUP(K1464, Status_Mapping!A:B, 2,), "Not Found")</f>
        <v>Follow Up</v>
      </c>
      <c r="N1464" s="29" t="str">
        <f>IF(M1464="","",M1464-B1464)</f>
        <v/>
      </c>
      <c r="O1464" s="1" t="str">
        <f t="shared" si="114"/>
        <v>Starter</v>
      </c>
      <c r="P1464" t="str">
        <f>TEXT(B1464, "mmmm")</f>
        <v>March</v>
      </c>
      <c r="Q1464" t="str">
        <f t="shared" si="115"/>
        <v>Q1</v>
      </c>
      <c r="R1464" t="str">
        <f>IFERROR(VLOOKUP(TRIM(CLEAN(G1464)),Sheet14!$A$2:$B$19,2,FALSE),"Not Mapped")</f>
        <v>West</v>
      </c>
    </row>
    <row r="1465" spans="1:18">
      <c r="A1465" t="str">
        <f t="shared" si="113"/>
        <v>EOS1464</v>
      </c>
      <c r="B1465" s="38">
        <v>46097</v>
      </c>
      <c r="C1465" s="4" t="s">
        <v>267</v>
      </c>
      <c r="D1465" s="1" t="str">
        <f t="shared" si="116"/>
        <v>FB</v>
      </c>
      <c r="E1465" s="2" t="s">
        <v>2047</v>
      </c>
      <c r="F1465" s="2" t="s">
        <v>2071</v>
      </c>
      <c r="G1465" s="2" t="s">
        <v>223</v>
      </c>
      <c r="H1465" s="1" t="s">
        <v>69</v>
      </c>
      <c r="I1465" s="1">
        <v>130000</v>
      </c>
      <c r="J1465" s="45">
        <v>1071463</v>
      </c>
      <c r="K1465" s="1" t="str">
        <f>TRIM(Cleaned_CRM_Data!H1465)</f>
        <v>Follow up</v>
      </c>
      <c r="L1465" t="str">
        <f>IFERROR(VLOOKUP(K1465, Status_Mapping!A:B, 2,), "Not Found")</f>
        <v>Follow Up</v>
      </c>
      <c r="N1465" s="29" t="str">
        <f>IF(M1465="","",M1465-B1465)</f>
        <v/>
      </c>
      <c r="O1465" s="1" t="str">
        <f t="shared" si="114"/>
        <v>Starter</v>
      </c>
      <c r="P1465" t="str">
        <f>TEXT(B1465, "mmmm")</f>
        <v>March</v>
      </c>
      <c r="Q1465" t="str">
        <f t="shared" si="115"/>
        <v>Q1</v>
      </c>
      <c r="R1465" t="str">
        <f>IFERROR(VLOOKUP(TRIM(CLEAN(G1465)),Sheet14!$A$2:$B$19,2,FALSE),"Not Mapped")</f>
        <v>West</v>
      </c>
    </row>
    <row r="1466" spans="1:18">
      <c r="A1466" t="str">
        <f t="shared" si="113"/>
        <v>EOS1465</v>
      </c>
      <c r="B1466" s="38">
        <v>46097</v>
      </c>
      <c r="C1466" s="4" t="s">
        <v>267</v>
      </c>
      <c r="D1466" s="1" t="str">
        <f t="shared" si="116"/>
        <v>FB</v>
      </c>
      <c r="E1466" s="2" t="s">
        <v>410</v>
      </c>
      <c r="F1466" s="2" t="s">
        <v>2072</v>
      </c>
      <c r="G1466" s="4" t="s">
        <v>229</v>
      </c>
      <c r="H1466" s="1" t="s">
        <v>69</v>
      </c>
      <c r="I1466" s="1">
        <v>108000</v>
      </c>
      <c r="J1466" s="45">
        <v>1071464</v>
      </c>
      <c r="K1466" s="1" t="str">
        <f>TRIM(Cleaned_CRM_Data!H1466)</f>
        <v>Follow up</v>
      </c>
      <c r="L1466" t="str">
        <f>IFERROR(VLOOKUP(K1466, Status_Mapping!A:B, 2,), "Not Found")</f>
        <v>Follow Up</v>
      </c>
      <c r="N1466" s="29" t="str">
        <f>IF(M1466="","",M1466-B1466)</f>
        <v/>
      </c>
      <c r="O1466" s="1" t="str">
        <f t="shared" si="114"/>
        <v>Starter</v>
      </c>
      <c r="P1466" t="str">
        <f>TEXT(B1466, "mmmm")</f>
        <v>March</v>
      </c>
      <c r="Q1466" t="str">
        <f t="shared" si="115"/>
        <v>Q1</v>
      </c>
      <c r="R1466" t="str">
        <f>IFERROR(VLOOKUP(TRIM(CLEAN(G1466)),Sheet14!$A$2:$B$19,2,FALSE),"Not Mapped")</f>
        <v>West</v>
      </c>
    </row>
    <row r="1467" spans="1:18">
      <c r="A1467" t="str">
        <f t="shared" si="113"/>
        <v>EOS1466</v>
      </c>
      <c r="B1467" s="38">
        <v>46097</v>
      </c>
      <c r="C1467" s="4" t="s">
        <v>267</v>
      </c>
      <c r="D1467" s="1" t="str">
        <f t="shared" si="116"/>
        <v>FB</v>
      </c>
      <c r="E1467" s="2" t="s">
        <v>2073</v>
      </c>
      <c r="F1467" s="2" t="s">
        <v>364</v>
      </c>
      <c r="G1467" s="2" t="s">
        <v>223</v>
      </c>
      <c r="H1467" s="1" t="s">
        <v>69</v>
      </c>
      <c r="I1467" s="1">
        <v>108000</v>
      </c>
      <c r="J1467" s="45">
        <v>1071465</v>
      </c>
      <c r="K1467" s="1" t="str">
        <f>TRIM(Cleaned_CRM_Data!H1467)</f>
        <v>Follow up</v>
      </c>
      <c r="L1467" t="str">
        <f>IFERROR(VLOOKUP(K1467, Status_Mapping!A:B, 2,), "Not Found")</f>
        <v>Follow Up</v>
      </c>
      <c r="N1467" s="29" t="str">
        <f>IF(M1467="","",M1467-B1467)</f>
        <v/>
      </c>
      <c r="O1467" s="1" t="str">
        <f t="shared" si="114"/>
        <v>Starter</v>
      </c>
      <c r="P1467" t="str">
        <f>TEXT(B1467, "mmmm")</f>
        <v>March</v>
      </c>
      <c r="Q1467" t="str">
        <f t="shared" si="115"/>
        <v>Q1</v>
      </c>
      <c r="R1467" t="str">
        <f>IFERROR(VLOOKUP(TRIM(CLEAN(G1467)),Sheet14!$A$2:$B$19,2,FALSE),"Not Mapped")</f>
        <v>West</v>
      </c>
    </row>
    <row r="1468" spans="1:18">
      <c r="A1468" t="str">
        <f t="shared" si="113"/>
        <v>EOS1467</v>
      </c>
      <c r="B1468" s="38">
        <v>46098</v>
      </c>
      <c r="C1468" s="4" t="s">
        <v>267</v>
      </c>
      <c r="D1468" s="1" t="str">
        <f t="shared" si="116"/>
        <v>FB</v>
      </c>
      <c r="E1468" s="2" t="s">
        <v>2074</v>
      </c>
      <c r="F1468" s="2" t="s">
        <v>661</v>
      </c>
      <c r="G1468" s="2" t="s">
        <v>223</v>
      </c>
      <c r="H1468" s="1" t="s">
        <v>69</v>
      </c>
      <c r="I1468" s="1">
        <v>108000</v>
      </c>
      <c r="J1468" s="45">
        <v>1071466</v>
      </c>
      <c r="K1468" s="1" t="str">
        <f>TRIM(Cleaned_CRM_Data!H1468)</f>
        <v>Follow up</v>
      </c>
      <c r="L1468" t="str">
        <f>IFERROR(VLOOKUP(K1468, Status_Mapping!A:B, 2,), "Not Found")</f>
        <v>Follow Up</v>
      </c>
      <c r="N1468" s="29" t="str">
        <f>IF(M1468="","",M1468-B1468)</f>
        <v/>
      </c>
      <c r="O1468" s="1" t="str">
        <f t="shared" si="114"/>
        <v>Starter</v>
      </c>
      <c r="P1468" t="str">
        <f>TEXT(B1468, "mmmm")</f>
        <v>March</v>
      </c>
      <c r="Q1468" t="str">
        <f t="shared" si="115"/>
        <v>Q1</v>
      </c>
      <c r="R1468" t="str">
        <f>IFERROR(VLOOKUP(TRIM(CLEAN(G1468)),Sheet14!$A$2:$B$19,2,FALSE),"Not Mapped")</f>
        <v>West</v>
      </c>
    </row>
    <row r="1469" spans="1:18">
      <c r="A1469" t="str">
        <f t="shared" si="113"/>
        <v>EOS1468</v>
      </c>
      <c r="B1469" s="38">
        <v>46098</v>
      </c>
      <c r="C1469" s="4" t="s">
        <v>267</v>
      </c>
      <c r="D1469" s="1" t="str">
        <f t="shared" si="116"/>
        <v>FB</v>
      </c>
      <c r="E1469" s="2" t="s">
        <v>2075</v>
      </c>
      <c r="F1469" s="2" t="s">
        <v>292</v>
      </c>
      <c r="G1469" s="2" t="s">
        <v>223</v>
      </c>
      <c r="H1469" s="1" t="s">
        <v>69</v>
      </c>
      <c r="I1469" s="1">
        <v>130000</v>
      </c>
      <c r="J1469" s="45">
        <v>1071467</v>
      </c>
      <c r="K1469" s="1" t="str">
        <f>TRIM(Cleaned_CRM_Data!H1469)</f>
        <v>Follow up</v>
      </c>
      <c r="L1469" t="str">
        <f>IFERROR(VLOOKUP(K1469, Status_Mapping!A:B, 2,), "Not Found")</f>
        <v>Follow Up</v>
      </c>
      <c r="N1469" s="29" t="str">
        <f>IF(M1469="","",M1469-B1469)</f>
        <v/>
      </c>
      <c r="O1469" s="1" t="str">
        <f t="shared" si="114"/>
        <v>Starter</v>
      </c>
      <c r="P1469" t="str">
        <f>TEXT(B1469, "mmmm")</f>
        <v>March</v>
      </c>
      <c r="Q1469" t="str">
        <f t="shared" si="115"/>
        <v>Q1</v>
      </c>
      <c r="R1469" t="str">
        <f>IFERROR(VLOOKUP(TRIM(CLEAN(G1469)),Sheet14!$A$2:$B$19,2,FALSE),"Not Mapped")</f>
        <v>West</v>
      </c>
    </row>
    <row r="1470" spans="1:18">
      <c r="A1470" t="str">
        <f t="shared" si="113"/>
        <v>EOS1469</v>
      </c>
      <c r="B1470" s="38">
        <v>46098</v>
      </c>
      <c r="C1470" s="4" t="s">
        <v>267</v>
      </c>
      <c r="D1470" s="1" t="str">
        <f t="shared" si="116"/>
        <v>FB</v>
      </c>
      <c r="E1470" s="2" t="s">
        <v>2076</v>
      </c>
      <c r="F1470" s="4"/>
      <c r="G1470" s="2" t="s">
        <v>223</v>
      </c>
      <c r="H1470" s="1" t="s">
        <v>69</v>
      </c>
      <c r="I1470" s="1">
        <v>130000</v>
      </c>
      <c r="J1470" s="45">
        <v>1071468</v>
      </c>
      <c r="K1470" s="1" t="str">
        <f>TRIM(Cleaned_CRM_Data!H1470)</f>
        <v>Follow up</v>
      </c>
      <c r="L1470" t="str">
        <f>IFERROR(VLOOKUP(K1470, Status_Mapping!A:B, 2,), "Not Found")</f>
        <v>Follow Up</v>
      </c>
      <c r="N1470" s="29" t="str">
        <f>IF(M1470="","",M1470-B1470)</f>
        <v/>
      </c>
      <c r="O1470" s="1" t="str">
        <f t="shared" si="114"/>
        <v>Starter</v>
      </c>
      <c r="P1470" t="str">
        <f>TEXT(B1470, "mmmm")</f>
        <v>March</v>
      </c>
      <c r="Q1470" t="str">
        <f t="shared" si="115"/>
        <v>Q1</v>
      </c>
      <c r="R1470" t="str">
        <f>IFERROR(VLOOKUP(TRIM(CLEAN(G1470)),Sheet14!$A$2:$B$19,2,FALSE),"Not Mapped")</f>
        <v>West</v>
      </c>
    </row>
    <row r="1471" spans="1:18">
      <c r="A1471" t="str">
        <f t="shared" si="113"/>
        <v>EOS1470</v>
      </c>
      <c r="B1471" s="38">
        <v>46098</v>
      </c>
      <c r="C1471" s="4" t="s">
        <v>267</v>
      </c>
      <c r="D1471" s="1" t="str">
        <f t="shared" si="116"/>
        <v>FB</v>
      </c>
      <c r="E1471" s="2" t="s">
        <v>2077</v>
      </c>
      <c r="F1471" s="4" t="s">
        <v>2078</v>
      </c>
      <c r="G1471" s="2" t="s">
        <v>223</v>
      </c>
      <c r="H1471" s="1" t="s">
        <v>69</v>
      </c>
      <c r="I1471" s="1">
        <v>108000</v>
      </c>
      <c r="J1471" s="45">
        <v>1071469</v>
      </c>
      <c r="K1471" s="1" t="str">
        <f>TRIM(Cleaned_CRM_Data!H1471)</f>
        <v>Follow up</v>
      </c>
      <c r="L1471" t="str">
        <f>IFERROR(VLOOKUP(K1471, Status_Mapping!A:B, 2,), "Not Found")</f>
        <v>Follow Up</v>
      </c>
      <c r="N1471" s="29" t="str">
        <f>IF(M1471="","",M1471-B1471)</f>
        <v/>
      </c>
      <c r="O1471" s="1" t="str">
        <f t="shared" si="114"/>
        <v>Starter</v>
      </c>
      <c r="P1471" t="str">
        <f>TEXT(B1471, "mmmm")</f>
        <v>March</v>
      </c>
      <c r="Q1471" t="str">
        <f t="shared" si="115"/>
        <v>Q1</v>
      </c>
      <c r="R1471" t="str">
        <f>IFERROR(VLOOKUP(TRIM(CLEAN(G1471)),Sheet14!$A$2:$B$19,2,FALSE),"Not Mapped")</f>
        <v>West</v>
      </c>
    </row>
    <row r="1472" spans="1:18">
      <c r="A1472" t="str">
        <f t="shared" si="113"/>
        <v>EOS1471</v>
      </c>
      <c r="B1472" s="38">
        <v>46098</v>
      </c>
      <c r="C1472" s="4" t="s">
        <v>267</v>
      </c>
      <c r="D1472" s="1" t="str">
        <f t="shared" si="116"/>
        <v>FB</v>
      </c>
      <c r="E1472" s="4" t="s">
        <v>2079</v>
      </c>
      <c r="F1472" s="1" t="s">
        <v>358</v>
      </c>
      <c r="G1472" s="1" t="s">
        <v>223</v>
      </c>
      <c r="H1472" s="1" t="s">
        <v>69</v>
      </c>
      <c r="I1472" s="1">
        <v>108000</v>
      </c>
      <c r="J1472" s="45">
        <v>1071470</v>
      </c>
      <c r="K1472" s="1" t="str">
        <f>TRIM(Cleaned_CRM_Data!H1472)</f>
        <v>Follow up</v>
      </c>
      <c r="L1472" t="str">
        <f>IFERROR(VLOOKUP(K1472, Status_Mapping!A:B, 2,), "Not Found")</f>
        <v>Follow Up</v>
      </c>
      <c r="N1472" s="29" t="str">
        <f>IF(M1472="","",M1472-B1472)</f>
        <v/>
      </c>
      <c r="O1472" s="1" t="str">
        <f t="shared" si="114"/>
        <v>Starter</v>
      </c>
      <c r="P1472" t="str">
        <f>TEXT(B1472, "mmmm")</f>
        <v>March</v>
      </c>
      <c r="Q1472" t="str">
        <f t="shared" si="115"/>
        <v>Q1</v>
      </c>
      <c r="R1472" t="str">
        <f>IFERROR(VLOOKUP(TRIM(CLEAN(G1472)),Sheet14!$A$2:$B$19,2,FALSE),"Not Mapped")</f>
        <v>West</v>
      </c>
    </row>
    <row r="1473" spans="1:18">
      <c r="A1473" t="str">
        <f t="shared" si="113"/>
        <v>EOS1472</v>
      </c>
      <c r="B1473" s="35">
        <v>46099</v>
      </c>
      <c r="C1473" s="4" t="s">
        <v>267</v>
      </c>
      <c r="D1473" s="1" t="str">
        <f t="shared" si="116"/>
        <v>FB</v>
      </c>
      <c r="E1473" s="1" t="s">
        <v>357</v>
      </c>
      <c r="F1473" s="4" t="s">
        <v>945</v>
      </c>
      <c r="G1473" s="1" t="s">
        <v>223</v>
      </c>
      <c r="H1473" s="1" t="s">
        <v>69</v>
      </c>
      <c r="I1473" s="1">
        <v>130000</v>
      </c>
      <c r="J1473" s="45">
        <v>1071471</v>
      </c>
      <c r="K1473" s="1" t="str">
        <f>TRIM(Cleaned_CRM_Data!H1473)</f>
        <v>Follow up</v>
      </c>
      <c r="L1473" t="str">
        <f>IFERROR(VLOOKUP(K1473, Status_Mapping!A:B, 2,), "Not Found")</f>
        <v>Follow Up</v>
      </c>
      <c r="N1473" s="29" t="str">
        <f>IF(M1473="","",M1473-B1473)</f>
        <v/>
      </c>
      <c r="O1473" s="1" t="str">
        <f t="shared" si="114"/>
        <v>Starter</v>
      </c>
      <c r="P1473" t="str">
        <f>TEXT(B1473, "mmmm")</f>
        <v>March</v>
      </c>
      <c r="Q1473" t="str">
        <f t="shared" si="115"/>
        <v>Q1</v>
      </c>
      <c r="R1473" t="str">
        <f>IFERROR(VLOOKUP(TRIM(CLEAN(G1473)),Sheet14!$A$2:$B$19,2,FALSE),"Not Mapped")</f>
        <v>West</v>
      </c>
    </row>
    <row r="1474" spans="1:18">
      <c r="A1474" t="str">
        <f t="shared" si="113"/>
        <v>EOS1473</v>
      </c>
      <c r="B1474" s="38">
        <v>46099</v>
      </c>
      <c r="C1474" s="4" t="s">
        <v>267</v>
      </c>
      <c r="D1474" s="1" t="str">
        <f t="shared" si="116"/>
        <v>FB</v>
      </c>
      <c r="E1474" s="4" t="s">
        <v>2080</v>
      </c>
      <c r="F1474" s="2" t="s">
        <v>275</v>
      </c>
      <c r="G1474" s="1" t="s">
        <v>223</v>
      </c>
      <c r="H1474" s="1" t="s">
        <v>149</v>
      </c>
      <c r="I1474" s="1">
        <v>130000</v>
      </c>
      <c r="J1474" s="45">
        <v>1071472</v>
      </c>
      <c r="K1474" s="1" t="str">
        <f>TRIM(Cleaned_CRM_Data!H1474)</f>
        <v>Rejected</v>
      </c>
      <c r="L1474" t="str">
        <f>IFERROR(VLOOKUP(K1474, Status_Mapping!A:B, 2,), "Not Found")</f>
        <v>Rejected</v>
      </c>
      <c r="N1474" s="29" t="str">
        <f>IF(M1474="","",M1474-B1474)</f>
        <v/>
      </c>
      <c r="O1474" s="1" t="str">
        <f t="shared" si="114"/>
        <v>Starter</v>
      </c>
      <c r="P1474" t="str">
        <f>TEXT(B1474, "mmmm")</f>
        <v>March</v>
      </c>
      <c r="Q1474" t="str">
        <f t="shared" si="115"/>
        <v>Q1</v>
      </c>
      <c r="R1474" t="str">
        <f>IFERROR(VLOOKUP(TRIM(CLEAN(G1474)),Sheet14!$A$2:$B$19,2,FALSE),"Not Mapped")</f>
        <v>West</v>
      </c>
    </row>
    <row r="1475" spans="1:18">
      <c r="A1475" t="str">
        <f t="shared" ref="A1475:A1538" si="117">"EOS"&amp;TEXT(ROW()-1,"0000")</f>
        <v>EOS1474</v>
      </c>
      <c r="B1475" s="38">
        <v>46101</v>
      </c>
      <c r="C1475" s="1" t="s">
        <v>267</v>
      </c>
      <c r="D1475" s="1" t="str">
        <f t="shared" si="116"/>
        <v>FB</v>
      </c>
      <c r="E1475" s="2" t="s">
        <v>829</v>
      </c>
      <c r="F1475" s="2" t="s">
        <v>354</v>
      </c>
      <c r="G1475" s="1" t="s">
        <v>223</v>
      </c>
      <c r="H1475" s="1" t="s">
        <v>69</v>
      </c>
      <c r="I1475" s="1">
        <v>108000</v>
      </c>
      <c r="J1475" s="45">
        <v>1071473</v>
      </c>
      <c r="K1475" s="1" t="str">
        <f>TRIM(Cleaned_CRM_Data!H1475)</f>
        <v>Follow up</v>
      </c>
      <c r="L1475" t="str">
        <f>IFERROR(VLOOKUP(K1475, Status_Mapping!A:B, 2,), "Not Found")</f>
        <v>Follow Up</v>
      </c>
      <c r="N1475" s="29" t="str">
        <f>IF(M1475="","",M1475-B1475)</f>
        <v/>
      </c>
      <c r="O1475" s="1" t="str">
        <f t="shared" ref="O1475:O1538" si="118">IF(OR(I1475=108000,I1475=130000),"Starter",IF(I1475=177000,"Growth","Premium"))</f>
        <v>Starter</v>
      </c>
      <c r="P1475" t="str">
        <f>TEXT(B1475, "mmmm")</f>
        <v>March</v>
      </c>
      <c r="Q1475" t="str">
        <f t="shared" ref="Q1475:Q1538" si="119">"Q"&amp;ROUNDUP(MONTH(B1475)/3,0)</f>
        <v>Q1</v>
      </c>
      <c r="R1475" t="str">
        <f>IFERROR(VLOOKUP(TRIM(CLEAN(G1475)),Sheet14!$A$2:$B$19,2,FALSE),"Not Mapped")</f>
        <v>West</v>
      </c>
    </row>
    <row r="1476" spans="1:18">
      <c r="A1476" t="str">
        <f t="shared" si="117"/>
        <v>EOS1475</v>
      </c>
      <c r="B1476" s="38">
        <v>46101</v>
      </c>
      <c r="C1476" s="4" t="s">
        <v>267</v>
      </c>
      <c r="D1476" s="1" t="str">
        <f t="shared" si="116"/>
        <v>FB</v>
      </c>
      <c r="E1476" s="2" t="s">
        <v>2081</v>
      </c>
      <c r="F1476" s="2" t="s">
        <v>2082</v>
      </c>
      <c r="G1476" s="1" t="s">
        <v>223</v>
      </c>
      <c r="H1476" s="1" t="s">
        <v>69</v>
      </c>
      <c r="I1476" s="1">
        <v>108000</v>
      </c>
      <c r="J1476" s="45">
        <v>1071474</v>
      </c>
      <c r="K1476" s="1" t="str">
        <f>TRIM(Cleaned_CRM_Data!H1476)</f>
        <v>Follow up</v>
      </c>
      <c r="L1476" t="str">
        <f>IFERROR(VLOOKUP(K1476, Status_Mapping!A:B, 2,), "Not Found")</f>
        <v>Follow Up</v>
      </c>
      <c r="N1476" s="29" t="str">
        <f>IF(M1476="","",M1476-B1476)</f>
        <v/>
      </c>
      <c r="O1476" s="1" t="str">
        <f t="shared" si="118"/>
        <v>Starter</v>
      </c>
      <c r="P1476" t="str">
        <f>TEXT(B1476, "mmmm")</f>
        <v>March</v>
      </c>
      <c r="Q1476" t="str">
        <f t="shared" si="119"/>
        <v>Q1</v>
      </c>
      <c r="R1476" t="str">
        <f>IFERROR(VLOOKUP(TRIM(CLEAN(G1476)),Sheet14!$A$2:$B$19,2,FALSE),"Not Mapped")</f>
        <v>West</v>
      </c>
    </row>
    <row r="1477" spans="1:18">
      <c r="A1477" t="str">
        <f t="shared" si="117"/>
        <v>EOS1476</v>
      </c>
      <c r="B1477" s="38">
        <v>46101</v>
      </c>
      <c r="C1477" s="4" t="s">
        <v>267</v>
      </c>
      <c r="D1477" s="1" t="str">
        <f t="shared" si="116"/>
        <v>FB</v>
      </c>
      <c r="E1477" s="2" t="s">
        <v>2083</v>
      </c>
      <c r="F1477" s="2" t="s">
        <v>2084</v>
      </c>
      <c r="G1477" s="1" t="s">
        <v>223</v>
      </c>
      <c r="H1477" s="1" t="s">
        <v>69</v>
      </c>
      <c r="I1477" s="1">
        <v>108000</v>
      </c>
      <c r="J1477" s="45">
        <v>1071475</v>
      </c>
      <c r="K1477" s="1" t="str">
        <f>TRIM(Cleaned_CRM_Data!H1477)</f>
        <v>Follow up</v>
      </c>
      <c r="L1477" t="str">
        <f>IFERROR(VLOOKUP(K1477, Status_Mapping!A:B, 2,), "Not Found")</f>
        <v>Follow Up</v>
      </c>
      <c r="N1477" s="29" t="str">
        <f>IF(M1477="","",M1477-B1477)</f>
        <v/>
      </c>
      <c r="O1477" s="1" t="str">
        <f t="shared" si="118"/>
        <v>Starter</v>
      </c>
      <c r="P1477" t="str">
        <f>TEXT(B1477, "mmmm")</f>
        <v>March</v>
      </c>
      <c r="Q1477" t="str">
        <f t="shared" si="119"/>
        <v>Q1</v>
      </c>
      <c r="R1477" t="str">
        <f>IFERROR(VLOOKUP(TRIM(CLEAN(G1477)),Sheet14!$A$2:$B$19,2,FALSE),"Not Mapped")</f>
        <v>West</v>
      </c>
    </row>
    <row r="1478" spans="1:18">
      <c r="A1478" t="str">
        <f t="shared" si="117"/>
        <v>EOS1477</v>
      </c>
      <c r="B1478" s="38">
        <v>46101</v>
      </c>
      <c r="C1478" s="4" t="s">
        <v>267</v>
      </c>
      <c r="D1478" s="1" t="str">
        <f t="shared" si="116"/>
        <v>FB</v>
      </c>
      <c r="E1478" s="2" t="s">
        <v>2085</v>
      </c>
      <c r="F1478" s="2" t="s">
        <v>283</v>
      </c>
      <c r="G1478" s="1" t="s">
        <v>223</v>
      </c>
      <c r="H1478" s="1" t="s">
        <v>69</v>
      </c>
      <c r="I1478" s="1">
        <v>108000</v>
      </c>
      <c r="J1478" s="45">
        <v>1071476</v>
      </c>
      <c r="K1478" s="1" t="str">
        <f>TRIM(Cleaned_CRM_Data!H1478)</f>
        <v>Follow up</v>
      </c>
      <c r="L1478" t="str">
        <f>IFERROR(VLOOKUP(K1478, Status_Mapping!A:B, 2,), "Not Found")</f>
        <v>Follow Up</v>
      </c>
      <c r="N1478" s="29" t="str">
        <f>IF(M1478="","",M1478-B1478)</f>
        <v/>
      </c>
      <c r="O1478" s="1" t="str">
        <f t="shared" si="118"/>
        <v>Starter</v>
      </c>
      <c r="P1478" t="str">
        <f>TEXT(B1478, "mmmm")</f>
        <v>March</v>
      </c>
      <c r="Q1478" t="str">
        <f t="shared" si="119"/>
        <v>Q1</v>
      </c>
      <c r="R1478" t="str">
        <f>IFERROR(VLOOKUP(TRIM(CLEAN(G1478)),Sheet14!$A$2:$B$19,2,FALSE),"Not Mapped")</f>
        <v>West</v>
      </c>
    </row>
    <row r="1479" spans="1:18">
      <c r="A1479" t="str">
        <f t="shared" si="117"/>
        <v>EOS1478</v>
      </c>
      <c r="B1479" s="38">
        <v>46101</v>
      </c>
      <c r="C1479" s="4" t="s">
        <v>267</v>
      </c>
      <c r="D1479" s="1" t="str">
        <f t="shared" si="116"/>
        <v>FB</v>
      </c>
      <c r="E1479" s="2" t="s">
        <v>2086</v>
      </c>
      <c r="F1479" s="2" t="s">
        <v>2087</v>
      </c>
      <c r="G1479" s="1" t="s">
        <v>223</v>
      </c>
      <c r="H1479" s="1" t="s">
        <v>69</v>
      </c>
      <c r="I1479" s="1">
        <v>177000</v>
      </c>
      <c r="J1479" s="45">
        <v>1071477</v>
      </c>
      <c r="K1479" s="1" t="str">
        <f>TRIM(Cleaned_CRM_Data!H1479)</f>
        <v>Follow up</v>
      </c>
      <c r="L1479" t="str">
        <f>IFERROR(VLOOKUP(K1479, Status_Mapping!A:B, 2,), "Not Found")</f>
        <v>Follow Up</v>
      </c>
      <c r="N1479" s="29" t="str">
        <f>IF(M1479="","",M1479-B1479)</f>
        <v/>
      </c>
      <c r="O1479" s="1" t="str">
        <f t="shared" si="118"/>
        <v>Growth</v>
      </c>
      <c r="P1479" t="str">
        <f>TEXT(B1479, "mmmm")</f>
        <v>March</v>
      </c>
      <c r="Q1479" t="str">
        <f t="shared" si="119"/>
        <v>Q1</v>
      </c>
      <c r="R1479" t="str">
        <f>IFERROR(VLOOKUP(TRIM(CLEAN(G1479)),Sheet14!$A$2:$B$19,2,FALSE),"Not Mapped")</f>
        <v>West</v>
      </c>
    </row>
    <row r="1480" spans="1:18">
      <c r="A1480" t="str">
        <f t="shared" si="117"/>
        <v>EOS1479</v>
      </c>
      <c r="B1480" s="38">
        <v>46101</v>
      </c>
      <c r="C1480" s="4" t="s">
        <v>267</v>
      </c>
      <c r="D1480" s="1" t="str">
        <f t="shared" si="116"/>
        <v>FB</v>
      </c>
      <c r="E1480" s="2" t="s">
        <v>2088</v>
      </c>
      <c r="F1480" s="2" t="s">
        <v>275</v>
      </c>
      <c r="G1480" s="1" t="s">
        <v>223</v>
      </c>
      <c r="H1480" s="1" t="s">
        <v>69</v>
      </c>
      <c r="I1480" s="1">
        <v>130000</v>
      </c>
      <c r="J1480" s="45">
        <v>1071478</v>
      </c>
      <c r="K1480" s="1" t="str">
        <f>TRIM(Cleaned_CRM_Data!H1480)</f>
        <v>Follow up</v>
      </c>
      <c r="L1480" t="str">
        <f>IFERROR(VLOOKUP(K1480, Status_Mapping!A:B, 2,), "Not Found")</f>
        <v>Follow Up</v>
      </c>
      <c r="N1480" s="29" t="str">
        <f>IF(M1480="","",M1480-B1480)</f>
        <v/>
      </c>
      <c r="O1480" s="1" t="str">
        <f t="shared" si="118"/>
        <v>Starter</v>
      </c>
      <c r="P1480" t="str">
        <f>TEXT(B1480, "mmmm")</f>
        <v>March</v>
      </c>
      <c r="Q1480" t="str">
        <f t="shared" si="119"/>
        <v>Q1</v>
      </c>
      <c r="R1480" t="str">
        <f>IFERROR(VLOOKUP(TRIM(CLEAN(G1480)),Sheet14!$A$2:$B$19,2,FALSE),"Not Mapped")</f>
        <v>West</v>
      </c>
    </row>
    <row r="1481" spans="1:18">
      <c r="A1481" t="str">
        <f t="shared" si="117"/>
        <v>EOS1480</v>
      </c>
      <c r="B1481" s="38">
        <v>46101</v>
      </c>
      <c r="C1481" s="4" t="s">
        <v>267</v>
      </c>
      <c r="D1481" s="1" t="str">
        <f t="shared" si="116"/>
        <v>FB</v>
      </c>
      <c r="E1481" s="2" t="s">
        <v>2089</v>
      </c>
      <c r="F1481" s="2" t="s">
        <v>654</v>
      </c>
      <c r="G1481" s="1" t="s">
        <v>223</v>
      </c>
      <c r="H1481" s="1" t="s">
        <v>69</v>
      </c>
      <c r="I1481" s="1">
        <v>108000</v>
      </c>
      <c r="J1481" s="45">
        <v>1071479</v>
      </c>
      <c r="K1481" s="1" t="str">
        <f>TRIM(Cleaned_CRM_Data!H1481)</f>
        <v>Follow up</v>
      </c>
      <c r="L1481" t="str">
        <f>IFERROR(VLOOKUP(K1481, Status_Mapping!A:B, 2,), "Not Found")</f>
        <v>Follow Up</v>
      </c>
      <c r="N1481" s="29" t="str">
        <f>IF(M1481="","",M1481-B1481)</f>
        <v/>
      </c>
      <c r="O1481" s="1" t="str">
        <f t="shared" si="118"/>
        <v>Starter</v>
      </c>
      <c r="P1481" t="str">
        <f>TEXT(B1481, "mmmm")</f>
        <v>March</v>
      </c>
      <c r="Q1481" t="str">
        <f t="shared" si="119"/>
        <v>Q1</v>
      </c>
      <c r="R1481" t="str">
        <f>IFERROR(VLOOKUP(TRIM(CLEAN(G1481)),Sheet14!$A$2:$B$19,2,FALSE),"Not Mapped")</f>
        <v>West</v>
      </c>
    </row>
    <row r="1482" spans="1:18">
      <c r="A1482" t="str">
        <f t="shared" si="117"/>
        <v>EOS1481</v>
      </c>
      <c r="B1482" s="38">
        <v>46101</v>
      </c>
      <c r="C1482" s="4" t="s">
        <v>267</v>
      </c>
      <c r="D1482" s="1" t="str">
        <f t="shared" si="116"/>
        <v>FB</v>
      </c>
      <c r="E1482" s="2" t="s">
        <v>2090</v>
      </c>
      <c r="F1482" s="8" t="s">
        <v>336</v>
      </c>
      <c r="G1482" s="1" t="s">
        <v>223</v>
      </c>
      <c r="H1482" s="1" t="s">
        <v>69</v>
      </c>
      <c r="I1482" s="1">
        <v>108000</v>
      </c>
      <c r="J1482" s="45">
        <v>1071480</v>
      </c>
      <c r="K1482" s="1" t="str">
        <f>TRIM(Cleaned_CRM_Data!H1482)</f>
        <v>Follow up</v>
      </c>
      <c r="L1482" t="str">
        <f>IFERROR(VLOOKUP(K1482, Status_Mapping!A:B, 2,), "Not Found")</f>
        <v>Follow Up</v>
      </c>
      <c r="N1482" s="29" t="str">
        <f>IF(M1482="","",M1482-B1482)</f>
        <v/>
      </c>
      <c r="O1482" s="1" t="str">
        <f t="shared" si="118"/>
        <v>Starter</v>
      </c>
      <c r="P1482" t="str">
        <f>TEXT(B1482, "mmmm")</f>
        <v>March</v>
      </c>
      <c r="Q1482" t="str">
        <f t="shared" si="119"/>
        <v>Q1</v>
      </c>
      <c r="R1482" t="str">
        <f>IFERROR(VLOOKUP(TRIM(CLEAN(G1482)),Sheet14!$A$2:$B$19,2,FALSE),"Not Mapped")</f>
        <v>West</v>
      </c>
    </row>
    <row r="1483" spans="1:18">
      <c r="A1483" t="str">
        <f t="shared" si="117"/>
        <v>EOS1482</v>
      </c>
      <c r="B1483" s="38">
        <v>46101</v>
      </c>
      <c r="C1483" s="4" t="s">
        <v>267</v>
      </c>
      <c r="D1483" s="1" t="str">
        <f t="shared" si="116"/>
        <v>FB</v>
      </c>
      <c r="E1483" s="8" t="s">
        <v>2091</v>
      </c>
      <c r="F1483" s="4" t="s">
        <v>771</v>
      </c>
      <c r="G1483" s="1" t="s">
        <v>223</v>
      </c>
      <c r="H1483" s="1" t="s">
        <v>69</v>
      </c>
      <c r="I1483" s="1">
        <v>108000</v>
      </c>
      <c r="J1483" s="45">
        <v>1071481</v>
      </c>
      <c r="K1483" s="1" t="str">
        <f>TRIM(Cleaned_CRM_Data!H1483)</f>
        <v>Follow up</v>
      </c>
      <c r="L1483" t="str">
        <f>IFERROR(VLOOKUP(K1483, Status_Mapping!A:B, 2,), "Not Found")</f>
        <v>Follow Up</v>
      </c>
      <c r="N1483" s="29" t="str">
        <f>IF(M1483="","",M1483-B1483)</f>
        <v/>
      </c>
      <c r="O1483" s="1" t="str">
        <f t="shared" si="118"/>
        <v>Starter</v>
      </c>
      <c r="P1483" t="str">
        <f>TEXT(B1483, "mmmm")</f>
        <v>March</v>
      </c>
      <c r="Q1483" t="str">
        <f t="shared" si="119"/>
        <v>Q1</v>
      </c>
      <c r="R1483" t="str">
        <f>IFERROR(VLOOKUP(TRIM(CLEAN(G1483)),Sheet14!$A$2:$B$19,2,FALSE),"Not Mapped")</f>
        <v>West</v>
      </c>
    </row>
    <row r="1484" spans="1:18">
      <c r="A1484" t="str">
        <f t="shared" si="117"/>
        <v>EOS1483</v>
      </c>
      <c r="B1484" s="38">
        <v>46101</v>
      </c>
      <c r="C1484" s="4" t="s">
        <v>267</v>
      </c>
      <c r="D1484" s="1" t="str">
        <f t="shared" si="116"/>
        <v>FB</v>
      </c>
      <c r="E1484" s="4" t="s">
        <v>2092</v>
      </c>
      <c r="F1484" s="4" t="s">
        <v>645</v>
      </c>
      <c r="G1484" s="1" t="s">
        <v>223</v>
      </c>
      <c r="H1484" s="1" t="s">
        <v>69</v>
      </c>
      <c r="I1484" s="1">
        <v>108000</v>
      </c>
      <c r="J1484" s="45">
        <v>1071482</v>
      </c>
      <c r="K1484" s="1" t="str">
        <f>TRIM(Cleaned_CRM_Data!H1484)</f>
        <v>Follow up</v>
      </c>
      <c r="L1484" t="str">
        <f>IFERROR(VLOOKUP(K1484, Status_Mapping!A:B, 2,), "Not Found")</f>
        <v>Follow Up</v>
      </c>
      <c r="N1484" s="29" t="str">
        <f>IF(M1484="","",M1484-B1484)</f>
        <v/>
      </c>
      <c r="O1484" s="1" t="str">
        <f t="shared" si="118"/>
        <v>Starter</v>
      </c>
      <c r="P1484" t="str">
        <f>TEXT(B1484, "mmmm")</f>
        <v>March</v>
      </c>
      <c r="Q1484" t="str">
        <f t="shared" si="119"/>
        <v>Q1</v>
      </c>
      <c r="R1484" t="str">
        <f>IFERROR(VLOOKUP(TRIM(CLEAN(G1484)),Sheet14!$A$2:$B$19,2,FALSE),"Not Mapped")</f>
        <v>West</v>
      </c>
    </row>
    <row r="1485" spans="1:18">
      <c r="A1485" t="str">
        <f t="shared" si="117"/>
        <v>EOS1484</v>
      </c>
      <c r="B1485" s="38">
        <v>46101</v>
      </c>
      <c r="C1485" s="4" t="s">
        <v>267</v>
      </c>
      <c r="D1485" s="1" t="str">
        <f t="shared" si="116"/>
        <v>FB</v>
      </c>
      <c r="E1485" s="4" t="s">
        <v>2093</v>
      </c>
      <c r="F1485" s="1" t="s">
        <v>300</v>
      </c>
      <c r="G1485" s="1" t="s">
        <v>223</v>
      </c>
      <c r="H1485" s="1" t="s">
        <v>69</v>
      </c>
      <c r="I1485" s="1">
        <v>130000</v>
      </c>
      <c r="J1485" s="45">
        <v>1071483</v>
      </c>
      <c r="K1485" s="1" t="str">
        <f>TRIM(Cleaned_CRM_Data!H1485)</f>
        <v>Follow up</v>
      </c>
      <c r="L1485" t="str">
        <f>IFERROR(VLOOKUP(K1485, Status_Mapping!A:B, 2,), "Not Found")</f>
        <v>Follow Up</v>
      </c>
      <c r="N1485" s="29" t="str">
        <f>IF(M1485="","",M1485-B1485)</f>
        <v/>
      </c>
      <c r="O1485" s="1" t="str">
        <f t="shared" si="118"/>
        <v>Starter</v>
      </c>
      <c r="P1485" t="str">
        <f>TEXT(B1485, "mmmm")</f>
        <v>March</v>
      </c>
      <c r="Q1485" t="str">
        <f t="shared" si="119"/>
        <v>Q1</v>
      </c>
      <c r="R1485" t="str">
        <f>IFERROR(VLOOKUP(TRIM(CLEAN(G1485)),Sheet14!$A$2:$B$19,2,FALSE),"Not Mapped")</f>
        <v>West</v>
      </c>
    </row>
    <row r="1486" spans="1:18">
      <c r="A1486" t="str">
        <f t="shared" si="117"/>
        <v>EOS1485</v>
      </c>
      <c r="B1486" s="38">
        <v>46101</v>
      </c>
      <c r="C1486" s="4" t="s">
        <v>267</v>
      </c>
      <c r="D1486" s="1" t="str">
        <f t="shared" si="116"/>
        <v>FB</v>
      </c>
      <c r="E1486" s="1" t="s">
        <v>402</v>
      </c>
      <c r="F1486" s="1" t="s">
        <v>300</v>
      </c>
      <c r="G1486" s="1" t="s">
        <v>223</v>
      </c>
      <c r="H1486" s="1" t="s">
        <v>69</v>
      </c>
      <c r="I1486" s="1">
        <v>108000</v>
      </c>
      <c r="J1486" s="45">
        <v>1071484</v>
      </c>
      <c r="K1486" s="1" t="str">
        <f>TRIM(Cleaned_CRM_Data!H1486)</f>
        <v>Follow up</v>
      </c>
      <c r="L1486" t="str">
        <f>IFERROR(VLOOKUP(K1486, Status_Mapping!A:B, 2,), "Not Found")</f>
        <v>Follow Up</v>
      </c>
      <c r="N1486" s="29" t="str">
        <f>IF(M1486="","",M1486-B1486)</f>
        <v/>
      </c>
      <c r="O1486" s="1" t="str">
        <f t="shared" si="118"/>
        <v>Starter</v>
      </c>
      <c r="P1486" t="str">
        <f>TEXT(B1486, "mmmm")</f>
        <v>March</v>
      </c>
      <c r="Q1486" t="str">
        <f t="shared" si="119"/>
        <v>Q1</v>
      </c>
      <c r="R1486" t="str">
        <f>IFERROR(VLOOKUP(TRIM(CLEAN(G1486)),Sheet14!$A$2:$B$19,2,FALSE),"Not Mapped")</f>
        <v>West</v>
      </c>
    </row>
    <row r="1487" spans="1:18">
      <c r="A1487" t="str">
        <f t="shared" si="117"/>
        <v>EOS1486</v>
      </c>
      <c r="B1487" s="38">
        <v>46102</v>
      </c>
      <c r="C1487" s="4" t="s">
        <v>267</v>
      </c>
      <c r="D1487" s="1" t="str">
        <f t="shared" si="116"/>
        <v>FB</v>
      </c>
      <c r="E1487" s="8" t="s">
        <v>2094</v>
      </c>
      <c r="F1487" s="4" t="s">
        <v>422</v>
      </c>
      <c r="G1487" s="1" t="s">
        <v>223</v>
      </c>
      <c r="H1487" s="1" t="s">
        <v>69</v>
      </c>
      <c r="I1487" s="1">
        <v>130000</v>
      </c>
      <c r="J1487" s="45">
        <v>1071485</v>
      </c>
      <c r="K1487" s="1" t="str">
        <f>TRIM(Cleaned_CRM_Data!H1487)</f>
        <v>Follow up</v>
      </c>
      <c r="L1487" t="str">
        <f>IFERROR(VLOOKUP(K1487, Status_Mapping!A:B, 2,), "Not Found")</f>
        <v>Follow Up</v>
      </c>
      <c r="N1487" s="29" t="str">
        <f>IF(M1487="","",M1487-B1487)</f>
        <v/>
      </c>
      <c r="O1487" s="1" t="str">
        <f t="shared" si="118"/>
        <v>Starter</v>
      </c>
      <c r="P1487" t="str">
        <f>TEXT(B1487, "mmmm")</f>
        <v>March</v>
      </c>
      <c r="Q1487" t="str">
        <f t="shared" si="119"/>
        <v>Q1</v>
      </c>
      <c r="R1487" t="str">
        <f>IFERROR(VLOOKUP(TRIM(CLEAN(G1487)),Sheet14!$A$2:$B$19,2,FALSE),"Not Mapped")</f>
        <v>West</v>
      </c>
    </row>
    <row r="1488" spans="1:18">
      <c r="A1488" t="str">
        <f t="shared" si="117"/>
        <v>EOS1487</v>
      </c>
      <c r="B1488" s="38">
        <v>46102</v>
      </c>
      <c r="C1488" s="4" t="s">
        <v>267</v>
      </c>
      <c r="D1488" s="1" t="str">
        <f t="shared" si="116"/>
        <v>FB</v>
      </c>
      <c r="E1488" s="4" t="s">
        <v>2095</v>
      </c>
      <c r="F1488" s="4"/>
      <c r="G1488" s="1" t="s">
        <v>223</v>
      </c>
      <c r="H1488" s="1" t="s">
        <v>69</v>
      </c>
      <c r="I1488" s="1">
        <v>108000</v>
      </c>
      <c r="J1488" s="45">
        <v>1071486</v>
      </c>
      <c r="K1488" s="1" t="str">
        <f>TRIM(Cleaned_CRM_Data!H1488)</f>
        <v>Follow up</v>
      </c>
      <c r="L1488" t="str">
        <f>IFERROR(VLOOKUP(K1488, Status_Mapping!A:B, 2,), "Not Found")</f>
        <v>Follow Up</v>
      </c>
      <c r="N1488" s="29" t="str">
        <f>IF(M1488="","",M1488-B1488)</f>
        <v/>
      </c>
      <c r="O1488" s="1" t="str">
        <f t="shared" si="118"/>
        <v>Starter</v>
      </c>
      <c r="P1488" t="str">
        <f>TEXT(B1488, "mmmm")</f>
        <v>March</v>
      </c>
      <c r="Q1488" t="str">
        <f t="shared" si="119"/>
        <v>Q1</v>
      </c>
      <c r="R1488" t="str">
        <f>IFERROR(VLOOKUP(TRIM(CLEAN(G1488)),Sheet14!$A$2:$B$19,2,FALSE),"Not Mapped")</f>
        <v>West</v>
      </c>
    </row>
    <row r="1489" spans="1:18">
      <c r="A1489" t="str">
        <f t="shared" si="117"/>
        <v>EOS1488</v>
      </c>
      <c r="B1489" s="38">
        <v>46102</v>
      </c>
      <c r="C1489" s="4" t="s">
        <v>267</v>
      </c>
      <c r="D1489" s="1" t="str">
        <f t="shared" si="116"/>
        <v>FB</v>
      </c>
      <c r="E1489" s="4" t="s">
        <v>2096</v>
      </c>
      <c r="F1489" s="9" t="s">
        <v>2097</v>
      </c>
      <c r="G1489" s="4" t="s">
        <v>223</v>
      </c>
      <c r="H1489" s="9" t="s">
        <v>212</v>
      </c>
      <c r="I1489" s="1">
        <v>108000</v>
      </c>
      <c r="J1489" s="45">
        <v>1071487</v>
      </c>
      <c r="K1489" s="1" t="s">
        <v>42</v>
      </c>
      <c r="L1489" t="str">
        <f>IFERROR(VLOOKUP(K1489, Status_Mapping!A:B, 2,), "Not Found")</f>
        <v>Converted</v>
      </c>
      <c r="M1489" s="32">
        <v>46113</v>
      </c>
      <c r="N1489" s="29">
        <f>IF(M1489="","",M1489-B1489)</f>
        <v>11</v>
      </c>
      <c r="O1489" s="1" t="str">
        <f t="shared" si="118"/>
        <v>Starter</v>
      </c>
      <c r="P1489" t="str">
        <f>TEXT(B1489, "mmmm")</f>
        <v>March</v>
      </c>
      <c r="Q1489" t="str">
        <f t="shared" si="119"/>
        <v>Q1</v>
      </c>
      <c r="R1489" t="str">
        <f>IFERROR(VLOOKUP(TRIM(CLEAN(G1489)),Sheet14!$A$2:$B$19,2,FALSE),"Not Mapped")</f>
        <v>West</v>
      </c>
    </row>
    <row r="1490" spans="1:18">
      <c r="A1490" t="str">
        <f t="shared" si="117"/>
        <v>EOS1489</v>
      </c>
      <c r="B1490" s="39">
        <v>46102</v>
      </c>
      <c r="C1490" s="4" t="s">
        <v>1765</v>
      </c>
      <c r="D1490" s="1" t="str">
        <f t="shared" si="116"/>
        <v>FB</v>
      </c>
      <c r="E1490" s="9" t="s">
        <v>2098</v>
      </c>
      <c r="F1490" s="4" t="s">
        <v>643</v>
      </c>
      <c r="G1490" s="1" t="s">
        <v>223</v>
      </c>
      <c r="H1490" s="1" t="s">
        <v>149</v>
      </c>
      <c r="I1490" s="1">
        <v>130000</v>
      </c>
      <c r="J1490" s="45">
        <v>1071488</v>
      </c>
      <c r="K1490" s="1" t="str">
        <f>TRIM(Cleaned_CRM_Data!H1490)</f>
        <v>Rejected</v>
      </c>
      <c r="L1490" t="str">
        <f>IFERROR(VLOOKUP(K1490, Status_Mapping!A:B, 2,), "Not Found")</f>
        <v>Rejected</v>
      </c>
      <c r="N1490" s="29" t="str">
        <f>IF(M1490="","",M1490-B1490)</f>
        <v/>
      </c>
      <c r="O1490" s="1" t="str">
        <f t="shared" si="118"/>
        <v>Starter</v>
      </c>
      <c r="P1490" t="str">
        <f>TEXT(B1490, "mmmm")</f>
        <v>March</v>
      </c>
      <c r="Q1490" t="str">
        <f t="shared" si="119"/>
        <v>Q1</v>
      </c>
      <c r="R1490" t="str">
        <f>IFERROR(VLOOKUP(TRIM(CLEAN(G1490)),Sheet14!$A$2:$B$19,2,FALSE),"Not Mapped")</f>
        <v>West</v>
      </c>
    </row>
    <row r="1491" spans="1:18">
      <c r="A1491" t="str">
        <f t="shared" si="117"/>
        <v>EOS1490</v>
      </c>
      <c r="B1491" s="38">
        <v>46104</v>
      </c>
      <c r="C1491" s="4" t="s">
        <v>267</v>
      </c>
      <c r="D1491" s="1" t="str">
        <f t="shared" si="116"/>
        <v>FB</v>
      </c>
      <c r="E1491" s="4" t="s">
        <v>2099</v>
      </c>
      <c r="F1491" s="4" t="s">
        <v>412</v>
      </c>
      <c r="G1491" s="4" t="s">
        <v>223</v>
      </c>
      <c r="H1491" s="1" t="s">
        <v>69</v>
      </c>
      <c r="I1491" s="1">
        <v>130000</v>
      </c>
      <c r="J1491" s="45">
        <v>1071489</v>
      </c>
      <c r="K1491" s="1" t="str">
        <f>TRIM(Cleaned_CRM_Data!H1491)</f>
        <v>Follow up</v>
      </c>
      <c r="L1491" t="str">
        <f>IFERROR(VLOOKUP(K1491, Status_Mapping!A:B, 2,), "Not Found")</f>
        <v>Follow Up</v>
      </c>
      <c r="N1491" s="29" t="str">
        <f>IF(M1491="","",M1491-B1491)</f>
        <v/>
      </c>
      <c r="O1491" s="1" t="str">
        <f t="shared" si="118"/>
        <v>Starter</v>
      </c>
      <c r="P1491" t="str">
        <f>TEXT(B1491, "mmmm")</f>
        <v>March</v>
      </c>
      <c r="Q1491" t="str">
        <f t="shared" si="119"/>
        <v>Q1</v>
      </c>
      <c r="R1491" t="str">
        <f>IFERROR(VLOOKUP(TRIM(CLEAN(G1491)),Sheet14!$A$2:$B$19,2,FALSE),"Not Mapped")</f>
        <v>West</v>
      </c>
    </row>
    <row r="1492" spans="1:18">
      <c r="A1492" t="str">
        <f t="shared" si="117"/>
        <v>EOS1491</v>
      </c>
      <c r="B1492" s="38">
        <v>46104</v>
      </c>
      <c r="C1492" s="4" t="s">
        <v>267</v>
      </c>
      <c r="D1492" s="1" t="str">
        <f t="shared" si="116"/>
        <v>FB</v>
      </c>
      <c r="E1492" s="4" t="s">
        <v>2100</v>
      </c>
      <c r="F1492" s="4" t="s">
        <v>275</v>
      </c>
      <c r="G1492" s="4" t="s">
        <v>223</v>
      </c>
      <c r="H1492" s="1" t="s">
        <v>69</v>
      </c>
      <c r="I1492" s="1">
        <v>130000</v>
      </c>
      <c r="J1492" s="45">
        <v>1071490</v>
      </c>
      <c r="K1492" s="1" t="str">
        <f>TRIM(Cleaned_CRM_Data!H1492)</f>
        <v>Follow up</v>
      </c>
      <c r="L1492" t="str">
        <f>IFERROR(VLOOKUP(K1492, Status_Mapping!A:B, 2,), "Not Found")</f>
        <v>Follow Up</v>
      </c>
      <c r="N1492" s="29" t="str">
        <f>IF(M1492="","",M1492-B1492)</f>
        <v/>
      </c>
      <c r="O1492" s="1" t="str">
        <f t="shared" si="118"/>
        <v>Starter</v>
      </c>
      <c r="P1492" t="str">
        <f>TEXT(B1492, "mmmm")</f>
        <v>March</v>
      </c>
      <c r="Q1492" t="str">
        <f t="shared" si="119"/>
        <v>Q1</v>
      </c>
      <c r="R1492" t="str">
        <f>IFERROR(VLOOKUP(TRIM(CLEAN(G1492)),Sheet14!$A$2:$B$19,2,FALSE),"Not Mapped")</f>
        <v>West</v>
      </c>
    </row>
    <row r="1493" spans="1:18">
      <c r="A1493" t="str">
        <f t="shared" si="117"/>
        <v>EOS1492</v>
      </c>
      <c r="B1493" s="38">
        <v>46104</v>
      </c>
      <c r="C1493" s="4" t="s">
        <v>267</v>
      </c>
      <c r="D1493" s="1" t="str">
        <f t="shared" si="116"/>
        <v>FB</v>
      </c>
      <c r="E1493" s="4" t="s">
        <v>2101</v>
      </c>
      <c r="F1493" s="4" t="s">
        <v>304</v>
      </c>
      <c r="G1493" s="4" t="s">
        <v>223</v>
      </c>
      <c r="H1493" s="1" t="s">
        <v>69</v>
      </c>
      <c r="I1493" s="1">
        <v>130000</v>
      </c>
      <c r="J1493" s="45">
        <v>1071491</v>
      </c>
      <c r="K1493" s="1" t="str">
        <f>TRIM(Cleaned_CRM_Data!H1493)</f>
        <v>Follow up</v>
      </c>
      <c r="L1493" t="str">
        <f>IFERROR(VLOOKUP(K1493, Status_Mapping!A:B, 2,), "Not Found")</f>
        <v>Follow Up</v>
      </c>
      <c r="N1493" s="29" t="str">
        <f>IF(M1493="","",M1493-B1493)</f>
        <v/>
      </c>
      <c r="O1493" s="1" t="str">
        <f t="shared" si="118"/>
        <v>Starter</v>
      </c>
      <c r="P1493" t="str">
        <f>TEXT(B1493, "mmmm")</f>
        <v>March</v>
      </c>
      <c r="Q1493" t="str">
        <f t="shared" si="119"/>
        <v>Q1</v>
      </c>
      <c r="R1493" t="str">
        <f>IFERROR(VLOOKUP(TRIM(CLEAN(G1493)),Sheet14!$A$2:$B$19,2,FALSE),"Not Mapped")</f>
        <v>West</v>
      </c>
    </row>
    <row r="1494" spans="1:18">
      <c r="A1494" t="str">
        <f t="shared" si="117"/>
        <v>EOS1493</v>
      </c>
      <c r="B1494" s="38">
        <v>46104</v>
      </c>
      <c r="C1494" s="4" t="s">
        <v>267</v>
      </c>
      <c r="D1494" s="1" t="str">
        <f t="shared" si="116"/>
        <v>FB</v>
      </c>
      <c r="E1494" s="4" t="s">
        <v>2102</v>
      </c>
      <c r="F1494" s="4" t="s">
        <v>1544</v>
      </c>
      <c r="G1494" s="4" t="s">
        <v>223</v>
      </c>
      <c r="H1494" s="1" t="s">
        <v>69</v>
      </c>
      <c r="I1494" s="1">
        <v>130000</v>
      </c>
      <c r="J1494" s="45">
        <v>1071492</v>
      </c>
      <c r="K1494" s="1" t="str">
        <f>TRIM(Cleaned_CRM_Data!H1494)</f>
        <v>Follow up</v>
      </c>
      <c r="L1494" t="str">
        <f>IFERROR(VLOOKUP(K1494, Status_Mapping!A:B, 2,), "Not Found")</f>
        <v>Follow Up</v>
      </c>
      <c r="N1494" s="29" t="str">
        <f>IF(M1494="","",M1494-B1494)</f>
        <v/>
      </c>
      <c r="O1494" s="1" t="str">
        <f t="shared" si="118"/>
        <v>Starter</v>
      </c>
      <c r="P1494" t="str">
        <f>TEXT(B1494, "mmmm")</f>
        <v>March</v>
      </c>
      <c r="Q1494" t="str">
        <f t="shared" si="119"/>
        <v>Q1</v>
      </c>
      <c r="R1494" t="str">
        <f>IFERROR(VLOOKUP(TRIM(CLEAN(G1494)),Sheet14!$A$2:$B$19,2,FALSE),"Not Mapped")</f>
        <v>West</v>
      </c>
    </row>
    <row r="1495" spans="1:18">
      <c r="A1495" t="str">
        <f t="shared" si="117"/>
        <v>EOS1494</v>
      </c>
      <c r="B1495" s="38">
        <v>46104</v>
      </c>
      <c r="C1495" s="4" t="s">
        <v>267</v>
      </c>
      <c r="D1495" s="1" t="str">
        <f t="shared" si="116"/>
        <v>FB</v>
      </c>
      <c r="E1495" s="4" t="s">
        <v>2103</v>
      </c>
      <c r="F1495" s="4" t="s">
        <v>2104</v>
      </c>
      <c r="G1495" s="4" t="s">
        <v>223</v>
      </c>
      <c r="H1495" s="1" t="s">
        <v>69</v>
      </c>
      <c r="I1495" s="1">
        <v>108000</v>
      </c>
      <c r="J1495" s="45">
        <v>1071493</v>
      </c>
      <c r="K1495" s="1" t="str">
        <f>TRIM(Cleaned_CRM_Data!H1495)</f>
        <v>Follow up</v>
      </c>
      <c r="L1495" t="str">
        <f>IFERROR(VLOOKUP(K1495, Status_Mapping!A:B, 2,), "Not Found")</f>
        <v>Follow Up</v>
      </c>
      <c r="N1495" s="29" t="str">
        <f>IF(M1495="","",M1495-B1495)</f>
        <v/>
      </c>
      <c r="O1495" s="1" t="str">
        <f t="shared" si="118"/>
        <v>Starter</v>
      </c>
      <c r="P1495" t="str">
        <f>TEXT(B1495, "mmmm")</f>
        <v>March</v>
      </c>
      <c r="Q1495" t="str">
        <f t="shared" si="119"/>
        <v>Q1</v>
      </c>
      <c r="R1495" t="str">
        <f>IFERROR(VLOOKUP(TRIM(CLEAN(G1495)),Sheet14!$A$2:$B$19,2,FALSE),"Not Mapped")</f>
        <v>West</v>
      </c>
    </row>
    <row r="1496" spans="1:18">
      <c r="A1496" t="str">
        <f t="shared" si="117"/>
        <v>EOS1495</v>
      </c>
      <c r="B1496" s="38">
        <v>46104</v>
      </c>
      <c r="C1496" s="4" t="s">
        <v>267</v>
      </c>
      <c r="D1496" s="1" t="str">
        <f t="shared" si="116"/>
        <v>FB</v>
      </c>
      <c r="E1496" s="4" t="s">
        <v>2105</v>
      </c>
      <c r="F1496" s="4" t="s">
        <v>275</v>
      </c>
      <c r="G1496" s="4" t="s">
        <v>223</v>
      </c>
      <c r="H1496" s="1" t="s">
        <v>69</v>
      </c>
      <c r="I1496" s="1">
        <v>130000</v>
      </c>
      <c r="J1496" s="45">
        <v>1071494</v>
      </c>
      <c r="K1496" s="1" t="str">
        <f>TRIM(Cleaned_CRM_Data!H1496)</f>
        <v>Follow up</v>
      </c>
      <c r="L1496" t="str">
        <f>IFERROR(VLOOKUP(K1496, Status_Mapping!A:B, 2,), "Not Found")</f>
        <v>Follow Up</v>
      </c>
      <c r="N1496" s="29" t="str">
        <f>IF(M1496="","",M1496-B1496)</f>
        <v/>
      </c>
      <c r="O1496" s="1" t="str">
        <f t="shared" si="118"/>
        <v>Starter</v>
      </c>
      <c r="P1496" t="str">
        <f>TEXT(B1496, "mmmm")</f>
        <v>March</v>
      </c>
      <c r="Q1496" t="str">
        <f t="shared" si="119"/>
        <v>Q1</v>
      </c>
      <c r="R1496" t="str">
        <f>IFERROR(VLOOKUP(TRIM(CLEAN(G1496)),Sheet14!$A$2:$B$19,2,FALSE),"Not Mapped")</f>
        <v>West</v>
      </c>
    </row>
    <row r="1497" spans="1:18">
      <c r="A1497" t="str">
        <f t="shared" si="117"/>
        <v>EOS1496</v>
      </c>
      <c r="B1497" s="38">
        <v>46105</v>
      </c>
      <c r="C1497" s="4" t="s">
        <v>267</v>
      </c>
      <c r="D1497" s="1" t="str">
        <f t="shared" si="116"/>
        <v>FB</v>
      </c>
      <c r="E1497" s="4" t="s">
        <v>2106</v>
      </c>
      <c r="F1497" s="4" t="s">
        <v>300</v>
      </c>
      <c r="G1497" s="4" t="s">
        <v>223</v>
      </c>
      <c r="H1497" s="1" t="s">
        <v>69</v>
      </c>
      <c r="I1497" s="1">
        <v>108000</v>
      </c>
      <c r="J1497" s="45">
        <v>1071495</v>
      </c>
      <c r="K1497" s="1" t="str">
        <f>TRIM(Cleaned_CRM_Data!H1497)</f>
        <v>Follow up</v>
      </c>
      <c r="L1497" t="str">
        <f>IFERROR(VLOOKUP(K1497, Status_Mapping!A:B, 2,), "Not Found")</f>
        <v>Follow Up</v>
      </c>
      <c r="N1497" s="29" t="str">
        <f>IF(M1497="","",M1497-B1497)</f>
        <v/>
      </c>
      <c r="O1497" s="1" t="str">
        <f t="shared" si="118"/>
        <v>Starter</v>
      </c>
      <c r="P1497" t="str">
        <f>TEXT(B1497, "mmmm")</f>
        <v>March</v>
      </c>
      <c r="Q1497" t="str">
        <f t="shared" si="119"/>
        <v>Q1</v>
      </c>
      <c r="R1497" t="str">
        <f>IFERROR(VLOOKUP(TRIM(CLEAN(G1497)),Sheet14!$A$2:$B$19,2,FALSE),"Not Mapped")</f>
        <v>West</v>
      </c>
    </row>
    <row r="1498" spans="1:18">
      <c r="A1498" t="str">
        <f t="shared" si="117"/>
        <v>EOS1497</v>
      </c>
      <c r="B1498" s="38">
        <v>46105</v>
      </c>
      <c r="C1498" s="4" t="s">
        <v>267</v>
      </c>
      <c r="D1498" s="1" t="str">
        <f t="shared" si="116"/>
        <v>FB</v>
      </c>
      <c r="E1498" s="4" t="s">
        <v>2107</v>
      </c>
      <c r="F1498" s="4" t="s">
        <v>2108</v>
      </c>
      <c r="G1498" s="4" t="s">
        <v>236</v>
      </c>
      <c r="H1498" s="1" t="s">
        <v>69</v>
      </c>
      <c r="I1498" s="1">
        <v>130000</v>
      </c>
      <c r="J1498" s="45">
        <v>1071496</v>
      </c>
      <c r="K1498" s="1" t="str">
        <f>TRIM(Cleaned_CRM_Data!H1498)</f>
        <v>Follow up</v>
      </c>
      <c r="L1498" t="str">
        <f>IFERROR(VLOOKUP(K1498, Status_Mapping!A:B, 2,), "Not Found")</f>
        <v>Follow Up</v>
      </c>
      <c r="N1498" s="29" t="str">
        <f>IF(M1498="","",M1498-B1498)</f>
        <v/>
      </c>
      <c r="O1498" s="1" t="str">
        <f t="shared" si="118"/>
        <v>Starter</v>
      </c>
      <c r="P1498" t="str">
        <f>TEXT(B1498, "mmmm")</f>
        <v>March</v>
      </c>
      <c r="Q1498" t="str">
        <f t="shared" si="119"/>
        <v>Q1</v>
      </c>
      <c r="R1498" t="str">
        <f>IFERROR(VLOOKUP(TRIM(CLEAN(G1498)),Sheet14!$A$2:$B$19,2,FALSE),"Not Mapped")</f>
        <v>North</v>
      </c>
    </row>
    <row r="1499" spans="1:18">
      <c r="A1499" t="str">
        <f t="shared" si="117"/>
        <v>EOS1498</v>
      </c>
      <c r="B1499" s="38">
        <v>46105</v>
      </c>
      <c r="C1499" s="4" t="s">
        <v>267</v>
      </c>
      <c r="D1499" s="1" t="str">
        <f t="shared" si="116"/>
        <v>FB</v>
      </c>
      <c r="E1499" s="4" t="s">
        <v>2109</v>
      </c>
      <c r="F1499" s="4"/>
      <c r="G1499" s="4" t="s">
        <v>236</v>
      </c>
      <c r="H1499" s="1" t="s">
        <v>69</v>
      </c>
      <c r="I1499" s="1">
        <v>177000</v>
      </c>
      <c r="J1499" s="45">
        <v>1071497</v>
      </c>
      <c r="K1499" s="1" t="str">
        <f>TRIM(Cleaned_CRM_Data!H1499)</f>
        <v>Follow up</v>
      </c>
      <c r="L1499" t="str">
        <f>IFERROR(VLOOKUP(K1499, Status_Mapping!A:B, 2,), "Not Found")</f>
        <v>Follow Up</v>
      </c>
      <c r="N1499" s="29" t="str">
        <f>IF(M1499="","",M1499-B1499)</f>
        <v/>
      </c>
      <c r="O1499" s="1" t="str">
        <f t="shared" si="118"/>
        <v>Growth</v>
      </c>
      <c r="P1499" t="str">
        <f>TEXT(B1499, "mmmm")</f>
        <v>March</v>
      </c>
      <c r="Q1499" t="str">
        <f t="shared" si="119"/>
        <v>Q1</v>
      </c>
      <c r="R1499" t="str">
        <f>IFERROR(VLOOKUP(TRIM(CLEAN(G1499)),Sheet14!$A$2:$B$19,2,FALSE),"Not Mapped")</f>
        <v>North</v>
      </c>
    </row>
    <row r="1500" spans="1:18">
      <c r="A1500" t="str">
        <f t="shared" si="117"/>
        <v>EOS1499</v>
      </c>
      <c r="B1500" s="38">
        <v>46105</v>
      </c>
      <c r="C1500" s="4" t="s">
        <v>267</v>
      </c>
      <c r="D1500" s="1" t="str">
        <f t="shared" ref="D1500:D1523" si="120">TRIM(CLEAN(SUBSTITUTE(C1500,CHAR(160),"")))</f>
        <v>FB</v>
      </c>
      <c r="E1500" s="4" t="s">
        <v>2110</v>
      </c>
      <c r="F1500" s="4" t="s">
        <v>2111</v>
      </c>
      <c r="G1500" s="4" t="s">
        <v>223</v>
      </c>
      <c r="H1500" s="1" t="s">
        <v>69</v>
      </c>
      <c r="I1500" s="1">
        <v>108000</v>
      </c>
      <c r="J1500" s="45">
        <v>1071498</v>
      </c>
      <c r="K1500" s="1" t="str">
        <f>TRIM(Cleaned_CRM_Data!H1500)</f>
        <v>Follow up</v>
      </c>
      <c r="L1500" t="str">
        <f>IFERROR(VLOOKUP(K1500, Status_Mapping!A:B, 2,), "Not Found")</f>
        <v>Follow Up</v>
      </c>
      <c r="N1500" s="29" t="str">
        <f>IF(M1500="","",M1500-B1500)</f>
        <v/>
      </c>
      <c r="O1500" s="1" t="str">
        <f t="shared" si="118"/>
        <v>Starter</v>
      </c>
      <c r="P1500" t="str">
        <f>TEXT(B1500, "mmmm")</f>
        <v>March</v>
      </c>
      <c r="Q1500" t="str">
        <f t="shared" si="119"/>
        <v>Q1</v>
      </c>
      <c r="R1500" t="str">
        <f>IFERROR(VLOOKUP(TRIM(CLEAN(G1500)),Sheet14!$A$2:$B$19,2,FALSE),"Not Mapped")</f>
        <v>West</v>
      </c>
    </row>
    <row r="1501" spans="1:18">
      <c r="A1501" t="str">
        <f t="shared" si="117"/>
        <v>EOS1500</v>
      </c>
      <c r="B1501" s="38">
        <v>46105</v>
      </c>
      <c r="C1501" s="4" t="s">
        <v>267</v>
      </c>
      <c r="D1501" s="1" t="str">
        <f t="shared" si="120"/>
        <v>FB</v>
      </c>
      <c r="E1501" s="4" t="s">
        <v>2112</v>
      </c>
      <c r="F1501" s="4" t="s">
        <v>275</v>
      </c>
      <c r="G1501" s="4" t="s">
        <v>223</v>
      </c>
      <c r="H1501" s="1" t="s">
        <v>69</v>
      </c>
      <c r="I1501" s="1">
        <v>130000</v>
      </c>
      <c r="J1501" s="45">
        <v>1071499</v>
      </c>
      <c r="K1501" s="1" t="str">
        <f>TRIM(Cleaned_CRM_Data!H1501)</f>
        <v>Follow up</v>
      </c>
      <c r="L1501" t="str">
        <f>IFERROR(VLOOKUP(K1501, Status_Mapping!A:B, 2,), "Not Found")</f>
        <v>Follow Up</v>
      </c>
      <c r="N1501" s="29" t="str">
        <f>IF(M1501="","",M1501-B1501)</f>
        <v/>
      </c>
      <c r="O1501" s="1" t="str">
        <f t="shared" si="118"/>
        <v>Starter</v>
      </c>
      <c r="P1501" t="str">
        <f>TEXT(B1501, "mmmm")</f>
        <v>March</v>
      </c>
      <c r="Q1501" t="str">
        <f t="shared" si="119"/>
        <v>Q1</v>
      </c>
      <c r="R1501" t="str">
        <f>IFERROR(VLOOKUP(TRIM(CLEAN(G1501)),Sheet14!$A$2:$B$19,2,FALSE),"Not Mapped")</f>
        <v>West</v>
      </c>
    </row>
    <row r="1502" spans="1:18">
      <c r="A1502" t="str">
        <f t="shared" si="117"/>
        <v>EOS1501</v>
      </c>
      <c r="B1502" s="38">
        <v>46105</v>
      </c>
      <c r="C1502" s="4" t="s">
        <v>267</v>
      </c>
      <c r="D1502" s="1" t="str">
        <f t="shared" si="120"/>
        <v>FB</v>
      </c>
      <c r="E1502" s="4" t="s">
        <v>2113</v>
      </c>
      <c r="F1502" s="8" t="s">
        <v>1905</v>
      </c>
      <c r="G1502" s="4" t="s">
        <v>236</v>
      </c>
      <c r="H1502" s="1" t="s">
        <v>69</v>
      </c>
      <c r="I1502" s="1">
        <v>130000</v>
      </c>
      <c r="J1502" s="45">
        <v>1071500</v>
      </c>
      <c r="K1502" s="1" t="str">
        <f>TRIM(Cleaned_CRM_Data!H1502)</f>
        <v>Follow up</v>
      </c>
      <c r="L1502" t="str">
        <f>IFERROR(VLOOKUP(K1502, Status_Mapping!A:B, 2,), "Not Found")</f>
        <v>Follow Up</v>
      </c>
      <c r="N1502" s="29" t="str">
        <f>IF(M1502="","",M1502-B1502)</f>
        <v/>
      </c>
      <c r="O1502" s="1" t="str">
        <f t="shared" si="118"/>
        <v>Starter</v>
      </c>
      <c r="P1502" t="str">
        <f>TEXT(B1502, "mmmm")</f>
        <v>March</v>
      </c>
      <c r="Q1502" t="str">
        <f t="shared" si="119"/>
        <v>Q1</v>
      </c>
      <c r="R1502" t="str">
        <f>IFERROR(VLOOKUP(TRIM(CLEAN(G1502)),Sheet14!$A$2:$B$19,2,FALSE),"Not Mapped")</f>
        <v>North</v>
      </c>
    </row>
    <row r="1503" spans="1:18">
      <c r="A1503" t="str">
        <f t="shared" si="117"/>
        <v>EOS1502</v>
      </c>
      <c r="B1503" s="38">
        <v>46105</v>
      </c>
      <c r="C1503" s="4" t="s">
        <v>267</v>
      </c>
      <c r="D1503" s="1" t="str">
        <f t="shared" si="120"/>
        <v>FB</v>
      </c>
      <c r="E1503" s="8" t="s">
        <v>2114</v>
      </c>
      <c r="F1503" s="4" t="s">
        <v>2115</v>
      </c>
      <c r="G1503" s="4" t="s">
        <v>228</v>
      </c>
      <c r="H1503" s="1" t="s">
        <v>69</v>
      </c>
      <c r="I1503" s="1">
        <v>108000</v>
      </c>
      <c r="J1503" s="45">
        <v>1071501</v>
      </c>
      <c r="K1503" s="1" t="str">
        <f>TRIM(Cleaned_CRM_Data!H1503)</f>
        <v>Follow up</v>
      </c>
      <c r="L1503" t="str">
        <f>IFERROR(VLOOKUP(K1503, Status_Mapping!A:B, 2,), "Not Found")</f>
        <v>Follow Up</v>
      </c>
      <c r="N1503" s="29" t="str">
        <f>IF(M1503="","",M1503-B1503)</f>
        <v/>
      </c>
      <c r="O1503" s="1" t="str">
        <f t="shared" si="118"/>
        <v>Starter</v>
      </c>
      <c r="P1503" t="str">
        <f>TEXT(B1503, "mmmm")</f>
        <v>March</v>
      </c>
      <c r="Q1503" t="str">
        <f t="shared" si="119"/>
        <v>Q1</v>
      </c>
      <c r="R1503" t="str">
        <f>IFERROR(VLOOKUP(TRIM(CLEAN(G1503)),Sheet14!$A$2:$B$19,2,FALSE),"Not Mapped")</f>
        <v>Central</v>
      </c>
    </row>
    <row r="1504" spans="1:18">
      <c r="A1504" t="str">
        <f t="shared" si="117"/>
        <v>EOS1503</v>
      </c>
      <c r="B1504" s="38">
        <v>46105</v>
      </c>
      <c r="C1504" s="4" t="s">
        <v>267</v>
      </c>
      <c r="D1504" s="1" t="str">
        <f t="shared" si="120"/>
        <v>FB</v>
      </c>
      <c r="E1504" s="4" t="s">
        <v>2116</v>
      </c>
      <c r="F1504" s="4"/>
      <c r="G1504" s="4"/>
      <c r="H1504" s="1" t="s">
        <v>69</v>
      </c>
      <c r="I1504" s="1">
        <v>108000</v>
      </c>
      <c r="J1504" s="45">
        <v>1071502</v>
      </c>
      <c r="K1504" s="1" t="str">
        <f>TRIM(Cleaned_CRM_Data!H1504)</f>
        <v>Follow up</v>
      </c>
      <c r="L1504" t="str">
        <f>IFERROR(VLOOKUP(K1504, Status_Mapping!A:B, 2,), "Not Found")</f>
        <v>Follow Up</v>
      </c>
      <c r="N1504" s="29" t="str">
        <f>IF(M1504="","",M1504-B1504)</f>
        <v/>
      </c>
      <c r="O1504" s="1" t="str">
        <f t="shared" si="118"/>
        <v>Starter</v>
      </c>
      <c r="P1504" t="str">
        <f>TEXT(B1504, "mmmm")</f>
        <v>March</v>
      </c>
      <c r="Q1504" t="str">
        <f t="shared" si="119"/>
        <v>Q1</v>
      </c>
      <c r="R1504" t="str">
        <f>IFERROR(VLOOKUP(TRIM(CLEAN(G1504)),Sheet14!$A$2:$B$19,2,FALSE),"Not Mapped")</f>
        <v>Not Mapped</v>
      </c>
    </row>
    <row r="1505" spans="1:18">
      <c r="A1505" t="str">
        <f t="shared" si="117"/>
        <v>EOS1504</v>
      </c>
      <c r="B1505" s="38">
        <v>46105</v>
      </c>
      <c r="C1505" s="4" t="s">
        <v>267</v>
      </c>
      <c r="D1505" s="1" t="str">
        <f t="shared" si="120"/>
        <v>FB</v>
      </c>
      <c r="E1505" s="4" t="s">
        <v>2117</v>
      </c>
      <c r="F1505" s="1" t="s">
        <v>271</v>
      </c>
      <c r="G1505" s="1" t="s">
        <v>224</v>
      </c>
      <c r="H1505" s="1" t="s">
        <v>69</v>
      </c>
      <c r="I1505" s="1">
        <v>130000</v>
      </c>
      <c r="J1505" s="45">
        <v>1071503</v>
      </c>
      <c r="K1505" s="1" t="str">
        <f>TRIM(Cleaned_CRM_Data!H1505)</f>
        <v>Follow up</v>
      </c>
      <c r="L1505" t="str">
        <f>IFERROR(VLOOKUP(K1505, Status_Mapping!A:B, 2,), "Not Found")</f>
        <v>Follow Up</v>
      </c>
      <c r="N1505" s="29" t="str">
        <f>IF(M1505="","",M1505-B1505)</f>
        <v/>
      </c>
      <c r="O1505" s="1" t="str">
        <f t="shared" si="118"/>
        <v>Starter</v>
      </c>
      <c r="P1505" t="str">
        <f>TEXT(B1505, "mmmm")</f>
        <v>March</v>
      </c>
      <c r="Q1505" t="str">
        <f t="shared" si="119"/>
        <v>Q1</v>
      </c>
      <c r="R1505" t="str">
        <f>IFERROR(VLOOKUP(TRIM(CLEAN(G1505)),Sheet14!$A$2:$B$19,2,FALSE),"Not Mapped")</f>
        <v>West</v>
      </c>
    </row>
    <row r="1506" spans="1:18">
      <c r="A1506" t="str">
        <f t="shared" si="117"/>
        <v>EOS1505</v>
      </c>
      <c r="B1506" s="35">
        <v>45952</v>
      </c>
      <c r="C1506" s="4" t="s">
        <v>267</v>
      </c>
      <c r="D1506" s="1" t="str">
        <f t="shared" si="120"/>
        <v>FB</v>
      </c>
      <c r="E1506" s="1" t="s">
        <v>1458</v>
      </c>
      <c r="F1506" s="10" t="s">
        <v>283</v>
      </c>
      <c r="G1506" s="10" t="s">
        <v>223</v>
      </c>
      <c r="H1506" s="9"/>
      <c r="I1506" s="1">
        <v>130000</v>
      </c>
      <c r="J1506" s="45">
        <v>1071504</v>
      </c>
      <c r="K1506" s="1" t="str">
        <f>TRIM(Cleaned_CRM_Data!H1506)</f>
        <v/>
      </c>
      <c r="L1506" t="str">
        <f>IFERROR(VLOOKUP(K1506, Status_Mapping!A:B, 2,), "Not Found")</f>
        <v>Not Found</v>
      </c>
      <c r="N1506" s="29" t="str">
        <f>IF(M1506="","",M1506-B1506)</f>
        <v/>
      </c>
      <c r="O1506" s="1" t="str">
        <f t="shared" si="118"/>
        <v>Starter</v>
      </c>
      <c r="P1506" t="str">
        <f>TEXT(B1506, "mmmm")</f>
        <v>October</v>
      </c>
      <c r="Q1506" t="str">
        <f t="shared" si="119"/>
        <v>Q4</v>
      </c>
      <c r="R1506" t="str">
        <f>IFERROR(VLOOKUP(TRIM(CLEAN(G1506)),Sheet14!$A$2:$B$19,2,FALSE),"Not Mapped")</f>
        <v>West</v>
      </c>
    </row>
    <row r="1507" spans="1:18">
      <c r="A1507" t="str">
        <f t="shared" si="117"/>
        <v>EOS1506</v>
      </c>
      <c r="B1507" s="40">
        <v>46113</v>
      </c>
      <c r="C1507" s="10" t="s">
        <v>267</v>
      </c>
      <c r="D1507" s="1" t="str">
        <f t="shared" si="120"/>
        <v>FB</v>
      </c>
      <c r="E1507" s="10" t="s">
        <v>2118</v>
      </c>
      <c r="F1507" s="10" t="s">
        <v>2119</v>
      </c>
      <c r="G1507" s="10" t="s">
        <v>223</v>
      </c>
      <c r="H1507" s="9"/>
      <c r="I1507" s="1">
        <v>108000</v>
      </c>
      <c r="J1507" s="45">
        <v>1071505</v>
      </c>
      <c r="K1507" s="1" t="str">
        <f>TRIM(Cleaned_CRM_Data!H1507)</f>
        <v/>
      </c>
      <c r="L1507" t="str">
        <f>IFERROR(VLOOKUP(K1507, Status_Mapping!A:B, 2,), "Not Found")</f>
        <v>Not Found</v>
      </c>
      <c r="N1507" s="29" t="str">
        <f>IF(M1507="","",M1507-B1507)</f>
        <v/>
      </c>
      <c r="O1507" s="1" t="str">
        <f t="shared" si="118"/>
        <v>Starter</v>
      </c>
      <c r="P1507" t="str">
        <f>TEXT(B1507, "mmmm")</f>
        <v>April</v>
      </c>
      <c r="Q1507" t="str">
        <f t="shared" si="119"/>
        <v>Q2</v>
      </c>
      <c r="R1507" t="str">
        <f>IFERROR(VLOOKUP(TRIM(CLEAN(G1507)),Sheet14!$A$2:$B$19,2,FALSE),"Not Mapped")</f>
        <v>West</v>
      </c>
    </row>
    <row r="1508" spans="1:18">
      <c r="A1508" t="str">
        <f t="shared" si="117"/>
        <v>EOS1507</v>
      </c>
      <c r="B1508" s="40">
        <v>46113</v>
      </c>
      <c r="C1508" s="10" t="s">
        <v>267</v>
      </c>
      <c r="D1508" s="1" t="str">
        <f t="shared" si="120"/>
        <v>FB</v>
      </c>
      <c r="E1508" s="10" t="s">
        <v>2120</v>
      </c>
      <c r="F1508" s="10" t="s">
        <v>275</v>
      </c>
      <c r="G1508" s="10" t="s">
        <v>223</v>
      </c>
      <c r="H1508" s="9"/>
      <c r="I1508" s="1">
        <v>108000</v>
      </c>
      <c r="J1508" s="45">
        <v>1071506</v>
      </c>
      <c r="K1508" s="1" t="str">
        <f>TRIM(Cleaned_CRM_Data!H1508)</f>
        <v/>
      </c>
      <c r="L1508" t="str">
        <f>IFERROR(VLOOKUP(K1508, Status_Mapping!A:B, 2,), "Not Found")</f>
        <v>Not Found</v>
      </c>
      <c r="N1508" s="29" t="str">
        <f>IF(M1508="","",M1508-B1508)</f>
        <v/>
      </c>
      <c r="O1508" s="1" t="str">
        <f t="shared" si="118"/>
        <v>Starter</v>
      </c>
      <c r="P1508" t="str">
        <f>TEXT(B1508, "mmmm")</f>
        <v>April</v>
      </c>
      <c r="Q1508" t="str">
        <f t="shared" si="119"/>
        <v>Q2</v>
      </c>
      <c r="R1508" t="str">
        <f>IFERROR(VLOOKUP(TRIM(CLEAN(G1508)),Sheet14!$A$2:$B$19,2,FALSE),"Not Mapped")</f>
        <v>West</v>
      </c>
    </row>
    <row r="1509" spans="1:18">
      <c r="A1509" t="str">
        <f t="shared" si="117"/>
        <v>EOS1508</v>
      </c>
      <c r="B1509" s="40">
        <v>46113</v>
      </c>
      <c r="C1509" s="10" t="s">
        <v>267</v>
      </c>
      <c r="D1509" s="1" t="str">
        <f t="shared" si="120"/>
        <v>FB</v>
      </c>
      <c r="E1509" s="10" t="s">
        <v>2121</v>
      </c>
      <c r="F1509" s="10" t="s">
        <v>2122</v>
      </c>
      <c r="G1509" s="10" t="s">
        <v>223</v>
      </c>
      <c r="H1509" s="9"/>
      <c r="I1509" s="1">
        <v>177000</v>
      </c>
      <c r="J1509" s="45">
        <v>1071507</v>
      </c>
      <c r="K1509" s="1" t="str">
        <f>TRIM(Cleaned_CRM_Data!H1509)</f>
        <v/>
      </c>
      <c r="L1509" t="str">
        <f>IFERROR(VLOOKUP(K1509, Status_Mapping!A:B, 2,), "Not Found")</f>
        <v>Not Found</v>
      </c>
      <c r="N1509" s="29" t="str">
        <f>IF(M1509="","",M1509-B1509)</f>
        <v/>
      </c>
      <c r="O1509" s="1" t="str">
        <f t="shared" si="118"/>
        <v>Growth</v>
      </c>
      <c r="P1509" t="str">
        <f>TEXT(B1509, "mmmm")</f>
        <v>April</v>
      </c>
      <c r="Q1509" t="str">
        <f t="shared" si="119"/>
        <v>Q2</v>
      </c>
      <c r="R1509" t="str">
        <f>IFERROR(VLOOKUP(TRIM(CLEAN(G1509)),Sheet14!$A$2:$B$19,2,FALSE),"Not Mapped")</f>
        <v>West</v>
      </c>
    </row>
    <row r="1510" spans="1:18">
      <c r="A1510" t="str">
        <f t="shared" si="117"/>
        <v>EOS1509</v>
      </c>
      <c r="B1510" s="40">
        <v>46113</v>
      </c>
      <c r="C1510" s="10" t="s">
        <v>267</v>
      </c>
      <c r="D1510" s="1" t="str">
        <f t="shared" si="120"/>
        <v>FB</v>
      </c>
      <c r="E1510" s="10" t="s">
        <v>2123</v>
      </c>
      <c r="F1510" s="10" t="s">
        <v>275</v>
      </c>
      <c r="G1510" s="10" t="s">
        <v>223</v>
      </c>
      <c r="H1510" s="9"/>
      <c r="I1510" s="1">
        <v>108000</v>
      </c>
      <c r="J1510" s="45">
        <v>1071508</v>
      </c>
      <c r="K1510" s="1" t="str">
        <f>TRIM(Cleaned_CRM_Data!H1510)</f>
        <v/>
      </c>
      <c r="L1510" t="str">
        <f>IFERROR(VLOOKUP(K1510, Status_Mapping!A:B, 2,), "Not Found")</f>
        <v>Not Found</v>
      </c>
      <c r="N1510" s="29" t="str">
        <f>IF(M1510="","",M1510-B1510)</f>
        <v/>
      </c>
      <c r="O1510" s="1" t="str">
        <f t="shared" si="118"/>
        <v>Starter</v>
      </c>
      <c r="P1510" t="str">
        <f>TEXT(B1510, "mmmm")</f>
        <v>April</v>
      </c>
      <c r="Q1510" t="str">
        <f t="shared" si="119"/>
        <v>Q2</v>
      </c>
      <c r="R1510" t="str">
        <f>IFERROR(VLOOKUP(TRIM(CLEAN(G1510)),Sheet14!$A$2:$B$19,2,FALSE),"Not Mapped")</f>
        <v>West</v>
      </c>
    </row>
    <row r="1511" spans="1:18">
      <c r="A1511" t="str">
        <f t="shared" si="117"/>
        <v>EOS1510</v>
      </c>
      <c r="B1511" s="40">
        <v>46113</v>
      </c>
      <c r="C1511" s="10" t="s">
        <v>267</v>
      </c>
      <c r="D1511" s="1" t="str">
        <f t="shared" si="120"/>
        <v>FB</v>
      </c>
      <c r="E1511" s="10" t="s">
        <v>2124</v>
      </c>
      <c r="F1511" s="10" t="s">
        <v>2125</v>
      </c>
      <c r="G1511" s="10" t="s">
        <v>223</v>
      </c>
      <c r="H1511" s="9"/>
      <c r="I1511" s="1">
        <v>177000</v>
      </c>
      <c r="J1511" s="45">
        <v>1071509</v>
      </c>
      <c r="K1511" s="1" t="str">
        <f>TRIM(Cleaned_CRM_Data!H1511)</f>
        <v/>
      </c>
      <c r="L1511" t="str">
        <f>IFERROR(VLOOKUP(K1511, Status_Mapping!A:B, 2,), "Not Found")</f>
        <v>Not Found</v>
      </c>
      <c r="N1511" s="29" t="str">
        <f>IF(M1511="","",M1511-B1511)</f>
        <v/>
      </c>
      <c r="O1511" s="1" t="str">
        <f t="shared" si="118"/>
        <v>Growth</v>
      </c>
      <c r="P1511" t="str">
        <f>TEXT(B1511, "mmmm")</f>
        <v>April</v>
      </c>
      <c r="Q1511" t="str">
        <f t="shared" si="119"/>
        <v>Q2</v>
      </c>
      <c r="R1511" t="str">
        <f>IFERROR(VLOOKUP(TRIM(CLEAN(G1511)),Sheet14!$A$2:$B$19,2,FALSE),"Not Mapped")</f>
        <v>West</v>
      </c>
    </row>
    <row r="1512" spans="1:18">
      <c r="A1512" t="str">
        <f t="shared" si="117"/>
        <v>EOS1511</v>
      </c>
      <c r="B1512" s="40">
        <v>46113</v>
      </c>
      <c r="C1512" s="10" t="s">
        <v>267</v>
      </c>
      <c r="D1512" s="1" t="str">
        <f t="shared" si="120"/>
        <v>FB</v>
      </c>
      <c r="E1512" s="10" t="s">
        <v>2126</v>
      </c>
      <c r="F1512" s="10" t="s">
        <v>603</v>
      </c>
      <c r="G1512" s="10" t="s">
        <v>236</v>
      </c>
      <c r="H1512" s="9"/>
      <c r="I1512" s="1">
        <v>108000</v>
      </c>
      <c r="J1512" s="45">
        <v>1071510</v>
      </c>
      <c r="K1512" s="1" t="str">
        <f>TRIM(Cleaned_CRM_Data!H1512)</f>
        <v/>
      </c>
      <c r="L1512" t="str">
        <f>IFERROR(VLOOKUP(K1512, Status_Mapping!A:B, 2,), "Not Found")</f>
        <v>Not Found</v>
      </c>
      <c r="N1512" s="29" t="str">
        <f>IF(M1512="","",M1512-B1512)</f>
        <v/>
      </c>
      <c r="O1512" s="1" t="str">
        <f t="shared" si="118"/>
        <v>Starter</v>
      </c>
      <c r="P1512" t="str">
        <f>TEXT(B1512, "mmmm")</f>
        <v>April</v>
      </c>
      <c r="Q1512" t="str">
        <f t="shared" si="119"/>
        <v>Q2</v>
      </c>
      <c r="R1512" t="str">
        <f>IFERROR(VLOOKUP(TRIM(CLEAN(G1512)),Sheet14!$A$2:$B$19,2,FALSE),"Not Mapped")</f>
        <v>North</v>
      </c>
    </row>
    <row r="1513" spans="1:18">
      <c r="A1513" t="str">
        <f t="shared" si="117"/>
        <v>EOS1512</v>
      </c>
      <c r="B1513" s="40">
        <v>46113</v>
      </c>
      <c r="C1513" s="10" t="s">
        <v>267</v>
      </c>
      <c r="D1513" s="1" t="str">
        <f t="shared" si="120"/>
        <v>FB</v>
      </c>
      <c r="E1513" s="10" t="s">
        <v>2127</v>
      </c>
      <c r="F1513" s="10" t="s">
        <v>2128</v>
      </c>
      <c r="G1513" s="10" t="s">
        <v>215</v>
      </c>
      <c r="H1513" s="9"/>
      <c r="I1513" s="1">
        <v>177000</v>
      </c>
      <c r="J1513" s="45">
        <v>1071511</v>
      </c>
      <c r="K1513" s="1" t="str">
        <f>TRIM(Cleaned_CRM_Data!H1513)</f>
        <v/>
      </c>
      <c r="L1513" t="str">
        <f>IFERROR(VLOOKUP(K1513, Status_Mapping!A:B, 2,), "Not Found")</f>
        <v>Not Found</v>
      </c>
      <c r="N1513" s="29" t="str">
        <f>IF(M1513="","",M1513-B1513)</f>
        <v/>
      </c>
      <c r="O1513" s="1" t="str">
        <f t="shared" si="118"/>
        <v>Growth</v>
      </c>
      <c r="P1513" t="str">
        <f>TEXT(B1513, "mmmm")</f>
        <v>April</v>
      </c>
      <c r="Q1513" t="str">
        <f t="shared" si="119"/>
        <v>Q2</v>
      </c>
      <c r="R1513" t="str">
        <f>IFERROR(VLOOKUP(TRIM(CLEAN(G1513)),Sheet14!$A$2:$B$19,2,FALSE),"Not Mapped")</f>
        <v>East</v>
      </c>
    </row>
    <row r="1514" spans="1:18">
      <c r="A1514" t="str">
        <f t="shared" si="117"/>
        <v>EOS1513</v>
      </c>
      <c r="B1514" s="40">
        <v>46114</v>
      </c>
      <c r="C1514" s="10" t="s">
        <v>267</v>
      </c>
      <c r="D1514" s="1" t="str">
        <f t="shared" si="120"/>
        <v>FB</v>
      </c>
      <c r="E1514" s="10" t="s">
        <v>2129</v>
      </c>
      <c r="F1514" s="10" t="s">
        <v>1563</v>
      </c>
      <c r="G1514" s="10" t="s">
        <v>223</v>
      </c>
      <c r="H1514" s="9"/>
      <c r="I1514" s="1">
        <v>177000</v>
      </c>
      <c r="J1514" s="45">
        <v>1071512</v>
      </c>
      <c r="K1514" s="1" t="str">
        <f>TRIM(Cleaned_CRM_Data!H1514)</f>
        <v/>
      </c>
      <c r="L1514" t="str">
        <f>IFERROR(VLOOKUP(K1514, Status_Mapping!A:B, 2,), "Not Found")</f>
        <v>Not Found</v>
      </c>
      <c r="N1514" s="29" t="str">
        <f>IF(M1514="","",M1514-B1514)</f>
        <v/>
      </c>
      <c r="O1514" s="1" t="str">
        <f t="shared" si="118"/>
        <v>Growth</v>
      </c>
      <c r="P1514" t="str">
        <f>TEXT(B1514, "mmmm")</f>
        <v>April</v>
      </c>
      <c r="Q1514" t="str">
        <f t="shared" si="119"/>
        <v>Q2</v>
      </c>
      <c r="R1514" t="str">
        <f>IFERROR(VLOOKUP(TRIM(CLEAN(G1514)),Sheet14!$A$2:$B$19,2,FALSE),"Not Mapped")</f>
        <v>West</v>
      </c>
    </row>
    <row r="1515" spans="1:18">
      <c r="A1515" t="str">
        <f t="shared" si="117"/>
        <v>EOS1514</v>
      </c>
      <c r="B1515" s="40">
        <v>46114</v>
      </c>
      <c r="C1515" s="10" t="s">
        <v>267</v>
      </c>
      <c r="D1515" s="1" t="str">
        <f t="shared" si="120"/>
        <v>FB</v>
      </c>
      <c r="E1515" s="10" t="s">
        <v>2130</v>
      </c>
      <c r="F1515" s="10" t="s">
        <v>304</v>
      </c>
      <c r="G1515" s="10" t="s">
        <v>223</v>
      </c>
      <c r="H1515" s="9"/>
      <c r="I1515" s="1">
        <v>177000</v>
      </c>
      <c r="J1515" s="45">
        <v>1071513</v>
      </c>
      <c r="K1515" s="1" t="str">
        <f>TRIM(Cleaned_CRM_Data!H1515)</f>
        <v/>
      </c>
      <c r="L1515" t="str">
        <f>IFERROR(VLOOKUP(K1515, Status_Mapping!A:B, 2,), "Not Found")</f>
        <v>Not Found</v>
      </c>
      <c r="N1515" s="29" t="str">
        <f>IF(M1515="","",M1515-B1515)</f>
        <v/>
      </c>
      <c r="O1515" s="1" t="str">
        <f t="shared" si="118"/>
        <v>Growth</v>
      </c>
      <c r="P1515" t="str">
        <f>TEXT(B1515, "mmmm")</f>
        <v>April</v>
      </c>
      <c r="Q1515" t="str">
        <f t="shared" si="119"/>
        <v>Q2</v>
      </c>
      <c r="R1515" t="str">
        <f>IFERROR(VLOOKUP(TRIM(CLEAN(G1515)),Sheet14!$A$2:$B$19,2,FALSE),"Not Mapped")</f>
        <v>West</v>
      </c>
    </row>
    <row r="1516" spans="1:18">
      <c r="A1516" t="str">
        <f t="shared" si="117"/>
        <v>EOS1515</v>
      </c>
      <c r="B1516" s="40">
        <v>46114</v>
      </c>
      <c r="C1516" s="10" t="s">
        <v>267</v>
      </c>
      <c r="D1516" s="1" t="str">
        <f t="shared" si="120"/>
        <v>FB</v>
      </c>
      <c r="E1516" s="10" t="s">
        <v>2131</v>
      </c>
      <c r="F1516" s="10" t="s">
        <v>304</v>
      </c>
      <c r="G1516" s="10" t="s">
        <v>223</v>
      </c>
      <c r="H1516" s="9"/>
      <c r="I1516" s="1">
        <v>108000</v>
      </c>
      <c r="J1516" s="45">
        <v>1071514</v>
      </c>
      <c r="K1516" s="1" t="str">
        <f>TRIM(Cleaned_CRM_Data!H1516)</f>
        <v/>
      </c>
      <c r="L1516" t="str">
        <f>IFERROR(VLOOKUP(K1516, Status_Mapping!A:B, 2,), "Not Found")</f>
        <v>Not Found</v>
      </c>
      <c r="N1516" s="29" t="str">
        <f>IF(M1516="","",M1516-B1516)</f>
        <v/>
      </c>
      <c r="O1516" s="1" t="str">
        <f t="shared" si="118"/>
        <v>Starter</v>
      </c>
      <c r="P1516" t="str">
        <f>TEXT(B1516, "mmmm")</f>
        <v>April</v>
      </c>
      <c r="Q1516" t="str">
        <f t="shared" si="119"/>
        <v>Q2</v>
      </c>
      <c r="R1516" t="str">
        <f>IFERROR(VLOOKUP(TRIM(CLEAN(G1516)),Sheet14!$A$2:$B$19,2,FALSE),"Not Mapped")</f>
        <v>West</v>
      </c>
    </row>
    <row r="1517" spans="1:18">
      <c r="A1517" t="str">
        <f t="shared" si="117"/>
        <v>EOS1516</v>
      </c>
      <c r="B1517" s="40">
        <v>46114</v>
      </c>
      <c r="C1517" s="10" t="s">
        <v>267</v>
      </c>
      <c r="D1517" s="1" t="str">
        <f t="shared" si="120"/>
        <v>FB</v>
      </c>
      <c r="E1517" s="10" t="s">
        <v>2132</v>
      </c>
      <c r="F1517" s="10" t="s">
        <v>643</v>
      </c>
      <c r="G1517" s="10" t="s">
        <v>223</v>
      </c>
      <c r="H1517" s="9"/>
      <c r="I1517" s="1">
        <v>130000</v>
      </c>
      <c r="J1517" s="45">
        <v>1071515</v>
      </c>
      <c r="K1517" s="1" t="str">
        <f>TRIM(Cleaned_CRM_Data!H1517)</f>
        <v/>
      </c>
      <c r="L1517" t="str">
        <f>IFERROR(VLOOKUP(K1517, Status_Mapping!A:B, 2,), "Not Found")</f>
        <v>Not Found</v>
      </c>
      <c r="N1517" s="29" t="str">
        <f>IF(M1517="","",M1517-B1517)</f>
        <v/>
      </c>
      <c r="O1517" s="1" t="str">
        <f t="shared" si="118"/>
        <v>Starter</v>
      </c>
      <c r="P1517" t="str">
        <f>TEXT(B1517, "mmmm")</f>
        <v>April</v>
      </c>
      <c r="Q1517" t="str">
        <f t="shared" si="119"/>
        <v>Q2</v>
      </c>
      <c r="R1517" t="str">
        <f>IFERROR(VLOOKUP(TRIM(CLEAN(G1517)),Sheet14!$A$2:$B$19,2,FALSE),"Not Mapped")</f>
        <v>West</v>
      </c>
    </row>
    <row r="1518" spans="1:18">
      <c r="A1518" t="str">
        <f t="shared" si="117"/>
        <v>EOS1517</v>
      </c>
      <c r="B1518" s="40">
        <v>46114</v>
      </c>
      <c r="C1518" s="10" t="s">
        <v>267</v>
      </c>
      <c r="D1518" s="1" t="str">
        <f t="shared" si="120"/>
        <v>FB</v>
      </c>
      <c r="E1518" s="10" t="s">
        <v>2133</v>
      </c>
      <c r="F1518" s="10" t="s">
        <v>661</v>
      </c>
      <c r="G1518" s="10" t="s">
        <v>223</v>
      </c>
      <c r="H1518" s="9"/>
      <c r="I1518" s="1">
        <v>130000</v>
      </c>
      <c r="J1518" s="45">
        <v>1071516</v>
      </c>
      <c r="K1518" s="1" t="str">
        <f>TRIM(Cleaned_CRM_Data!H1518)</f>
        <v/>
      </c>
      <c r="L1518" t="str">
        <f>IFERROR(VLOOKUP(K1518, Status_Mapping!A:B, 2,), "Not Found")</f>
        <v>Not Found</v>
      </c>
      <c r="N1518" s="29" t="str">
        <f>IF(M1518="","",M1518-B1518)</f>
        <v/>
      </c>
      <c r="O1518" s="1" t="str">
        <f t="shared" si="118"/>
        <v>Starter</v>
      </c>
      <c r="P1518" t="str">
        <f>TEXT(B1518, "mmmm")</f>
        <v>April</v>
      </c>
      <c r="Q1518" t="str">
        <f t="shared" si="119"/>
        <v>Q2</v>
      </c>
      <c r="R1518" t="str">
        <f>IFERROR(VLOOKUP(TRIM(CLEAN(G1518)),Sheet14!$A$2:$B$19,2,FALSE),"Not Mapped")</f>
        <v>West</v>
      </c>
    </row>
    <row r="1519" spans="1:18">
      <c r="A1519" t="str">
        <f t="shared" si="117"/>
        <v>EOS1518</v>
      </c>
      <c r="B1519" s="40">
        <v>46114</v>
      </c>
      <c r="C1519" s="10" t="s">
        <v>267</v>
      </c>
      <c r="D1519" s="1" t="str">
        <f t="shared" si="120"/>
        <v>FB</v>
      </c>
      <c r="E1519" s="10" t="s">
        <v>2134</v>
      </c>
      <c r="F1519" s="10" t="s">
        <v>722</v>
      </c>
      <c r="G1519" s="10" t="s">
        <v>223</v>
      </c>
      <c r="H1519" s="9"/>
      <c r="I1519" s="1">
        <v>108000</v>
      </c>
      <c r="J1519" s="45">
        <v>1071517</v>
      </c>
      <c r="K1519" s="1" t="str">
        <f>TRIM(Cleaned_CRM_Data!H1519)</f>
        <v/>
      </c>
      <c r="L1519" t="str">
        <f>IFERROR(VLOOKUP(K1519, Status_Mapping!A:B, 2,), "Not Found")</f>
        <v>Not Found</v>
      </c>
      <c r="N1519" s="29" t="str">
        <f>IF(M1519="","",M1519-B1519)</f>
        <v/>
      </c>
      <c r="O1519" s="1" t="str">
        <f t="shared" si="118"/>
        <v>Starter</v>
      </c>
      <c r="P1519" t="str">
        <f>TEXT(B1519, "mmmm")</f>
        <v>April</v>
      </c>
      <c r="Q1519" t="str">
        <f t="shared" si="119"/>
        <v>Q2</v>
      </c>
      <c r="R1519" t="str">
        <f>IFERROR(VLOOKUP(TRIM(CLEAN(G1519)),Sheet14!$A$2:$B$19,2,FALSE),"Not Mapped")</f>
        <v>West</v>
      </c>
    </row>
    <row r="1520" spans="1:18">
      <c r="A1520" t="str">
        <f t="shared" si="117"/>
        <v>EOS1519</v>
      </c>
      <c r="B1520" s="40">
        <v>46114</v>
      </c>
      <c r="C1520" s="10" t="s">
        <v>267</v>
      </c>
      <c r="D1520" s="1" t="str">
        <f t="shared" si="120"/>
        <v>FB</v>
      </c>
      <c r="E1520" s="10" t="s">
        <v>2135</v>
      </c>
      <c r="F1520" s="10" t="s">
        <v>298</v>
      </c>
      <c r="G1520" s="10" t="s">
        <v>223</v>
      </c>
      <c r="H1520" s="9"/>
      <c r="I1520" s="1">
        <v>108000</v>
      </c>
      <c r="J1520" s="45">
        <v>1071518</v>
      </c>
      <c r="K1520" s="1" t="str">
        <f>TRIM(Cleaned_CRM_Data!H1520)</f>
        <v/>
      </c>
      <c r="L1520" t="str">
        <f>IFERROR(VLOOKUP(K1520, Status_Mapping!A:B, 2,), "Not Found")</f>
        <v>Not Found</v>
      </c>
      <c r="N1520" s="29" t="str">
        <f>IF(M1520="","",M1520-B1520)</f>
        <v/>
      </c>
      <c r="O1520" s="1" t="str">
        <f t="shared" si="118"/>
        <v>Starter</v>
      </c>
      <c r="P1520" t="str">
        <f>TEXT(B1520, "mmmm")</f>
        <v>April</v>
      </c>
      <c r="Q1520" t="str">
        <f t="shared" si="119"/>
        <v>Q2</v>
      </c>
      <c r="R1520" t="str">
        <f>IFERROR(VLOOKUP(TRIM(CLEAN(G1520)),Sheet14!$A$2:$B$19,2,FALSE),"Not Mapped")</f>
        <v>West</v>
      </c>
    </row>
    <row r="1521" spans="1:18">
      <c r="A1521" t="str">
        <f t="shared" si="117"/>
        <v>EOS1520</v>
      </c>
      <c r="B1521" s="40">
        <v>46114</v>
      </c>
      <c r="C1521" s="10" t="s">
        <v>267</v>
      </c>
      <c r="D1521" s="1" t="str">
        <f t="shared" si="120"/>
        <v>FB</v>
      </c>
      <c r="E1521" s="10" t="s">
        <v>2136</v>
      </c>
      <c r="F1521" s="10" t="s">
        <v>2137</v>
      </c>
      <c r="G1521" s="10" t="s">
        <v>233</v>
      </c>
      <c r="H1521" s="9"/>
      <c r="I1521" s="1">
        <v>130000</v>
      </c>
      <c r="J1521" s="45">
        <v>1071519</v>
      </c>
      <c r="K1521" s="1" t="str">
        <f>TRIM(Cleaned_CRM_Data!H1521)</f>
        <v/>
      </c>
      <c r="L1521" t="str">
        <f>IFERROR(VLOOKUP(K1521, Status_Mapping!A:B, 2,), "Not Found")</f>
        <v>Not Found</v>
      </c>
      <c r="N1521" s="29" t="str">
        <f>IF(M1521="","",M1521-B1521)</f>
        <v/>
      </c>
      <c r="O1521" s="1" t="str">
        <f t="shared" si="118"/>
        <v>Starter</v>
      </c>
      <c r="P1521" t="str">
        <f>TEXT(B1521, "mmmm")</f>
        <v>April</v>
      </c>
      <c r="Q1521" t="str">
        <f t="shared" si="119"/>
        <v>Q2</v>
      </c>
      <c r="R1521" t="str">
        <f>IFERROR(VLOOKUP(TRIM(CLEAN(G1521)),Sheet14!$A$2:$B$19,2,FALSE),"Not Mapped")</f>
        <v>North</v>
      </c>
    </row>
    <row r="1522" spans="1:18">
      <c r="A1522" t="str">
        <f t="shared" si="117"/>
        <v>EOS1521</v>
      </c>
      <c r="B1522" s="40">
        <v>46114</v>
      </c>
      <c r="C1522" s="10" t="s">
        <v>267</v>
      </c>
      <c r="D1522" s="1" t="str">
        <f t="shared" si="120"/>
        <v>FB</v>
      </c>
      <c r="E1522" s="10" t="s">
        <v>2138</v>
      </c>
      <c r="F1522" s="10" t="s">
        <v>2139</v>
      </c>
      <c r="G1522" s="9" t="s">
        <v>236</v>
      </c>
      <c r="H1522" s="9"/>
      <c r="I1522" s="1">
        <v>130000</v>
      </c>
      <c r="J1522" s="45">
        <v>1071520</v>
      </c>
      <c r="K1522" s="1" t="str">
        <f>TRIM(Cleaned_CRM_Data!H1522)</f>
        <v/>
      </c>
      <c r="L1522" t="str">
        <f>IFERROR(VLOOKUP(K1522, Status_Mapping!A:B, 2,), "Not Found")</f>
        <v>Not Found</v>
      </c>
      <c r="N1522" s="29" t="str">
        <f>IF(M1522="","",M1522-B1522)</f>
        <v/>
      </c>
      <c r="O1522" s="1" t="str">
        <f t="shared" si="118"/>
        <v>Starter</v>
      </c>
      <c r="P1522" t="str">
        <f>TEXT(B1522, "mmmm")</f>
        <v>April</v>
      </c>
      <c r="Q1522" t="str">
        <f t="shared" si="119"/>
        <v>Q2</v>
      </c>
      <c r="R1522" t="str">
        <f>IFERROR(VLOOKUP(TRIM(CLEAN(G1522)),Sheet14!$A$2:$B$19,2,FALSE),"Not Mapped")</f>
        <v>North</v>
      </c>
    </row>
    <row r="1523" spans="1:18">
      <c r="A1523" t="str">
        <f t="shared" si="117"/>
        <v>EOS1522</v>
      </c>
      <c r="B1523" s="40">
        <v>46114</v>
      </c>
      <c r="C1523" s="10" t="s">
        <v>267</v>
      </c>
      <c r="D1523" s="1" t="str">
        <f t="shared" si="120"/>
        <v>FB</v>
      </c>
      <c r="E1523" s="10" t="s">
        <v>2140</v>
      </c>
      <c r="F1523" s="9"/>
      <c r="G1523" s="10" t="s">
        <v>229</v>
      </c>
      <c r="H1523" s="9"/>
      <c r="I1523" s="1">
        <v>108000</v>
      </c>
      <c r="J1523" s="45">
        <v>1071521</v>
      </c>
      <c r="K1523" s="1" t="str">
        <f>TRIM(Cleaned_CRM_Data!H1523)</f>
        <v/>
      </c>
      <c r="L1523" t="str">
        <f>IFERROR(VLOOKUP(K1523, Status_Mapping!A:B, 2,), "Not Found")</f>
        <v>Not Found</v>
      </c>
      <c r="N1523" s="29" t="str">
        <f>IF(M1523="","",M1523-B1523)</f>
        <v/>
      </c>
      <c r="O1523" s="1" t="str">
        <f t="shared" si="118"/>
        <v>Starter</v>
      </c>
      <c r="P1523" t="str">
        <f>TEXT(B1523, "mmmm")</f>
        <v>April</v>
      </c>
      <c r="Q1523" t="str">
        <f t="shared" si="119"/>
        <v>Q2</v>
      </c>
      <c r="R1523" t="str">
        <f>IFERROR(VLOOKUP(TRIM(CLEAN(G1523)),Sheet14!$A$2:$B$19,2,FALSE),"Not Mapped")</f>
        <v>West</v>
      </c>
    </row>
    <row r="1524" spans="1:18">
      <c r="A1524" t="str">
        <f t="shared" si="117"/>
        <v>EOS1523</v>
      </c>
      <c r="B1524" s="40">
        <v>46114</v>
      </c>
      <c r="C1524" s="9" t="s">
        <v>911</v>
      </c>
      <c r="D1524" s="9"/>
      <c r="E1524" s="10" t="s">
        <v>2141</v>
      </c>
      <c r="F1524" s="10" t="s">
        <v>333</v>
      </c>
      <c r="G1524" s="9" t="s">
        <v>223</v>
      </c>
      <c r="H1524" s="9"/>
      <c r="I1524" s="1">
        <v>177000</v>
      </c>
      <c r="J1524" s="45">
        <v>1071522</v>
      </c>
      <c r="K1524" s="1" t="str">
        <f>TRIM(Cleaned_CRM_Data!H1524)</f>
        <v/>
      </c>
      <c r="L1524" t="str">
        <f>IFERROR(VLOOKUP(K1524, Status_Mapping!A:B, 2,), "Not Found")</f>
        <v>Not Found</v>
      </c>
      <c r="N1524" s="29" t="str">
        <f>IF(M1524="","",M1524-B1524)</f>
        <v/>
      </c>
      <c r="O1524" s="1" t="str">
        <f t="shared" si="118"/>
        <v>Growth</v>
      </c>
      <c r="P1524" t="str">
        <f>TEXT(B1524, "mmmm")</f>
        <v>April</v>
      </c>
      <c r="Q1524" t="str">
        <f t="shared" si="119"/>
        <v>Q2</v>
      </c>
      <c r="R1524" t="str">
        <f>IFERROR(VLOOKUP(TRIM(CLEAN(G1524)),Sheet14!$A$2:$B$19,2,FALSE),"Not Mapped")</f>
        <v>West</v>
      </c>
    </row>
    <row r="1525" spans="1:18">
      <c r="A1525" t="str">
        <f t="shared" si="117"/>
        <v>EOS1524</v>
      </c>
      <c r="B1525" s="40">
        <v>46114</v>
      </c>
      <c r="C1525" s="9" t="s">
        <v>267</v>
      </c>
      <c r="D1525" s="1" t="str">
        <f t="shared" ref="D1525:D1588" si="121">TRIM(CLEAN(SUBSTITUTE(C1525,CHAR(160),"")))</f>
        <v>FB</v>
      </c>
      <c r="E1525" s="9" t="s">
        <v>2142</v>
      </c>
      <c r="F1525" s="10" t="s">
        <v>304</v>
      </c>
      <c r="G1525" s="9" t="s">
        <v>223</v>
      </c>
      <c r="H1525" s="9"/>
      <c r="I1525" s="1">
        <v>108000</v>
      </c>
      <c r="J1525" s="45">
        <v>1071523</v>
      </c>
      <c r="K1525" s="1" t="str">
        <f>TRIM(Cleaned_CRM_Data!H1525)</f>
        <v/>
      </c>
      <c r="L1525" t="str">
        <f>IFERROR(VLOOKUP(K1525, Status_Mapping!A:B, 2,), "Not Found")</f>
        <v>Not Found</v>
      </c>
      <c r="N1525" s="29" t="str">
        <f>IF(M1525="","",M1525-B1525)</f>
        <v/>
      </c>
      <c r="O1525" s="1" t="str">
        <f t="shared" si="118"/>
        <v>Starter</v>
      </c>
      <c r="P1525" t="str">
        <f>TEXT(B1525, "mmmm")</f>
        <v>April</v>
      </c>
      <c r="Q1525" t="str">
        <f t="shared" si="119"/>
        <v>Q2</v>
      </c>
      <c r="R1525" t="str">
        <f>IFERROR(VLOOKUP(TRIM(CLEAN(G1525)),Sheet14!$A$2:$B$19,2,FALSE),"Not Mapped")</f>
        <v>West</v>
      </c>
    </row>
    <row r="1526" spans="1:18">
      <c r="A1526" t="str">
        <f t="shared" si="117"/>
        <v>EOS1525</v>
      </c>
      <c r="B1526" s="40">
        <v>46114</v>
      </c>
      <c r="C1526" s="9" t="s">
        <v>267</v>
      </c>
      <c r="D1526" s="1" t="str">
        <f t="shared" si="121"/>
        <v>FB</v>
      </c>
      <c r="E1526" s="10" t="s">
        <v>2143</v>
      </c>
      <c r="F1526" s="10" t="s">
        <v>412</v>
      </c>
      <c r="G1526" s="9" t="s">
        <v>223</v>
      </c>
      <c r="H1526" s="9"/>
      <c r="I1526" s="1">
        <v>177000</v>
      </c>
      <c r="J1526" s="45">
        <v>1071524</v>
      </c>
      <c r="K1526" s="1" t="str">
        <f>TRIM(Cleaned_CRM_Data!H1526)</f>
        <v/>
      </c>
      <c r="L1526" t="str">
        <f>IFERROR(VLOOKUP(K1526, Status_Mapping!A:B, 2,), "Not Found")</f>
        <v>Not Found</v>
      </c>
      <c r="N1526" s="29" t="str">
        <f>IF(M1526="","",M1526-B1526)</f>
        <v/>
      </c>
      <c r="O1526" s="1" t="str">
        <f t="shared" si="118"/>
        <v>Growth</v>
      </c>
      <c r="P1526" t="str">
        <f>TEXT(B1526, "mmmm")</f>
        <v>April</v>
      </c>
      <c r="Q1526" t="str">
        <f t="shared" si="119"/>
        <v>Q2</v>
      </c>
      <c r="R1526" t="str">
        <f>IFERROR(VLOOKUP(TRIM(CLEAN(G1526)),Sheet14!$A$2:$B$19,2,FALSE),"Not Mapped")</f>
        <v>West</v>
      </c>
    </row>
    <row r="1527" spans="1:18">
      <c r="A1527" t="str">
        <f t="shared" si="117"/>
        <v>EOS1526</v>
      </c>
      <c r="B1527" s="40">
        <v>46115</v>
      </c>
      <c r="C1527" s="9" t="s">
        <v>267</v>
      </c>
      <c r="D1527" s="1" t="str">
        <f t="shared" si="121"/>
        <v>FB</v>
      </c>
      <c r="E1527" s="10" t="s">
        <v>2144</v>
      </c>
      <c r="F1527" s="10" t="s">
        <v>2145</v>
      </c>
      <c r="G1527" s="9" t="s">
        <v>223</v>
      </c>
      <c r="H1527" s="9"/>
      <c r="I1527" s="1">
        <v>130000</v>
      </c>
      <c r="J1527" s="45">
        <v>1071525</v>
      </c>
      <c r="K1527" s="1" t="str">
        <f>TRIM(Cleaned_CRM_Data!H1527)</f>
        <v/>
      </c>
      <c r="L1527" t="str">
        <f>IFERROR(VLOOKUP(K1527, Status_Mapping!A:B, 2,), "Not Found")</f>
        <v>Not Found</v>
      </c>
      <c r="N1527" s="29" t="str">
        <f>IF(M1527="","",M1527-B1527)</f>
        <v/>
      </c>
      <c r="O1527" s="1" t="str">
        <f t="shared" si="118"/>
        <v>Starter</v>
      </c>
      <c r="P1527" t="str">
        <f>TEXT(B1527, "mmmm")</f>
        <v>April</v>
      </c>
      <c r="Q1527" t="str">
        <f t="shared" si="119"/>
        <v>Q2</v>
      </c>
      <c r="R1527" t="str">
        <f>IFERROR(VLOOKUP(TRIM(CLEAN(G1527)),Sheet14!$A$2:$B$19,2,FALSE),"Not Mapped")</f>
        <v>West</v>
      </c>
    </row>
    <row r="1528" spans="1:18">
      <c r="A1528" t="str">
        <f t="shared" si="117"/>
        <v>EOS1527</v>
      </c>
      <c r="B1528" s="40">
        <v>46115</v>
      </c>
      <c r="C1528" s="9" t="s">
        <v>267</v>
      </c>
      <c r="D1528" s="1" t="str">
        <f t="shared" si="121"/>
        <v>FB</v>
      </c>
      <c r="E1528" s="10" t="s">
        <v>2146</v>
      </c>
      <c r="F1528" s="10" t="s">
        <v>2147</v>
      </c>
      <c r="G1528" s="9" t="s">
        <v>223</v>
      </c>
      <c r="H1528" s="9"/>
      <c r="I1528" s="1">
        <v>130000</v>
      </c>
      <c r="J1528" s="45">
        <v>1071526</v>
      </c>
      <c r="K1528" s="1" t="str">
        <f>TRIM(Cleaned_CRM_Data!H1528)</f>
        <v/>
      </c>
      <c r="L1528" t="str">
        <f>IFERROR(VLOOKUP(K1528, Status_Mapping!A:B, 2,), "Not Found")</f>
        <v>Not Found</v>
      </c>
      <c r="N1528" s="29" t="str">
        <f>IF(M1528="","",M1528-B1528)</f>
        <v/>
      </c>
      <c r="O1528" s="1" t="str">
        <f t="shared" si="118"/>
        <v>Starter</v>
      </c>
      <c r="P1528" t="str">
        <f>TEXT(B1528, "mmmm")</f>
        <v>April</v>
      </c>
      <c r="Q1528" t="str">
        <f t="shared" si="119"/>
        <v>Q2</v>
      </c>
      <c r="R1528" t="str">
        <f>IFERROR(VLOOKUP(TRIM(CLEAN(G1528)),Sheet14!$A$2:$B$19,2,FALSE),"Not Mapped")</f>
        <v>West</v>
      </c>
    </row>
    <row r="1529" spans="1:18">
      <c r="A1529" t="str">
        <f t="shared" si="117"/>
        <v>EOS1528</v>
      </c>
      <c r="B1529" s="40">
        <v>46116</v>
      </c>
      <c r="C1529" s="9" t="s">
        <v>1314</v>
      </c>
      <c r="D1529" s="1" t="str">
        <f t="shared" si="121"/>
        <v>Fb</v>
      </c>
      <c r="E1529" s="10" t="s">
        <v>2148</v>
      </c>
      <c r="F1529" s="10" t="s">
        <v>300</v>
      </c>
      <c r="G1529" s="9" t="s">
        <v>223</v>
      </c>
      <c r="H1529" s="9"/>
      <c r="I1529" s="1">
        <v>177000</v>
      </c>
      <c r="J1529" s="45">
        <v>1071527</v>
      </c>
      <c r="K1529" s="1" t="str">
        <f>TRIM(Cleaned_CRM_Data!H1529)</f>
        <v/>
      </c>
      <c r="L1529" t="str">
        <f>IFERROR(VLOOKUP(K1529, Status_Mapping!A:B, 2,), "Not Found")</f>
        <v>Not Found</v>
      </c>
      <c r="N1529" s="29" t="str">
        <f>IF(M1529="","",M1529-B1529)</f>
        <v/>
      </c>
      <c r="O1529" s="1" t="str">
        <f t="shared" si="118"/>
        <v>Growth</v>
      </c>
      <c r="P1529" t="str">
        <f>TEXT(B1529, "mmmm")</f>
        <v>April</v>
      </c>
      <c r="Q1529" t="str">
        <f t="shared" si="119"/>
        <v>Q2</v>
      </c>
      <c r="R1529" t="str">
        <f>IFERROR(VLOOKUP(TRIM(CLEAN(G1529)),Sheet14!$A$2:$B$19,2,FALSE),"Not Mapped")</f>
        <v>West</v>
      </c>
    </row>
    <row r="1530" spans="1:18">
      <c r="A1530" t="str">
        <f t="shared" si="117"/>
        <v>EOS1529</v>
      </c>
      <c r="B1530" s="40">
        <v>46116</v>
      </c>
      <c r="C1530" s="9" t="s">
        <v>1314</v>
      </c>
      <c r="D1530" s="1" t="str">
        <f t="shared" si="121"/>
        <v>Fb</v>
      </c>
      <c r="E1530" s="10" t="s">
        <v>2149</v>
      </c>
      <c r="F1530" s="10" t="s">
        <v>2150</v>
      </c>
      <c r="G1530" s="9" t="s">
        <v>223</v>
      </c>
      <c r="H1530" s="9"/>
      <c r="I1530" s="1">
        <v>108000</v>
      </c>
      <c r="J1530" s="45">
        <v>1071528</v>
      </c>
      <c r="K1530" s="1" t="str">
        <f>TRIM(Cleaned_CRM_Data!H1530)</f>
        <v/>
      </c>
      <c r="L1530" t="str">
        <f>IFERROR(VLOOKUP(K1530, Status_Mapping!A:B, 2,), "Not Found")</f>
        <v>Not Found</v>
      </c>
      <c r="N1530" s="29" t="str">
        <f>IF(M1530="","",M1530-B1530)</f>
        <v/>
      </c>
      <c r="O1530" s="1" t="str">
        <f t="shared" si="118"/>
        <v>Starter</v>
      </c>
      <c r="P1530" t="str">
        <f>TEXT(B1530, "mmmm")</f>
        <v>April</v>
      </c>
      <c r="Q1530" t="str">
        <f t="shared" si="119"/>
        <v>Q2</v>
      </c>
      <c r="R1530" t="str">
        <f>IFERROR(VLOOKUP(TRIM(CLEAN(G1530)),Sheet14!$A$2:$B$19,2,FALSE),"Not Mapped")</f>
        <v>West</v>
      </c>
    </row>
    <row r="1531" spans="1:18">
      <c r="A1531" t="str">
        <f t="shared" si="117"/>
        <v>EOS1530</v>
      </c>
      <c r="B1531" s="40">
        <v>46116</v>
      </c>
      <c r="C1531" s="9" t="s">
        <v>1314</v>
      </c>
      <c r="D1531" s="1" t="str">
        <f t="shared" si="121"/>
        <v>Fb</v>
      </c>
      <c r="E1531" s="10" t="s">
        <v>2151</v>
      </c>
      <c r="F1531" s="10" t="s">
        <v>412</v>
      </c>
      <c r="G1531" s="9" t="s">
        <v>223</v>
      </c>
      <c r="H1531" s="9"/>
      <c r="I1531" s="1">
        <v>108000</v>
      </c>
      <c r="J1531" s="45">
        <v>1071529</v>
      </c>
      <c r="K1531" s="1" t="str">
        <f>TRIM(Cleaned_CRM_Data!H1531)</f>
        <v/>
      </c>
      <c r="L1531" t="str">
        <f>IFERROR(VLOOKUP(K1531, Status_Mapping!A:B, 2,), "Not Found")</f>
        <v>Not Found</v>
      </c>
      <c r="N1531" s="29" t="str">
        <f>IF(M1531="","",M1531-B1531)</f>
        <v/>
      </c>
      <c r="O1531" s="1" t="str">
        <f t="shared" si="118"/>
        <v>Starter</v>
      </c>
      <c r="P1531" t="str">
        <f>TEXT(B1531, "mmmm")</f>
        <v>April</v>
      </c>
      <c r="Q1531" t="str">
        <f t="shared" si="119"/>
        <v>Q2</v>
      </c>
      <c r="R1531" t="str">
        <f>IFERROR(VLOOKUP(TRIM(CLEAN(G1531)),Sheet14!$A$2:$B$19,2,FALSE),"Not Mapped")</f>
        <v>West</v>
      </c>
    </row>
    <row r="1532" spans="1:18">
      <c r="A1532" t="str">
        <f t="shared" si="117"/>
        <v>EOS1531</v>
      </c>
      <c r="B1532" s="40">
        <v>46116</v>
      </c>
      <c r="C1532" s="9" t="s">
        <v>1314</v>
      </c>
      <c r="D1532" s="1" t="str">
        <f t="shared" si="121"/>
        <v>Fb</v>
      </c>
      <c r="E1532" s="10" t="s">
        <v>2152</v>
      </c>
      <c r="F1532" s="10" t="s">
        <v>336</v>
      </c>
      <c r="G1532" s="9" t="s">
        <v>223</v>
      </c>
      <c r="H1532" s="9"/>
      <c r="I1532" s="1">
        <v>130000</v>
      </c>
      <c r="J1532" s="45">
        <v>1071530</v>
      </c>
      <c r="K1532" s="1" t="str">
        <f>TRIM(Cleaned_CRM_Data!H1532)</f>
        <v/>
      </c>
      <c r="L1532" t="str">
        <f>IFERROR(VLOOKUP(K1532, Status_Mapping!A:B, 2,), "Not Found")</f>
        <v>Not Found</v>
      </c>
      <c r="N1532" s="29" t="str">
        <f>IF(M1532="","",M1532-B1532)</f>
        <v/>
      </c>
      <c r="O1532" s="1" t="str">
        <f t="shared" si="118"/>
        <v>Starter</v>
      </c>
      <c r="P1532" t="str">
        <f>TEXT(B1532, "mmmm")</f>
        <v>April</v>
      </c>
      <c r="Q1532" t="str">
        <f t="shared" si="119"/>
        <v>Q2</v>
      </c>
      <c r="R1532" t="str">
        <f>IFERROR(VLOOKUP(TRIM(CLEAN(G1532)),Sheet14!$A$2:$B$19,2,FALSE),"Not Mapped")</f>
        <v>West</v>
      </c>
    </row>
    <row r="1533" spans="1:18">
      <c r="A1533" t="str">
        <f t="shared" si="117"/>
        <v>EOS1532</v>
      </c>
      <c r="B1533" s="40">
        <v>46116</v>
      </c>
      <c r="C1533" s="9" t="s">
        <v>1314</v>
      </c>
      <c r="D1533" s="1" t="str">
        <f t="shared" si="121"/>
        <v>Fb</v>
      </c>
      <c r="E1533" s="10" t="s">
        <v>2153</v>
      </c>
      <c r="F1533" s="10" t="s">
        <v>2154</v>
      </c>
      <c r="G1533" s="10" t="s">
        <v>225</v>
      </c>
      <c r="H1533" s="9"/>
      <c r="I1533" s="1">
        <v>130000</v>
      </c>
      <c r="J1533" s="45">
        <v>1071531</v>
      </c>
      <c r="K1533" s="1" t="str">
        <f>TRIM(Cleaned_CRM_Data!H1533)</f>
        <v/>
      </c>
      <c r="L1533" t="str">
        <f>IFERROR(VLOOKUP(K1533, Status_Mapping!A:B, 2,), "Not Found")</f>
        <v>Not Found</v>
      </c>
      <c r="N1533" s="29" t="str">
        <f>IF(M1533="","",M1533-B1533)</f>
        <v/>
      </c>
      <c r="O1533" s="1" t="str">
        <f t="shared" si="118"/>
        <v>Starter</v>
      </c>
      <c r="P1533" t="str">
        <f>TEXT(B1533, "mmmm")</f>
        <v>April</v>
      </c>
      <c r="Q1533" t="str">
        <f t="shared" si="119"/>
        <v>Q2</v>
      </c>
      <c r="R1533" t="str">
        <f>IFERROR(VLOOKUP(TRIM(CLEAN(G1533)),Sheet14!$A$2:$B$19,2,FALSE),"Not Mapped")</f>
        <v>North</v>
      </c>
    </row>
    <row r="1534" spans="1:18">
      <c r="A1534" t="str">
        <f t="shared" si="117"/>
        <v>EOS1533</v>
      </c>
      <c r="B1534" s="40">
        <v>46116</v>
      </c>
      <c r="C1534" s="9" t="s">
        <v>1314</v>
      </c>
      <c r="D1534" s="1" t="str">
        <f t="shared" si="121"/>
        <v>Fb</v>
      </c>
      <c r="E1534" s="10" t="s">
        <v>2155</v>
      </c>
      <c r="F1534" s="10" t="s">
        <v>2156</v>
      </c>
      <c r="G1534" s="10" t="s">
        <v>225</v>
      </c>
      <c r="H1534" s="9"/>
      <c r="I1534" s="1">
        <v>108000</v>
      </c>
      <c r="J1534" s="45">
        <v>1071532</v>
      </c>
      <c r="K1534" s="1" t="str">
        <f>TRIM(Cleaned_CRM_Data!H1534)</f>
        <v/>
      </c>
      <c r="L1534" t="str">
        <f>IFERROR(VLOOKUP(K1534, Status_Mapping!A:B, 2,), "Not Found")</f>
        <v>Not Found</v>
      </c>
      <c r="N1534" s="29" t="str">
        <f>IF(M1534="","",M1534-B1534)</f>
        <v/>
      </c>
      <c r="O1534" s="1" t="str">
        <f t="shared" si="118"/>
        <v>Starter</v>
      </c>
      <c r="P1534" t="str">
        <f>TEXT(B1534, "mmmm")</f>
        <v>April</v>
      </c>
      <c r="Q1534" t="str">
        <f t="shared" si="119"/>
        <v>Q2</v>
      </c>
      <c r="R1534" t="str">
        <f>IFERROR(VLOOKUP(TRIM(CLEAN(G1534)),Sheet14!$A$2:$B$19,2,FALSE),"Not Mapped")</f>
        <v>North</v>
      </c>
    </row>
    <row r="1535" spans="1:18">
      <c r="A1535" t="str">
        <f t="shared" si="117"/>
        <v>EOS1534</v>
      </c>
      <c r="B1535" s="40">
        <v>46116</v>
      </c>
      <c r="C1535" s="9" t="s">
        <v>1314</v>
      </c>
      <c r="D1535" s="1" t="str">
        <f t="shared" si="121"/>
        <v>Fb</v>
      </c>
      <c r="E1535" s="10" t="s">
        <v>2157</v>
      </c>
      <c r="F1535" s="10" t="s">
        <v>782</v>
      </c>
      <c r="G1535" s="9" t="s">
        <v>228</v>
      </c>
      <c r="H1535" s="9"/>
      <c r="I1535" s="1">
        <v>108000</v>
      </c>
      <c r="J1535" s="45">
        <v>1071533</v>
      </c>
      <c r="K1535" s="1" t="str">
        <f>TRIM(Cleaned_CRM_Data!H1535)</f>
        <v/>
      </c>
      <c r="L1535" t="str">
        <f>IFERROR(VLOOKUP(K1535, Status_Mapping!A:B, 2,), "Not Found")</f>
        <v>Not Found</v>
      </c>
      <c r="N1535" s="29" t="str">
        <f>IF(M1535="","",M1535-B1535)</f>
        <v/>
      </c>
      <c r="O1535" s="1" t="str">
        <f t="shared" si="118"/>
        <v>Starter</v>
      </c>
      <c r="P1535" t="str">
        <f>TEXT(B1535, "mmmm")</f>
        <v>April</v>
      </c>
      <c r="Q1535" t="str">
        <f t="shared" si="119"/>
        <v>Q2</v>
      </c>
      <c r="R1535" t="str">
        <f>IFERROR(VLOOKUP(TRIM(CLEAN(G1535)),Sheet14!$A$2:$B$19,2,FALSE),"Not Mapped")</f>
        <v>Central</v>
      </c>
    </row>
    <row r="1536" spans="1:18">
      <c r="A1536" t="str">
        <f t="shared" si="117"/>
        <v>EOS1535</v>
      </c>
      <c r="B1536" s="40">
        <v>46116</v>
      </c>
      <c r="C1536" s="9" t="s">
        <v>1314</v>
      </c>
      <c r="D1536" s="1" t="str">
        <f t="shared" si="121"/>
        <v>Fb</v>
      </c>
      <c r="E1536" s="10" t="s">
        <v>2158</v>
      </c>
      <c r="F1536" s="10" t="s">
        <v>782</v>
      </c>
      <c r="G1536" s="9" t="s">
        <v>228</v>
      </c>
      <c r="H1536" s="9"/>
      <c r="I1536" s="1">
        <v>177000</v>
      </c>
      <c r="J1536" s="45">
        <v>1071534</v>
      </c>
      <c r="K1536" s="1" t="str">
        <f>TRIM(Cleaned_CRM_Data!H1536)</f>
        <v/>
      </c>
      <c r="L1536" t="str">
        <f>IFERROR(VLOOKUP(K1536, Status_Mapping!A:B, 2,), "Not Found")</f>
        <v>Not Found</v>
      </c>
      <c r="N1536" s="29" t="str">
        <f>IF(M1536="","",M1536-B1536)</f>
        <v/>
      </c>
      <c r="O1536" s="1" t="str">
        <f t="shared" si="118"/>
        <v>Growth</v>
      </c>
      <c r="P1536" t="str">
        <f>TEXT(B1536, "mmmm")</f>
        <v>April</v>
      </c>
      <c r="Q1536" t="str">
        <f t="shared" si="119"/>
        <v>Q2</v>
      </c>
      <c r="R1536" t="str">
        <f>IFERROR(VLOOKUP(TRIM(CLEAN(G1536)),Sheet14!$A$2:$B$19,2,FALSE),"Not Mapped")</f>
        <v>Central</v>
      </c>
    </row>
    <row r="1537" spans="1:18">
      <c r="A1537" t="str">
        <f t="shared" si="117"/>
        <v>EOS1536</v>
      </c>
      <c r="B1537" s="40">
        <v>46116</v>
      </c>
      <c r="C1537" s="9" t="s">
        <v>1314</v>
      </c>
      <c r="D1537" s="1" t="str">
        <f t="shared" si="121"/>
        <v>Fb</v>
      </c>
      <c r="E1537" s="10" t="s">
        <v>2159</v>
      </c>
      <c r="F1537" s="9"/>
      <c r="G1537" s="10" t="s">
        <v>223</v>
      </c>
      <c r="H1537" s="9"/>
      <c r="I1537" s="1">
        <v>130000</v>
      </c>
      <c r="J1537" s="45">
        <v>1071535</v>
      </c>
      <c r="K1537" s="1" t="str">
        <f>TRIM(Cleaned_CRM_Data!H1537)</f>
        <v/>
      </c>
      <c r="L1537" t="str">
        <f>IFERROR(VLOOKUP(K1537, Status_Mapping!A:B, 2,), "Not Found")</f>
        <v>Not Found</v>
      </c>
      <c r="N1537" s="29" t="str">
        <f>IF(M1537="","",M1537-B1537)</f>
        <v/>
      </c>
      <c r="O1537" s="1" t="str">
        <f t="shared" si="118"/>
        <v>Starter</v>
      </c>
      <c r="P1537" t="str">
        <f>TEXT(B1537, "mmmm")</f>
        <v>April</v>
      </c>
      <c r="Q1537" t="str">
        <f t="shared" si="119"/>
        <v>Q2</v>
      </c>
      <c r="R1537" t="str">
        <f>IFERROR(VLOOKUP(TRIM(CLEAN(G1537)),Sheet14!$A$2:$B$19,2,FALSE),"Not Mapped")</f>
        <v>West</v>
      </c>
    </row>
    <row r="1538" spans="1:18">
      <c r="A1538" t="str">
        <f t="shared" si="117"/>
        <v>EOS1537</v>
      </c>
      <c r="B1538" s="40">
        <v>46118</v>
      </c>
      <c r="C1538" s="9" t="s">
        <v>1314</v>
      </c>
      <c r="D1538" s="1" t="str">
        <f t="shared" si="121"/>
        <v>Fb</v>
      </c>
      <c r="E1538" s="10" t="s">
        <v>2160</v>
      </c>
      <c r="F1538" s="9"/>
      <c r="G1538" s="10" t="s">
        <v>223</v>
      </c>
      <c r="H1538" s="9"/>
      <c r="I1538" s="1">
        <v>130000</v>
      </c>
      <c r="J1538" s="45">
        <v>1071536</v>
      </c>
      <c r="K1538" s="1" t="str">
        <f>TRIM(Cleaned_CRM_Data!H1538)</f>
        <v/>
      </c>
      <c r="L1538" t="str">
        <f>IFERROR(VLOOKUP(K1538, Status_Mapping!A:B, 2,), "Not Found")</f>
        <v>Not Found</v>
      </c>
      <c r="N1538" s="29" t="str">
        <f>IF(M1538="","",M1538-B1538)</f>
        <v/>
      </c>
      <c r="O1538" s="1" t="str">
        <f t="shared" si="118"/>
        <v>Starter</v>
      </c>
      <c r="P1538" t="str">
        <f>TEXT(B1538, "mmmm")</f>
        <v>April</v>
      </c>
      <c r="Q1538" t="str">
        <f t="shared" si="119"/>
        <v>Q2</v>
      </c>
      <c r="R1538" t="str">
        <f>IFERROR(VLOOKUP(TRIM(CLEAN(G1538)),Sheet14!$A$2:$B$19,2,FALSE),"Not Mapped")</f>
        <v>West</v>
      </c>
    </row>
    <row r="1539" spans="1:18">
      <c r="A1539" t="str">
        <f t="shared" ref="A1539:A1602" si="122">"EOS"&amp;TEXT(ROW()-1,"0000")</f>
        <v>EOS1538</v>
      </c>
      <c r="B1539" s="40">
        <v>46118</v>
      </c>
      <c r="C1539" s="9" t="s">
        <v>1314</v>
      </c>
      <c r="D1539" s="1" t="str">
        <f t="shared" si="121"/>
        <v>Fb</v>
      </c>
      <c r="E1539" s="10" t="s">
        <v>2161</v>
      </c>
      <c r="F1539" s="10" t="s">
        <v>364</v>
      </c>
      <c r="G1539" s="10" t="s">
        <v>223</v>
      </c>
      <c r="H1539" s="9"/>
      <c r="I1539" s="1">
        <v>108000</v>
      </c>
      <c r="J1539" s="45">
        <v>1071537</v>
      </c>
      <c r="K1539" s="1" t="str">
        <f>TRIM(Cleaned_CRM_Data!H1539)</f>
        <v/>
      </c>
      <c r="L1539" t="str">
        <f>IFERROR(VLOOKUP(K1539, Status_Mapping!A:B, 2,), "Not Found")</f>
        <v>Not Found</v>
      </c>
      <c r="N1539" s="29" t="str">
        <f>IF(M1539="","",M1539-B1539)</f>
        <v/>
      </c>
      <c r="O1539" s="1" t="str">
        <f t="shared" ref="O1539:O1602" si="123">IF(OR(I1539=108000,I1539=130000),"Starter",IF(I1539=177000,"Growth","Premium"))</f>
        <v>Starter</v>
      </c>
      <c r="P1539" t="str">
        <f>TEXT(B1539, "mmmm")</f>
        <v>April</v>
      </c>
      <c r="Q1539" t="str">
        <f t="shared" ref="Q1539:Q1602" si="124">"Q"&amp;ROUNDUP(MONTH(B1539)/3,0)</f>
        <v>Q2</v>
      </c>
      <c r="R1539" t="str">
        <f>IFERROR(VLOOKUP(TRIM(CLEAN(G1539)),Sheet14!$A$2:$B$19,2,FALSE),"Not Mapped")</f>
        <v>West</v>
      </c>
    </row>
    <row r="1540" spans="1:18">
      <c r="A1540" t="str">
        <f t="shared" si="122"/>
        <v>EOS1539</v>
      </c>
      <c r="B1540" s="40">
        <v>46118</v>
      </c>
      <c r="C1540" s="9" t="s">
        <v>1314</v>
      </c>
      <c r="D1540" s="1" t="str">
        <f t="shared" si="121"/>
        <v>Fb</v>
      </c>
      <c r="E1540" s="10" t="s">
        <v>2162</v>
      </c>
      <c r="F1540" s="10" t="s">
        <v>333</v>
      </c>
      <c r="G1540" s="10" t="s">
        <v>223</v>
      </c>
      <c r="H1540" s="9"/>
      <c r="I1540" s="1">
        <v>108000</v>
      </c>
      <c r="J1540" s="45">
        <v>1071538</v>
      </c>
      <c r="K1540" s="1" t="str">
        <f>TRIM(Cleaned_CRM_Data!H1540)</f>
        <v/>
      </c>
      <c r="L1540" t="str">
        <f>IFERROR(VLOOKUP(K1540, Status_Mapping!A:B, 2,), "Not Found")</f>
        <v>Not Found</v>
      </c>
      <c r="N1540" s="29" t="str">
        <f>IF(M1540="","",M1540-B1540)</f>
        <v/>
      </c>
      <c r="O1540" s="1" t="str">
        <f t="shared" si="123"/>
        <v>Starter</v>
      </c>
      <c r="P1540" t="str">
        <f>TEXT(B1540, "mmmm")</f>
        <v>April</v>
      </c>
      <c r="Q1540" t="str">
        <f t="shared" si="124"/>
        <v>Q2</v>
      </c>
      <c r="R1540" t="str">
        <f>IFERROR(VLOOKUP(TRIM(CLEAN(G1540)),Sheet14!$A$2:$B$19,2,FALSE),"Not Mapped")</f>
        <v>West</v>
      </c>
    </row>
    <row r="1541" spans="1:18">
      <c r="A1541" t="str">
        <f t="shared" si="122"/>
        <v>EOS1540</v>
      </c>
      <c r="B1541" s="40">
        <v>46118</v>
      </c>
      <c r="C1541" s="9" t="s">
        <v>1314</v>
      </c>
      <c r="D1541" s="1" t="str">
        <f t="shared" si="121"/>
        <v>Fb</v>
      </c>
      <c r="E1541" s="10" t="s">
        <v>2163</v>
      </c>
      <c r="F1541" s="9" t="s">
        <v>275</v>
      </c>
      <c r="G1541" s="10" t="s">
        <v>223</v>
      </c>
      <c r="H1541" s="9"/>
      <c r="I1541" s="1">
        <v>108000</v>
      </c>
      <c r="J1541" s="45">
        <v>1071539</v>
      </c>
      <c r="K1541" s="1" t="str">
        <f>TRIM(Cleaned_CRM_Data!H1541)</f>
        <v/>
      </c>
      <c r="L1541" t="str">
        <f>IFERROR(VLOOKUP(K1541, Status_Mapping!A:B, 2,), "Not Found")</f>
        <v>Not Found</v>
      </c>
      <c r="N1541" s="29" t="str">
        <f>IF(M1541="","",M1541-B1541)</f>
        <v/>
      </c>
      <c r="O1541" s="1" t="str">
        <f t="shared" si="123"/>
        <v>Starter</v>
      </c>
      <c r="P1541" t="str">
        <f>TEXT(B1541, "mmmm")</f>
        <v>April</v>
      </c>
      <c r="Q1541" t="str">
        <f t="shared" si="124"/>
        <v>Q2</v>
      </c>
      <c r="R1541" t="str">
        <f>IFERROR(VLOOKUP(TRIM(CLEAN(G1541)),Sheet14!$A$2:$B$19,2,FALSE),"Not Mapped")</f>
        <v>West</v>
      </c>
    </row>
    <row r="1542" spans="1:18">
      <c r="A1542" t="str">
        <f t="shared" si="122"/>
        <v>EOS1541</v>
      </c>
      <c r="B1542" s="40">
        <v>46118</v>
      </c>
      <c r="C1542" s="9" t="s">
        <v>1314</v>
      </c>
      <c r="D1542" s="1" t="str">
        <f t="shared" si="121"/>
        <v>Fb</v>
      </c>
      <c r="E1542" s="9" t="s">
        <v>2164</v>
      </c>
      <c r="F1542" s="9"/>
      <c r="G1542" s="9" t="s">
        <v>223</v>
      </c>
      <c r="H1542" s="9"/>
      <c r="I1542" s="1">
        <v>108000</v>
      </c>
      <c r="J1542" s="45">
        <v>1071540</v>
      </c>
      <c r="K1542" s="1" t="str">
        <f>TRIM(Cleaned_CRM_Data!H1542)</f>
        <v/>
      </c>
      <c r="L1542" t="str">
        <f>IFERROR(VLOOKUP(K1542, Status_Mapping!A:B, 2,), "Not Found")</f>
        <v>Not Found</v>
      </c>
      <c r="N1542" s="29" t="str">
        <f>IF(M1542="","",M1542-B1542)</f>
        <v/>
      </c>
      <c r="O1542" s="1" t="str">
        <f t="shared" si="123"/>
        <v>Starter</v>
      </c>
      <c r="P1542" t="str">
        <f>TEXT(B1542, "mmmm")</f>
        <v>April</v>
      </c>
      <c r="Q1542" t="str">
        <f t="shared" si="124"/>
        <v>Q2</v>
      </c>
      <c r="R1542" t="str">
        <f>IFERROR(VLOOKUP(TRIM(CLEAN(G1542)),Sheet14!$A$2:$B$19,2,FALSE),"Not Mapped")</f>
        <v>West</v>
      </c>
    </row>
    <row r="1543" spans="1:18">
      <c r="A1543" t="str">
        <f t="shared" si="122"/>
        <v>EOS1542</v>
      </c>
      <c r="B1543" s="40">
        <v>46118</v>
      </c>
      <c r="C1543" s="9" t="s">
        <v>1314</v>
      </c>
      <c r="D1543" s="1" t="str">
        <f t="shared" si="121"/>
        <v>Fb</v>
      </c>
      <c r="E1543" s="9" t="s">
        <v>2165</v>
      </c>
      <c r="F1543" s="9" t="s">
        <v>412</v>
      </c>
      <c r="G1543" s="9" t="s">
        <v>223</v>
      </c>
      <c r="H1543" s="9"/>
      <c r="I1543" s="1">
        <v>130000</v>
      </c>
      <c r="J1543" s="45">
        <v>1071541</v>
      </c>
      <c r="K1543" s="1" t="str">
        <f>TRIM(Cleaned_CRM_Data!H1543)</f>
        <v/>
      </c>
      <c r="L1543" t="str">
        <f>IFERROR(VLOOKUP(K1543, Status_Mapping!A:B, 2,), "Not Found")</f>
        <v>Not Found</v>
      </c>
      <c r="N1543" s="29" t="str">
        <f>IF(M1543="","",M1543-B1543)</f>
        <v/>
      </c>
      <c r="O1543" s="1" t="str">
        <f t="shared" si="123"/>
        <v>Starter</v>
      </c>
      <c r="P1543" t="str">
        <f>TEXT(B1543, "mmmm")</f>
        <v>April</v>
      </c>
      <c r="Q1543" t="str">
        <f t="shared" si="124"/>
        <v>Q2</v>
      </c>
      <c r="R1543" t="str">
        <f>IFERROR(VLOOKUP(TRIM(CLEAN(G1543)),Sheet14!$A$2:$B$19,2,FALSE),"Not Mapped")</f>
        <v>West</v>
      </c>
    </row>
    <row r="1544" spans="1:18">
      <c r="A1544" t="str">
        <f t="shared" si="122"/>
        <v>EOS1543</v>
      </c>
      <c r="B1544" s="40">
        <v>46118</v>
      </c>
      <c r="C1544" s="9" t="s">
        <v>1314</v>
      </c>
      <c r="D1544" s="1" t="str">
        <f t="shared" si="121"/>
        <v>Fb</v>
      </c>
      <c r="E1544" s="9" t="s">
        <v>2166</v>
      </c>
      <c r="F1544" s="9" t="s">
        <v>275</v>
      </c>
      <c r="G1544" s="9" t="s">
        <v>223</v>
      </c>
      <c r="H1544" s="9"/>
      <c r="I1544" s="1">
        <v>130000</v>
      </c>
      <c r="J1544" s="45">
        <v>1071542</v>
      </c>
      <c r="K1544" s="1" t="str">
        <f>TRIM(Cleaned_CRM_Data!H1544)</f>
        <v/>
      </c>
      <c r="L1544" t="str">
        <f>IFERROR(VLOOKUP(K1544, Status_Mapping!A:B, 2,), "Not Found")</f>
        <v>Not Found</v>
      </c>
      <c r="N1544" s="29" t="str">
        <f>IF(M1544="","",M1544-B1544)</f>
        <v/>
      </c>
      <c r="O1544" s="1" t="str">
        <f t="shared" si="123"/>
        <v>Starter</v>
      </c>
      <c r="P1544" t="str">
        <f>TEXT(B1544, "mmmm")</f>
        <v>April</v>
      </c>
      <c r="Q1544" t="str">
        <f t="shared" si="124"/>
        <v>Q2</v>
      </c>
      <c r="R1544" t="str">
        <f>IFERROR(VLOOKUP(TRIM(CLEAN(G1544)),Sheet14!$A$2:$B$19,2,FALSE),"Not Mapped")</f>
        <v>West</v>
      </c>
    </row>
    <row r="1545" spans="1:18">
      <c r="A1545" t="str">
        <f t="shared" si="122"/>
        <v>EOS1544</v>
      </c>
      <c r="B1545" s="40">
        <v>46118</v>
      </c>
      <c r="C1545" s="9" t="s">
        <v>1314</v>
      </c>
      <c r="D1545" s="1" t="str">
        <f t="shared" si="121"/>
        <v>Fb</v>
      </c>
      <c r="E1545" s="9" t="s">
        <v>2167</v>
      </c>
      <c r="F1545" s="9" t="s">
        <v>354</v>
      </c>
      <c r="G1545" s="9" t="s">
        <v>223</v>
      </c>
      <c r="H1545" s="9"/>
      <c r="I1545" s="1">
        <v>177000</v>
      </c>
      <c r="J1545" s="45">
        <v>1071543</v>
      </c>
      <c r="K1545" s="1" t="str">
        <f>TRIM(Cleaned_CRM_Data!H1545)</f>
        <v/>
      </c>
      <c r="L1545" t="str">
        <f>IFERROR(VLOOKUP(K1545, Status_Mapping!A:B, 2,), "Not Found")</f>
        <v>Not Found</v>
      </c>
      <c r="N1545" s="29" t="str">
        <f>IF(M1545="","",M1545-B1545)</f>
        <v/>
      </c>
      <c r="O1545" s="1" t="str">
        <f t="shared" si="123"/>
        <v>Growth</v>
      </c>
      <c r="P1545" t="str">
        <f>TEXT(B1545, "mmmm")</f>
        <v>April</v>
      </c>
      <c r="Q1545" t="str">
        <f t="shared" si="124"/>
        <v>Q2</v>
      </c>
      <c r="R1545" t="str">
        <f>IFERROR(VLOOKUP(TRIM(CLEAN(G1545)),Sheet14!$A$2:$B$19,2,FALSE),"Not Mapped")</f>
        <v>West</v>
      </c>
    </row>
    <row r="1546" spans="1:18">
      <c r="A1546" t="str">
        <f t="shared" si="122"/>
        <v>EOS1545</v>
      </c>
      <c r="B1546" s="40">
        <v>46118</v>
      </c>
      <c r="C1546" s="9" t="s">
        <v>1314</v>
      </c>
      <c r="D1546" s="1" t="str">
        <f t="shared" si="121"/>
        <v>Fb</v>
      </c>
      <c r="E1546" s="9" t="s">
        <v>2168</v>
      </c>
      <c r="F1546" s="9" t="s">
        <v>2169</v>
      </c>
      <c r="G1546" s="9" t="s">
        <v>223</v>
      </c>
      <c r="H1546" s="9"/>
      <c r="I1546" s="1">
        <v>108000</v>
      </c>
      <c r="J1546" s="45">
        <v>1071544</v>
      </c>
      <c r="K1546" s="1" t="str">
        <f>TRIM(Cleaned_CRM_Data!H1546)</f>
        <v/>
      </c>
      <c r="L1546" t="str">
        <f>IFERROR(VLOOKUP(K1546, Status_Mapping!A:B, 2,), "Not Found")</f>
        <v>Not Found</v>
      </c>
      <c r="N1546" s="29" t="str">
        <f>IF(M1546="","",M1546-B1546)</f>
        <v/>
      </c>
      <c r="O1546" s="1" t="str">
        <f t="shared" si="123"/>
        <v>Starter</v>
      </c>
      <c r="P1546" t="str">
        <f>TEXT(B1546, "mmmm")</f>
        <v>April</v>
      </c>
      <c r="Q1546" t="str">
        <f t="shared" si="124"/>
        <v>Q2</v>
      </c>
      <c r="R1546" t="str">
        <f>IFERROR(VLOOKUP(TRIM(CLEAN(G1546)),Sheet14!$A$2:$B$19,2,FALSE),"Not Mapped")</f>
        <v>West</v>
      </c>
    </row>
    <row r="1547" spans="1:18">
      <c r="A1547" t="str">
        <f t="shared" si="122"/>
        <v>EOS1546</v>
      </c>
      <c r="B1547" s="40">
        <v>46118</v>
      </c>
      <c r="C1547" s="9" t="s">
        <v>1314</v>
      </c>
      <c r="D1547" s="1" t="str">
        <f t="shared" si="121"/>
        <v>Fb</v>
      </c>
      <c r="E1547" s="9" t="s">
        <v>2170</v>
      </c>
      <c r="F1547" s="9" t="s">
        <v>275</v>
      </c>
      <c r="G1547" s="9" t="s">
        <v>223</v>
      </c>
      <c r="H1547" s="9"/>
      <c r="I1547" s="1">
        <v>108000</v>
      </c>
      <c r="J1547" s="45">
        <v>1071545</v>
      </c>
      <c r="K1547" s="1" t="str">
        <f>TRIM(Cleaned_CRM_Data!H1547)</f>
        <v/>
      </c>
      <c r="L1547" t="str">
        <f>IFERROR(VLOOKUP(K1547, Status_Mapping!A:B, 2,), "Not Found")</f>
        <v>Not Found</v>
      </c>
      <c r="N1547" s="29" t="str">
        <f>IF(M1547="","",M1547-B1547)</f>
        <v/>
      </c>
      <c r="O1547" s="1" t="str">
        <f t="shared" si="123"/>
        <v>Starter</v>
      </c>
      <c r="P1547" t="str">
        <f>TEXT(B1547, "mmmm")</f>
        <v>April</v>
      </c>
      <c r="Q1547" t="str">
        <f t="shared" si="124"/>
        <v>Q2</v>
      </c>
      <c r="R1547" t="str">
        <f>IFERROR(VLOOKUP(TRIM(CLEAN(G1547)),Sheet14!$A$2:$B$19,2,FALSE),"Not Mapped")</f>
        <v>West</v>
      </c>
    </row>
    <row r="1548" spans="1:18">
      <c r="A1548" t="str">
        <f t="shared" si="122"/>
        <v>EOS1547</v>
      </c>
      <c r="B1548" s="40">
        <v>46118</v>
      </c>
      <c r="C1548" s="9" t="s">
        <v>1314</v>
      </c>
      <c r="D1548" s="1" t="str">
        <f t="shared" si="121"/>
        <v>Fb</v>
      </c>
      <c r="E1548" s="9" t="s">
        <v>2171</v>
      </c>
      <c r="F1548" s="9" t="s">
        <v>2172</v>
      </c>
      <c r="G1548" s="9" t="s">
        <v>223</v>
      </c>
      <c r="H1548" s="9"/>
      <c r="I1548" s="1">
        <v>108000</v>
      </c>
      <c r="J1548" s="45">
        <v>1071546</v>
      </c>
      <c r="K1548" s="1" t="str">
        <f>TRIM(Cleaned_CRM_Data!H1548)</f>
        <v/>
      </c>
      <c r="L1548" t="str">
        <f>IFERROR(VLOOKUP(K1548, Status_Mapping!A:B, 2,), "Not Found")</f>
        <v>Not Found</v>
      </c>
      <c r="N1548" s="29" t="str">
        <f>IF(M1548="","",M1548-B1548)</f>
        <v/>
      </c>
      <c r="O1548" s="1" t="str">
        <f t="shared" si="123"/>
        <v>Starter</v>
      </c>
      <c r="P1548" t="str">
        <f>TEXT(B1548, "mmmm")</f>
        <v>April</v>
      </c>
      <c r="Q1548" t="str">
        <f t="shared" si="124"/>
        <v>Q2</v>
      </c>
      <c r="R1548" t="str">
        <f>IFERROR(VLOOKUP(TRIM(CLEAN(G1548)),Sheet14!$A$2:$B$19,2,FALSE),"Not Mapped")</f>
        <v>West</v>
      </c>
    </row>
    <row r="1549" spans="1:18">
      <c r="A1549" t="str">
        <f t="shared" si="122"/>
        <v>EOS1548</v>
      </c>
      <c r="B1549" s="40">
        <v>46118</v>
      </c>
      <c r="C1549" s="9" t="s">
        <v>1314</v>
      </c>
      <c r="D1549" s="1" t="str">
        <f t="shared" si="121"/>
        <v>Fb</v>
      </c>
      <c r="E1549" s="9" t="s">
        <v>2173</v>
      </c>
      <c r="F1549" s="9" t="s">
        <v>2174</v>
      </c>
      <c r="G1549" s="9" t="s">
        <v>223</v>
      </c>
      <c r="H1549" s="9"/>
      <c r="I1549" s="1">
        <v>130000</v>
      </c>
      <c r="J1549" s="45">
        <v>1071547</v>
      </c>
      <c r="K1549" s="1" t="str">
        <f>TRIM(Cleaned_CRM_Data!H1549)</f>
        <v/>
      </c>
      <c r="L1549" t="str">
        <f>IFERROR(VLOOKUP(K1549, Status_Mapping!A:B, 2,), "Not Found")</f>
        <v>Not Found</v>
      </c>
      <c r="N1549" s="29" t="str">
        <f>IF(M1549="","",M1549-B1549)</f>
        <v/>
      </c>
      <c r="O1549" s="1" t="str">
        <f t="shared" si="123"/>
        <v>Starter</v>
      </c>
      <c r="P1549" t="str">
        <f>TEXT(B1549, "mmmm")</f>
        <v>April</v>
      </c>
      <c r="Q1549" t="str">
        <f t="shared" si="124"/>
        <v>Q2</v>
      </c>
      <c r="R1549" t="str">
        <f>IFERROR(VLOOKUP(TRIM(CLEAN(G1549)),Sheet14!$A$2:$B$19,2,FALSE),"Not Mapped")</f>
        <v>West</v>
      </c>
    </row>
    <row r="1550" spans="1:18">
      <c r="A1550" t="str">
        <f t="shared" si="122"/>
        <v>EOS1549</v>
      </c>
      <c r="B1550" s="40">
        <v>46118</v>
      </c>
      <c r="C1550" s="9" t="s">
        <v>1314</v>
      </c>
      <c r="D1550" s="1" t="str">
        <f t="shared" si="121"/>
        <v>Fb</v>
      </c>
      <c r="E1550" s="9" t="s">
        <v>2175</v>
      </c>
      <c r="F1550" s="9" t="s">
        <v>2176</v>
      </c>
      <c r="G1550" s="9" t="s">
        <v>223</v>
      </c>
      <c r="H1550" s="9"/>
      <c r="I1550" s="1">
        <v>130000</v>
      </c>
      <c r="J1550" s="45">
        <v>1071548</v>
      </c>
      <c r="K1550" s="1" t="str">
        <f>TRIM(Cleaned_CRM_Data!H1550)</f>
        <v/>
      </c>
      <c r="L1550" t="str">
        <f>IFERROR(VLOOKUP(K1550, Status_Mapping!A:B, 2,), "Not Found")</f>
        <v>Not Found</v>
      </c>
      <c r="N1550" s="29" t="str">
        <f>IF(M1550="","",M1550-B1550)</f>
        <v/>
      </c>
      <c r="O1550" s="1" t="str">
        <f t="shared" si="123"/>
        <v>Starter</v>
      </c>
      <c r="P1550" t="str">
        <f>TEXT(B1550, "mmmm")</f>
        <v>April</v>
      </c>
      <c r="Q1550" t="str">
        <f t="shared" si="124"/>
        <v>Q2</v>
      </c>
      <c r="R1550" t="str">
        <f>IFERROR(VLOOKUP(TRIM(CLEAN(G1550)),Sheet14!$A$2:$B$19,2,FALSE),"Not Mapped")</f>
        <v>West</v>
      </c>
    </row>
    <row r="1551" spans="1:18">
      <c r="A1551" t="str">
        <f t="shared" si="122"/>
        <v>EOS1550</v>
      </c>
      <c r="B1551" s="40">
        <v>46118</v>
      </c>
      <c r="C1551" s="9" t="s">
        <v>1314</v>
      </c>
      <c r="D1551" s="1" t="str">
        <f t="shared" si="121"/>
        <v>Fb</v>
      </c>
      <c r="E1551" s="9" t="s">
        <v>2177</v>
      </c>
      <c r="F1551" s="9" t="s">
        <v>2178</v>
      </c>
      <c r="G1551" s="9" t="s">
        <v>223</v>
      </c>
      <c r="H1551" s="9"/>
      <c r="I1551" s="1">
        <v>108000</v>
      </c>
      <c r="J1551" s="45">
        <v>1071549</v>
      </c>
      <c r="K1551" s="1" t="str">
        <f>TRIM(Cleaned_CRM_Data!H1551)</f>
        <v/>
      </c>
      <c r="L1551" t="str">
        <f>IFERROR(VLOOKUP(K1551, Status_Mapping!A:B, 2,), "Not Found")</f>
        <v>Not Found</v>
      </c>
      <c r="N1551" s="29" t="str">
        <f>IF(M1551="","",M1551-B1551)</f>
        <v/>
      </c>
      <c r="O1551" s="1" t="str">
        <f t="shared" si="123"/>
        <v>Starter</v>
      </c>
      <c r="P1551" t="str">
        <f>TEXT(B1551, "mmmm")</f>
        <v>April</v>
      </c>
      <c r="Q1551" t="str">
        <f t="shared" si="124"/>
        <v>Q2</v>
      </c>
      <c r="R1551" t="str">
        <f>IFERROR(VLOOKUP(TRIM(CLEAN(G1551)),Sheet14!$A$2:$B$19,2,FALSE),"Not Mapped")</f>
        <v>West</v>
      </c>
    </row>
    <row r="1552" spans="1:18">
      <c r="A1552" t="str">
        <f t="shared" si="122"/>
        <v>EOS1551</v>
      </c>
      <c r="B1552" s="40">
        <v>46119</v>
      </c>
      <c r="C1552" s="9" t="s">
        <v>1314</v>
      </c>
      <c r="D1552" s="1" t="str">
        <f t="shared" si="121"/>
        <v>Fb</v>
      </c>
      <c r="E1552" s="9" t="s">
        <v>2179</v>
      </c>
      <c r="F1552" s="9" t="s">
        <v>811</v>
      </c>
      <c r="G1552" s="9" t="s">
        <v>236</v>
      </c>
      <c r="H1552" s="9"/>
      <c r="I1552" s="1">
        <v>130000</v>
      </c>
      <c r="J1552" s="45">
        <v>1071550</v>
      </c>
      <c r="K1552" s="1" t="str">
        <f>TRIM(Cleaned_CRM_Data!H1552)</f>
        <v/>
      </c>
      <c r="L1552" t="str">
        <f>IFERROR(VLOOKUP(K1552, Status_Mapping!A:B, 2,), "Not Found")</f>
        <v>Not Found</v>
      </c>
      <c r="N1552" s="29" t="str">
        <f>IF(M1552="","",M1552-B1552)</f>
        <v/>
      </c>
      <c r="O1552" s="1" t="str">
        <f t="shared" si="123"/>
        <v>Starter</v>
      </c>
      <c r="P1552" t="str">
        <f>TEXT(B1552, "mmmm")</f>
        <v>April</v>
      </c>
      <c r="Q1552" t="str">
        <f t="shared" si="124"/>
        <v>Q2</v>
      </c>
      <c r="R1552" t="str">
        <f>IFERROR(VLOOKUP(TRIM(CLEAN(G1552)),Sheet14!$A$2:$B$19,2,FALSE),"Not Mapped")</f>
        <v>North</v>
      </c>
    </row>
    <row r="1553" spans="1:18">
      <c r="A1553" t="str">
        <f t="shared" si="122"/>
        <v>EOS1552</v>
      </c>
      <c r="B1553" s="40">
        <v>46119</v>
      </c>
      <c r="C1553" s="9" t="s">
        <v>1314</v>
      </c>
      <c r="D1553" s="1" t="str">
        <f t="shared" si="121"/>
        <v>Fb</v>
      </c>
      <c r="E1553" s="9" t="s">
        <v>2180</v>
      </c>
      <c r="F1553" s="9" t="s">
        <v>2181</v>
      </c>
      <c r="G1553" s="9" t="s">
        <v>236</v>
      </c>
      <c r="H1553" s="9"/>
      <c r="I1553" s="1">
        <v>130000</v>
      </c>
      <c r="J1553" s="45">
        <v>1071551</v>
      </c>
      <c r="K1553" s="1" t="str">
        <f>TRIM(Cleaned_CRM_Data!H1553)</f>
        <v/>
      </c>
      <c r="L1553" t="str">
        <f>IFERROR(VLOOKUP(K1553, Status_Mapping!A:B, 2,), "Not Found")</f>
        <v>Not Found</v>
      </c>
      <c r="N1553" s="29" t="str">
        <f>IF(M1553="","",M1553-B1553)</f>
        <v/>
      </c>
      <c r="O1553" s="1" t="str">
        <f t="shared" si="123"/>
        <v>Starter</v>
      </c>
      <c r="P1553" t="str">
        <f>TEXT(B1553, "mmmm")</f>
        <v>April</v>
      </c>
      <c r="Q1553" t="str">
        <f t="shared" si="124"/>
        <v>Q2</v>
      </c>
      <c r="R1553" t="str">
        <f>IFERROR(VLOOKUP(TRIM(CLEAN(G1553)),Sheet14!$A$2:$B$19,2,FALSE),"Not Mapped")</f>
        <v>North</v>
      </c>
    </row>
    <row r="1554" spans="1:18">
      <c r="A1554" t="str">
        <f t="shared" si="122"/>
        <v>EOS1553</v>
      </c>
      <c r="B1554" s="40">
        <v>46119</v>
      </c>
      <c r="C1554" s="9" t="s">
        <v>1314</v>
      </c>
      <c r="D1554" s="1" t="str">
        <f t="shared" si="121"/>
        <v>Fb</v>
      </c>
      <c r="E1554" s="9" t="s">
        <v>2182</v>
      </c>
      <c r="F1554" s="9" t="s">
        <v>354</v>
      </c>
      <c r="G1554" s="9" t="s">
        <v>223</v>
      </c>
      <c r="H1554" s="9"/>
      <c r="I1554" s="1">
        <v>130000</v>
      </c>
      <c r="J1554" s="45">
        <v>1071552</v>
      </c>
      <c r="K1554" s="1" t="str">
        <f>TRIM(Cleaned_CRM_Data!H1554)</f>
        <v/>
      </c>
      <c r="L1554" t="str">
        <f>IFERROR(VLOOKUP(K1554, Status_Mapping!A:B, 2,), "Not Found")</f>
        <v>Not Found</v>
      </c>
      <c r="N1554" s="29" t="str">
        <f>IF(M1554="","",M1554-B1554)</f>
        <v/>
      </c>
      <c r="O1554" s="1" t="str">
        <f t="shared" si="123"/>
        <v>Starter</v>
      </c>
      <c r="P1554" t="str">
        <f>TEXT(B1554, "mmmm")</f>
        <v>April</v>
      </c>
      <c r="Q1554" t="str">
        <f t="shared" si="124"/>
        <v>Q2</v>
      </c>
      <c r="R1554" t="str">
        <f>IFERROR(VLOOKUP(TRIM(CLEAN(G1554)),Sheet14!$A$2:$B$19,2,FALSE),"Not Mapped")</f>
        <v>West</v>
      </c>
    </row>
    <row r="1555" spans="1:18">
      <c r="A1555" t="str">
        <f t="shared" si="122"/>
        <v>EOS1554</v>
      </c>
      <c r="B1555" s="40">
        <v>46119</v>
      </c>
      <c r="C1555" s="9" t="s">
        <v>1314</v>
      </c>
      <c r="D1555" s="1" t="str">
        <f t="shared" si="121"/>
        <v>Fb</v>
      </c>
      <c r="E1555" s="9" t="s">
        <v>2168</v>
      </c>
      <c r="F1555" s="9" t="s">
        <v>2169</v>
      </c>
      <c r="G1555" s="9" t="s">
        <v>223</v>
      </c>
      <c r="H1555" s="9"/>
      <c r="I1555" s="1">
        <v>177000</v>
      </c>
      <c r="J1555" s="45">
        <v>1071553</v>
      </c>
      <c r="K1555" s="1" t="str">
        <f>TRIM(Cleaned_CRM_Data!H1555)</f>
        <v/>
      </c>
      <c r="L1555" t="str">
        <f>IFERROR(VLOOKUP(K1555, Status_Mapping!A:B, 2,), "Not Found")</f>
        <v>Not Found</v>
      </c>
      <c r="N1555" s="29" t="str">
        <f>IF(M1555="","",M1555-B1555)</f>
        <v/>
      </c>
      <c r="O1555" s="1" t="str">
        <f t="shared" si="123"/>
        <v>Growth</v>
      </c>
      <c r="P1555" t="str">
        <f>TEXT(B1555, "mmmm")</f>
        <v>April</v>
      </c>
      <c r="Q1555" t="str">
        <f t="shared" si="124"/>
        <v>Q2</v>
      </c>
      <c r="R1555" t="str">
        <f>IFERROR(VLOOKUP(TRIM(CLEAN(G1555)),Sheet14!$A$2:$B$19,2,FALSE),"Not Mapped")</f>
        <v>West</v>
      </c>
    </row>
    <row r="1556" spans="1:18">
      <c r="A1556" t="str">
        <f t="shared" si="122"/>
        <v>EOS1555</v>
      </c>
      <c r="B1556" s="40">
        <v>46120</v>
      </c>
      <c r="C1556" s="9" t="s">
        <v>1314</v>
      </c>
      <c r="D1556" s="1" t="str">
        <f t="shared" si="121"/>
        <v>Fb</v>
      </c>
      <c r="E1556" s="9" t="s">
        <v>2170</v>
      </c>
      <c r="F1556" s="9" t="s">
        <v>275</v>
      </c>
      <c r="G1556" s="9" t="s">
        <v>223</v>
      </c>
      <c r="H1556" s="9"/>
      <c r="I1556" s="1">
        <v>130000</v>
      </c>
      <c r="J1556" s="45">
        <v>1071554</v>
      </c>
      <c r="K1556" s="1" t="str">
        <f>TRIM(Cleaned_CRM_Data!H1556)</f>
        <v/>
      </c>
      <c r="L1556" t="str">
        <f>IFERROR(VLOOKUP(K1556, Status_Mapping!A:B, 2,), "Not Found")</f>
        <v>Not Found</v>
      </c>
      <c r="N1556" s="29" t="str">
        <f>IF(M1556="","",M1556-B1556)</f>
        <v/>
      </c>
      <c r="O1556" s="1" t="str">
        <f t="shared" si="123"/>
        <v>Starter</v>
      </c>
      <c r="P1556" t="str">
        <f>TEXT(B1556, "mmmm")</f>
        <v>April</v>
      </c>
      <c r="Q1556" t="str">
        <f t="shared" si="124"/>
        <v>Q2</v>
      </c>
      <c r="R1556" t="str">
        <f>IFERROR(VLOOKUP(TRIM(CLEAN(G1556)),Sheet14!$A$2:$B$19,2,FALSE),"Not Mapped")</f>
        <v>West</v>
      </c>
    </row>
    <row r="1557" spans="1:18">
      <c r="A1557" t="str">
        <f t="shared" si="122"/>
        <v>EOS1556</v>
      </c>
      <c r="B1557" s="40">
        <v>46120</v>
      </c>
      <c r="C1557" s="9" t="s">
        <v>1314</v>
      </c>
      <c r="D1557" s="1" t="str">
        <f t="shared" si="121"/>
        <v>Fb</v>
      </c>
      <c r="E1557" s="9" t="s">
        <v>2171</v>
      </c>
      <c r="F1557" s="9" t="s">
        <v>2172</v>
      </c>
      <c r="G1557" s="9" t="s">
        <v>223</v>
      </c>
      <c r="H1557" s="9"/>
      <c r="I1557" s="1">
        <v>130000</v>
      </c>
      <c r="J1557" s="45">
        <v>1071555</v>
      </c>
      <c r="K1557" s="1" t="str">
        <f>TRIM(Cleaned_CRM_Data!H1557)</f>
        <v/>
      </c>
      <c r="L1557" t="str">
        <f>IFERROR(VLOOKUP(K1557, Status_Mapping!A:B, 2,), "Not Found")</f>
        <v>Not Found</v>
      </c>
      <c r="N1557" s="29" t="str">
        <f>IF(M1557="","",M1557-B1557)</f>
        <v/>
      </c>
      <c r="O1557" s="1" t="str">
        <f t="shared" si="123"/>
        <v>Starter</v>
      </c>
      <c r="P1557" t="str">
        <f>TEXT(B1557, "mmmm")</f>
        <v>April</v>
      </c>
      <c r="Q1557" t="str">
        <f t="shared" si="124"/>
        <v>Q2</v>
      </c>
      <c r="R1557" t="str">
        <f>IFERROR(VLOOKUP(TRIM(CLEAN(G1557)),Sheet14!$A$2:$B$19,2,FALSE),"Not Mapped")</f>
        <v>West</v>
      </c>
    </row>
    <row r="1558" spans="1:18">
      <c r="A1558" t="str">
        <f t="shared" si="122"/>
        <v>EOS1557</v>
      </c>
      <c r="B1558" s="40">
        <v>46120</v>
      </c>
      <c r="C1558" s="9" t="s">
        <v>1314</v>
      </c>
      <c r="D1558" s="1" t="str">
        <f t="shared" si="121"/>
        <v>Fb</v>
      </c>
      <c r="E1558" s="9" t="s">
        <v>2173</v>
      </c>
      <c r="F1558" s="9" t="s">
        <v>2174</v>
      </c>
      <c r="G1558" s="9" t="s">
        <v>223</v>
      </c>
      <c r="H1558" s="9"/>
      <c r="I1558" s="1">
        <v>130000</v>
      </c>
      <c r="J1558" s="45">
        <v>1071556</v>
      </c>
      <c r="K1558" s="1" t="str">
        <f>TRIM(Cleaned_CRM_Data!H1558)</f>
        <v/>
      </c>
      <c r="L1558" t="str">
        <f>IFERROR(VLOOKUP(K1558, Status_Mapping!A:B, 2,), "Not Found")</f>
        <v>Not Found</v>
      </c>
      <c r="N1558" s="29" t="str">
        <f>IF(M1558="","",M1558-B1558)</f>
        <v/>
      </c>
      <c r="O1558" s="1" t="str">
        <f t="shared" si="123"/>
        <v>Starter</v>
      </c>
      <c r="P1558" t="str">
        <f>TEXT(B1558, "mmmm")</f>
        <v>April</v>
      </c>
      <c r="Q1558" t="str">
        <f t="shared" si="124"/>
        <v>Q2</v>
      </c>
      <c r="R1558" t="str">
        <f>IFERROR(VLOOKUP(TRIM(CLEAN(G1558)),Sheet14!$A$2:$B$19,2,FALSE),"Not Mapped")</f>
        <v>West</v>
      </c>
    </row>
    <row r="1559" spans="1:18">
      <c r="A1559" t="str">
        <f t="shared" si="122"/>
        <v>EOS1558</v>
      </c>
      <c r="B1559" s="40">
        <v>46120</v>
      </c>
      <c r="C1559" s="9" t="s">
        <v>1314</v>
      </c>
      <c r="D1559" s="1" t="str">
        <f t="shared" si="121"/>
        <v>Fb</v>
      </c>
      <c r="E1559" s="9" t="s">
        <v>2175</v>
      </c>
      <c r="F1559" s="9" t="s">
        <v>2176</v>
      </c>
      <c r="G1559" s="9" t="s">
        <v>223</v>
      </c>
      <c r="H1559" s="9"/>
      <c r="I1559" s="1">
        <v>130000</v>
      </c>
      <c r="J1559" s="45">
        <v>1071557</v>
      </c>
      <c r="K1559" s="1" t="str">
        <f>TRIM(Cleaned_CRM_Data!H1559)</f>
        <v/>
      </c>
      <c r="L1559" t="str">
        <f>IFERROR(VLOOKUP(K1559, Status_Mapping!A:B, 2,), "Not Found")</f>
        <v>Not Found</v>
      </c>
      <c r="N1559" s="29" t="str">
        <f>IF(M1559="","",M1559-B1559)</f>
        <v/>
      </c>
      <c r="O1559" s="1" t="str">
        <f t="shared" si="123"/>
        <v>Starter</v>
      </c>
      <c r="P1559" t="str">
        <f>TEXT(B1559, "mmmm")</f>
        <v>April</v>
      </c>
      <c r="Q1559" t="str">
        <f t="shared" si="124"/>
        <v>Q2</v>
      </c>
      <c r="R1559" t="str">
        <f>IFERROR(VLOOKUP(TRIM(CLEAN(G1559)),Sheet14!$A$2:$B$19,2,FALSE),"Not Mapped")</f>
        <v>West</v>
      </c>
    </row>
    <row r="1560" spans="1:18">
      <c r="A1560" t="str">
        <f t="shared" si="122"/>
        <v>EOS1559</v>
      </c>
      <c r="B1560" s="40">
        <v>46121</v>
      </c>
      <c r="C1560" s="9" t="s">
        <v>1314</v>
      </c>
      <c r="D1560" s="1" t="str">
        <f t="shared" si="121"/>
        <v>Fb</v>
      </c>
      <c r="E1560" s="9" t="s">
        <v>2177</v>
      </c>
      <c r="F1560" s="9" t="s">
        <v>2178</v>
      </c>
      <c r="G1560" s="9" t="s">
        <v>223</v>
      </c>
      <c r="H1560" s="9"/>
      <c r="I1560" s="1">
        <v>108000</v>
      </c>
      <c r="J1560" s="45">
        <v>1071558</v>
      </c>
      <c r="K1560" s="1" t="str">
        <f>TRIM(Cleaned_CRM_Data!H1560)</f>
        <v/>
      </c>
      <c r="L1560" t="str">
        <f>IFERROR(VLOOKUP(K1560, Status_Mapping!A:B, 2,), "Not Found")</f>
        <v>Not Found</v>
      </c>
      <c r="N1560" s="29" t="str">
        <f>IF(M1560="","",M1560-B1560)</f>
        <v/>
      </c>
      <c r="O1560" s="1" t="str">
        <f t="shared" si="123"/>
        <v>Starter</v>
      </c>
      <c r="P1560" t="str">
        <f>TEXT(B1560, "mmmm")</f>
        <v>April</v>
      </c>
      <c r="Q1560" t="str">
        <f t="shared" si="124"/>
        <v>Q2</v>
      </c>
      <c r="R1560" t="str">
        <f>IFERROR(VLOOKUP(TRIM(CLEAN(G1560)),Sheet14!$A$2:$B$19,2,FALSE),"Not Mapped")</f>
        <v>West</v>
      </c>
    </row>
    <row r="1561" spans="1:18">
      <c r="A1561" t="str">
        <f t="shared" si="122"/>
        <v>EOS1560</v>
      </c>
      <c r="B1561" s="40">
        <v>46122</v>
      </c>
      <c r="C1561" s="9" t="s">
        <v>1314</v>
      </c>
      <c r="D1561" s="1" t="str">
        <f t="shared" si="121"/>
        <v>Fb</v>
      </c>
      <c r="E1561" s="9" t="s">
        <v>2179</v>
      </c>
      <c r="F1561" s="9" t="s">
        <v>811</v>
      </c>
      <c r="G1561" s="9" t="s">
        <v>236</v>
      </c>
      <c r="H1561" s="9"/>
      <c r="I1561" s="1">
        <v>130000</v>
      </c>
      <c r="J1561" s="45">
        <v>1071559</v>
      </c>
      <c r="K1561" s="1" t="str">
        <f>TRIM(Cleaned_CRM_Data!H1561)</f>
        <v/>
      </c>
      <c r="L1561" t="str">
        <f>IFERROR(VLOOKUP(K1561, Status_Mapping!A:B, 2,), "Not Found")</f>
        <v>Not Found</v>
      </c>
      <c r="N1561" s="29" t="str">
        <f>IF(M1561="","",M1561-B1561)</f>
        <v/>
      </c>
      <c r="O1561" s="1" t="str">
        <f t="shared" si="123"/>
        <v>Starter</v>
      </c>
      <c r="P1561" t="str">
        <f>TEXT(B1561, "mmmm")</f>
        <v>April</v>
      </c>
      <c r="Q1561" t="str">
        <f t="shared" si="124"/>
        <v>Q2</v>
      </c>
      <c r="R1561" t="str">
        <f>IFERROR(VLOOKUP(TRIM(CLEAN(G1561)),Sheet14!$A$2:$B$19,2,FALSE),"Not Mapped")</f>
        <v>North</v>
      </c>
    </row>
    <row r="1562" spans="1:18">
      <c r="A1562" t="str">
        <f t="shared" si="122"/>
        <v>EOS1561</v>
      </c>
      <c r="B1562" s="40">
        <v>46122</v>
      </c>
      <c r="C1562" s="9" t="s">
        <v>1314</v>
      </c>
      <c r="D1562" s="1" t="str">
        <f t="shared" si="121"/>
        <v>Fb</v>
      </c>
      <c r="E1562" s="9" t="s">
        <v>2180</v>
      </c>
      <c r="F1562" s="9" t="s">
        <v>2181</v>
      </c>
      <c r="G1562" s="9" t="s">
        <v>236</v>
      </c>
      <c r="H1562" s="9"/>
      <c r="I1562" s="1">
        <v>177000</v>
      </c>
      <c r="J1562" s="45">
        <v>1071560</v>
      </c>
      <c r="K1562" s="1" t="str">
        <f>TRIM(Cleaned_CRM_Data!H1562)</f>
        <v/>
      </c>
      <c r="L1562" t="str">
        <f>IFERROR(VLOOKUP(K1562, Status_Mapping!A:B, 2,), "Not Found")</f>
        <v>Not Found</v>
      </c>
      <c r="N1562" s="29" t="str">
        <f>IF(M1562="","",M1562-B1562)</f>
        <v/>
      </c>
      <c r="O1562" s="1" t="str">
        <f t="shared" si="123"/>
        <v>Growth</v>
      </c>
      <c r="P1562" t="str">
        <f>TEXT(B1562, "mmmm")</f>
        <v>April</v>
      </c>
      <c r="Q1562" t="str">
        <f t="shared" si="124"/>
        <v>Q2</v>
      </c>
      <c r="R1562" t="str">
        <f>IFERROR(VLOOKUP(TRIM(CLEAN(G1562)),Sheet14!$A$2:$B$19,2,FALSE),"Not Mapped")</f>
        <v>North</v>
      </c>
    </row>
    <row r="1563" spans="1:18">
      <c r="A1563" t="str">
        <f t="shared" si="122"/>
        <v>EOS1562</v>
      </c>
      <c r="B1563" s="40">
        <v>46122</v>
      </c>
      <c r="C1563" s="9" t="s">
        <v>1314</v>
      </c>
      <c r="D1563" s="1" t="str">
        <f t="shared" si="121"/>
        <v>Fb</v>
      </c>
      <c r="E1563" s="9" t="s">
        <v>2182</v>
      </c>
      <c r="F1563" s="9" t="s">
        <v>326</v>
      </c>
      <c r="G1563" s="9" t="s">
        <v>223</v>
      </c>
      <c r="H1563" s="9"/>
      <c r="I1563" s="1">
        <v>108000</v>
      </c>
      <c r="J1563" s="45">
        <v>1071561</v>
      </c>
      <c r="K1563" s="1" t="str">
        <f>TRIM(Cleaned_CRM_Data!H1563)</f>
        <v/>
      </c>
      <c r="L1563" t="str">
        <f>IFERROR(VLOOKUP(K1563, Status_Mapping!A:B, 2,), "Not Found")</f>
        <v>Not Found</v>
      </c>
      <c r="N1563" s="29" t="str">
        <f>IF(M1563="","",M1563-B1563)</f>
        <v/>
      </c>
      <c r="O1563" s="1" t="str">
        <f t="shared" si="123"/>
        <v>Starter</v>
      </c>
      <c r="P1563" t="str">
        <f>TEXT(B1563, "mmmm")</f>
        <v>April</v>
      </c>
      <c r="Q1563" t="str">
        <f t="shared" si="124"/>
        <v>Q2</v>
      </c>
      <c r="R1563" t="str">
        <f>IFERROR(VLOOKUP(TRIM(CLEAN(G1563)),Sheet14!$A$2:$B$19,2,FALSE),"Not Mapped")</f>
        <v>West</v>
      </c>
    </row>
    <row r="1564" spans="1:18">
      <c r="A1564" t="str">
        <f t="shared" si="122"/>
        <v>EOS1563</v>
      </c>
      <c r="B1564" s="40">
        <v>46122</v>
      </c>
      <c r="C1564" s="9" t="s">
        <v>1314</v>
      </c>
      <c r="D1564" s="1" t="str">
        <f t="shared" si="121"/>
        <v>Fb</v>
      </c>
      <c r="E1564" s="9" t="s">
        <v>2183</v>
      </c>
      <c r="F1564" s="9" t="s">
        <v>275</v>
      </c>
      <c r="G1564" s="9" t="s">
        <v>223</v>
      </c>
      <c r="H1564" s="9"/>
      <c r="I1564" s="1">
        <v>177000</v>
      </c>
      <c r="J1564" s="45">
        <v>1071562</v>
      </c>
      <c r="K1564" s="1" t="str">
        <f>TRIM(Cleaned_CRM_Data!H1564)</f>
        <v/>
      </c>
      <c r="L1564" t="str">
        <f>IFERROR(VLOOKUP(K1564, Status_Mapping!A:B, 2,), "Not Found")</f>
        <v>Not Found</v>
      </c>
      <c r="N1564" s="29" t="str">
        <f>IF(M1564="","",M1564-B1564)</f>
        <v/>
      </c>
      <c r="O1564" s="1" t="str">
        <f t="shared" si="123"/>
        <v>Growth</v>
      </c>
      <c r="P1564" t="str">
        <f>TEXT(B1564, "mmmm")</f>
        <v>April</v>
      </c>
      <c r="Q1564" t="str">
        <f t="shared" si="124"/>
        <v>Q2</v>
      </c>
      <c r="R1564" t="str">
        <f>IFERROR(VLOOKUP(TRIM(CLEAN(G1564)),Sheet14!$A$2:$B$19,2,FALSE),"Not Mapped")</f>
        <v>West</v>
      </c>
    </row>
    <row r="1565" spans="1:18">
      <c r="A1565" t="str">
        <f t="shared" si="122"/>
        <v>EOS1564</v>
      </c>
      <c r="B1565" s="40">
        <v>46122</v>
      </c>
      <c r="C1565" s="9" t="s">
        <v>1314</v>
      </c>
      <c r="D1565" s="1" t="str">
        <f t="shared" si="121"/>
        <v>Fb</v>
      </c>
      <c r="E1565" s="9" t="s">
        <v>2184</v>
      </c>
      <c r="F1565" s="9" t="s">
        <v>275</v>
      </c>
      <c r="G1565" s="9" t="s">
        <v>223</v>
      </c>
      <c r="H1565" s="9"/>
      <c r="I1565" s="1">
        <v>108000</v>
      </c>
      <c r="J1565" s="45">
        <v>1071563</v>
      </c>
      <c r="K1565" s="1" t="str">
        <f>TRIM(Cleaned_CRM_Data!H1565)</f>
        <v/>
      </c>
      <c r="L1565" t="str">
        <f>IFERROR(VLOOKUP(K1565, Status_Mapping!A:B, 2,), "Not Found")</f>
        <v>Not Found</v>
      </c>
      <c r="N1565" s="29" t="str">
        <f>IF(M1565="","",M1565-B1565)</f>
        <v/>
      </c>
      <c r="O1565" s="1" t="str">
        <f t="shared" si="123"/>
        <v>Starter</v>
      </c>
      <c r="P1565" t="str">
        <f>TEXT(B1565, "mmmm")</f>
        <v>April</v>
      </c>
      <c r="Q1565" t="str">
        <f t="shared" si="124"/>
        <v>Q2</v>
      </c>
      <c r="R1565" t="str">
        <f>IFERROR(VLOOKUP(TRIM(CLEAN(G1565)),Sheet14!$A$2:$B$19,2,FALSE),"Not Mapped")</f>
        <v>West</v>
      </c>
    </row>
    <row r="1566" spans="1:18">
      <c r="A1566" t="str">
        <f t="shared" si="122"/>
        <v>EOS1565</v>
      </c>
      <c r="B1566" s="40">
        <v>46122</v>
      </c>
      <c r="C1566" s="9" t="s">
        <v>1314</v>
      </c>
      <c r="D1566" s="1" t="str">
        <f t="shared" si="121"/>
        <v>Fb</v>
      </c>
      <c r="E1566" s="9" t="s">
        <v>2185</v>
      </c>
      <c r="F1566" s="9" t="s">
        <v>558</v>
      </c>
      <c r="G1566" s="9" t="s">
        <v>223</v>
      </c>
      <c r="H1566" s="9"/>
      <c r="I1566" s="1">
        <v>177000</v>
      </c>
      <c r="J1566" s="45">
        <v>1071564</v>
      </c>
      <c r="K1566" s="1" t="str">
        <f>TRIM(Cleaned_CRM_Data!H1566)</f>
        <v/>
      </c>
      <c r="L1566" t="str">
        <f>IFERROR(VLOOKUP(K1566, Status_Mapping!A:B, 2,), "Not Found")</f>
        <v>Not Found</v>
      </c>
      <c r="N1566" s="29" t="str">
        <f>IF(M1566="","",M1566-B1566)</f>
        <v/>
      </c>
      <c r="O1566" s="1" t="str">
        <f t="shared" si="123"/>
        <v>Growth</v>
      </c>
      <c r="P1566" t="str">
        <f>TEXT(B1566, "mmmm")</f>
        <v>April</v>
      </c>
      <c r="Q1566" t="str">
        <f t="shared" si="124"/>
        <v>Q2</v>
      </c>
      <c r="R1566" t="str">
        <f>IFERROR(VLOOKUP(TRIM(CLEAN(G1566)),Sheet14!$A$2:$B$19,2,FALSE),"Not Mapped")</f>
        <v>West</v>
      </c>
    </row>
    <row r="1567" spans="1:18">
      <c r="A1567" t="str">
        <f t="shared" si="122"/>
        <v>EOS1566</v>
      </c>
      <c r="B1567" s="40">
        <v>46123</v>
      </c>
      <c r="C1567" s="9" t="s">
        <v>1314</v>
      </c>
      <c r="D1567" s="1" t="str">
        <f t="shared" si="121"/>
        <v>Fb</v>
      </c>
      <c r="E1567" s="9" t="s">
        <v>1010</v>
      </c>
      <c r="F1567" s="9" t="s">
        <v>2186</v>
      </c>
      <c r="G1567" s="9" t="s">
        <v>223</v>
      </c>
      <c r="H1567" s="9"/>
      <c r="I1567" s="1">
        <v>108000</v>
      </c>
      <c r="J1567" s="45">
        <v>1071565</v>
      </c>
      <c r="K1567" s="1" t="str">
        <f>TRIM(Cleaned_CRM_Data!H1567)</f>
        <v/>
      </c>
      <c r="L1567" t="str">
        <f>IFERROR(VLOOKUP(K1567, Status_Mapping!A:B, 2,), "Not Found")</f>
        <v>Not Found</v>
      </c>
      <c r="N1567" s="29" t="str">
        <f>IF(M1567="","",M1567-B1567)</f>
        <v/>
      </c>
      <c r="O1567" s="1" t="str">
        <f t="shared" si="123"/>
        <v>Starter</v>
      </c>
      <c r="P1567" t="str">
        <f>TEXT(B1567, "mmmm")</f>
        <v>April</v>
      </c>
      <c r="Q1567" t="str">
        <f t="shared" si="124"/>
        <v>Q2</v>
      </c>
      <c r="R1567" t="str">
        <f>IFERROR(VLOOKUP(TRIM(CLEAN(G1567)),Sheet14!$A$2:$B$19,2,FALSE),"Not Mapped")</f>
        <v>West</v>
      </c>
    </row>
    <row r="1568" spans="1:18">
      <c r="A1568" t="str">
        <f t="shared" si="122"/>
        <v>EOS1567</v>
      </c>
      <c r="B1568" s="40">
        <v>46123</v>
      </c>
      <c r="C1568" s="9" t="s">
        <v>1314</v>
      </c>
      <c r="D1568" s="1" t="str">
        <f t="shared" si="121"/>
        <v>Fb</v>
      </c>
      <c r="E1568" s="9" t="s">
        <v>2187</v>
      </c>
      <c r="F1568" s="9" t="s">
        <v>2188</v>
      </c>
      <c r="G1568" s="9" t="s">
        <v>223</v>
      </c>
      <c r="H1568" s="9"/>
      <c r="I1568" s="1">
        <v>130000</v>
      </c>
      <c r="J1568" s="45">
        <v>1071566</v>
      </c>
      <c r="K1568" s="1" t="str">
        <f>TRIM(Cleaned_CRM_Data!H1568)</f>
        <v/>
      </c>
      <c r="L1568" t="str">
        <f>IFERROR(VLOOKUP(K1568, Status_Mapping!A:B, 2,), "Not Found")</f>
        <v>Not Found</v>
      </c>
      <c r="N1568" s="29" t="str">
        <f>IF(M1568="","",M1568-B1568)</f>
        <v/>
      </c>
      <c r="O1568" s="1" t="str">
        <f t="shared" si="123"/>
        <v>Starter</v>
      </c>
      <c r="P1568" t="str">
        <f>TEXT(B1568, "mmmm")</f>
        <v>April</v>
      </c>
      <c r="Q1568" t="str">
        <f t="shared" si="124"/>
        <v>Q2</v>
      </c>
      <c r="R1568" t="str">
        <f>IFERROR(VLOOKUP(TRIM(CLEAN(G1568)),Sheet14!$A$2:$B$19,2,FALSE),"Not Mapped")</f>
        <v>West</v>
      </c>
    </row>
    <row r="1569" spans="1:18">
      <c r="A1569" t="str">
        <f t="shared" si="122"/>
        <v>EOS1568</v>
      </c>
      <c r="B1569" s="40">
        <v>46125</v>
      </c>
      <c r="C1569" s="9" t="s">
        <v>1314</v>
      </c>
      <c r="D1569" s="1" t="str">
        <f t="shared" si="121"/>
        <v>Fb</v>
      </c>
      <c r="E1569" s="9" t="s">
        <v>2189</v>
      </c>
      <c r="F1569" s="9" t="s">
        <v>2190</v>
      </c>
      <c r="G1569" s="9" t="s">
        <v>236</v>
      </c>
      <c r="H1569" s="9"/>
      <c r="I1569" s="1">
        <v>177000</v>
      </c>
      <c r="J1569" s="45">
        <v>1071567</v>
      </c>
      <c r="K1569" s="1" t="str">
        <f>TRIM(Cleaned_CRM_Data!H1569)</f>
        <v/>
      </c>
      <c r="L1569" t="str">
        <f>IFERROR(VLOOKUP(K1569, Status_Mapping!A:B, 2,), "Not Found")</f>
        <v>Not Found</v>
      </c>
      <c r="N1569" s="29" t="str">
        <f>IF(M1569="","",M1569-B1569)</f>
        <v/>
      </c>
      <c r="O1569" s="1" t="str">
        <f t="shared" si="123"/>
        <v>Growth</v>
      </c>
      <c r="P1569" t="str">
        <f>TEXT(B1569, "mmmm")</f>
        <v>April</v>
      </c>
      <c r="Q1569" t="str">
        <f t="shared" si="124"/>
        <v>Q2</v>
      </c>
      <c r="R1569" t="str">
        <f>IFERROR(VLOOKUP(TRIM(CLEAN(G1569)),Sheet14!$A$2:$B$19,2,FALSE),"Not Mapped")</f>
        <v>North</v>
      </c>
    </row>
    <row r="1570" spans="1:18">
      <c r="A1570" t="str">
        <f t="shared" si="122"/>
        <v>EOS1569</v>
      </c>
      <c r="B1570" s="40">
        <v>46125</v>
      </c>
      <c r="C1570" s="9" t="s">
        <v>1314</v>
      </c>
      <c r="D1570" s="1" t="str">
        <f t="shared" si="121"/>
        <v>Fb</v>
      </c>
      <c r="E1570" s="9" t="s">
        <v>2191</v>
      </c>
      <c r="F1570" s="9" t="s">
        <v>558</v>
      </c>
      <c r="G1570" s="9" t="s">
        <v>223</v>
      </c>
      <c r="H1570" s="9"/>
      <c r="I1570" s="1">
        <v>108000</v>
      </c>
      <c r="J1570" s="45">
        <v>1071568</v>
      </c>
      <c r="K1570" s="1" t="str">
        <f>TRIM(Cleaned_CRM_Data!H1570)</f>
        <v/>
      </c>
      <c r="L1570" t="str">
        <f>IFERROR(VLOOKUP(K1570, Status_Mapping!A:B, 2,), "Not Found")</f>
        <v>Not Found</v>
      </c>
      <c r="N1570" s="29" t="str">
        <f>IF(M1570="","",M1570-B1570)</f>
        <v/>
      </c>
      <c r="O1570" s="1" t="str">
        <f t="shared" si="123"/>
        <v>Starter</v>
      </c>
      <c r="P1570" t="str">
        <f>TEXT(B1570, "mmmm")</f>
        <v>April</v>
      </c>
      <c r="Q1570" t="str">
        <f t="shared" si="124"/>
        <v>Q2</v>
      </c>
      <c r="R1570" t="str">
        <f>IFERROR(VLOOKUP(TRIM(CLEAN(G1570)),Sheet14!$A$2:$B$19,2,FALSE),"Not Mapped")</f>
        <v>West</v>
      </c>
    </row>
    <row r="1571" spans="1:18">
      <c r="A1571" t="str">
        <f t="shared" si="122"/>
        <v>EOS1570</v>
      </c>
      <c r="B1571" s="40">
        <v>46125</v>
      </c>
      <c r="C1571" s="9" t="s">
        <v>1314</v>
      </c>
      <c r="D1571" s="1" t="str">
        <f t="shared" si="121"/>
        <v>Fb</v>
      </c>
      <c r="E1571" s="9" t="s">
        <v>2192</v>
      </c>
      <c r="F1571" s="9" t="s">
        <v>2193</v>
      </c>
      <c r="G1571" s="9" t="s">
        <v>232</v>
      </c>
      <c r="H1571" s="9"/>
      <c r="I1571" s="1">
        <v>108000</v>
      </c>
      <c r="J1571" s="45">
        <v>1071569</v>
      </c>
      <c r="K1571" s="1" t="str">
        <f>TRIM(Cleaned_CRM_Data!H1571)</f>
        <v/>
      </c>
      <c r="L1571" t="str">
        <f>IFERROR(VLOOKUP(K1571, Status_Mapping!A:B, 2,), "Not Found")</f>
        <v>Not Found</v>
      </c>
      <c r="N1571" s="29" t="str">
        <f>IF(M1571="","",M1571-B1571)</f>
        <v/>
      </c>
      <c r="O1571" s="1" t="str">
        <f t="shared" si="123"/>
        <v>Starter</v>
      </c>
      <c r="P1571" t="str">
        <f>TEXT(B1571, "mmmm")</f>
        <v>April</v>
      </c>
      <c r="Q1571" t="str">
        <f t="shared" si="124"/>
        <v>Q2</v>
      </c>
      <c r="R1571" t="str">
        <f>IFERROR(VLOOKUP(TRIM(CLEAN(G1571)),Sheet14!$A$2:$B$19,2,FALSE),"Not Mapped")</f>
        <v>East</v>
      </c>
    </row>
    <row r="1572" spans="1:18">
      <c r="A1572" t="str">
        <f t="shared" si="122"/>
        <v>EOS1571</v>
      </c>
      <c r="B1572" s="40">
        <v>46125</v>
      </c>
      <c r="C1572" s="9" t="s">
        <v>1314</v>
      </c>
      <c r="D1572" s="1" t="str">
        <f t="shared" si="121"/>
        <v>Fb</v>
      </c>
      <c r="E1572" s="9" t="s">
        <v>2194</v>
      </c>
      <c r="F1572" s="9" t="s">
        <v>275</v>
      </c>
      <c r="G1572" s="9" t="s">
        <v>223</v>
      </c>
      <c r="H1572" s="9"/>
      <c r="I1572" s="1">
        <v>130000</v>
      </c>
      <c r="J1572" s="45">
        <v>1071570</v>
      </c>
      <c r="K1572" s="1" t="str">
        <f>TRIM(Cleaned_CRM_Data!H1572)</f>
        <v/>
      </c>
      <c r="L1572" t="str">
        <f>IFERROR(VLOOKUP(K1572, Status_Mapping!A:B, 2,), "Not Found")</f>
        <v>Not Found</v>
      </c>
      <c r="N1572" s="29" t="str">
        <f>IF(M1572="","",M1572-B1572)</f>
        <v/>
      </c>
      <c r="O1572" s="1" t="str">
        <f t="shared" si="123"/>
        <v>Starter</v>
      </c>
      <c r="P1572" t="str">
        <f>TEXT(B1572, "mmmm")</f>
        <v>April</v>
      </c>
      <c r="Q1572" t="str">
        <f t="shared" si="124"/>
        <v>Q2</v>
      </c>
      <c r="R1572" t="str">
        <f>IFERROR(VLOOKUP(TRIM(CLEAN(G1572)),Sheet14!$A$2:$B$19,2,FALSE),"Not Mapped")</f>
        <v>West</v>
      </c>
    </row>
    <row r="1573" spans="1:18">
      <c r="A1573" t="str">
        <f t="shared" si="122"/>
        <v>EOS1572</v>
      </c>
      <c r="B1573" s="40">
        <v>46125</v>
      </c>
      <c r="C1573" s="9" t="s">
        <v>1314</v>
      </c>
      <c r="D1573" s="1" t="str">
        <f t="shared" si="121"/>
        <v>Fb</v>
      </c>
      <c r="E1573" s="9" t="s">
        <v>2195</v>
      </c>
      <c r="F1573" s="9" t="s">
        <v>2196</v>
      </c>
      <c r="G1573" s="9" t="s">
        <v>223</v>
      </c>
      <c r="H1573" s="9"/>
      <c r="I1573" s="1">
        <v>108000</v>
      </c>
      <c r="J1573" s="45">
        <v>1071571</v>
      </c>
      <c r="K1573" s="1" t="str">
        <f>TRIM(Cleaned_CRM_Data!H1573)</f>
        <v/>
      </c>
      <c r="L1573" t="str">
        <f>IFERROR(VLOOKUP(K1573, Status_Mapping!A:B, 2,), "Not Found")</f>
        <v>Not Found</v>
      </c>
      <c r="N1573" s="29" t="str">
        <f>IF(M1573="","",M1573-B1573)</f>
        <v/>
      </c>
      <c r="O1573" s="1" t="str">
        <f t="shared" si="123"/>
        <v>Starter</v>
      </c>
      <c r="P1573" t="str">
        <f>TEXT(B1573, "mmmm")</f>
        <v>April</v>
      </c>
      <c r="Q1573" t="str">
        <f t="shared" si="124"/>
        <v>Q2</v>
      </c>
      <c r="R1573" t="str">
        <f>IFERROR(VLOOKUP(TRIM(CLEAN(G1573)),Sheet14!$A$2:$B$19,2,FALSE),"Not Mapped")</f>
        <v>West</v>
      </c>
    </row>
    <row r="1574" spans="1:18">
      <c r="A1574" t="str">
        <f t="shared" si="122"/>
        <v>EOS1573</v>
      </c>
      <c r="B1574" s="40">
        <v>46125</v>
      </c>
      <c r="C1574" s="9" t="s">
        <v>1314</v>
      </c>
      <c r="D1574" s="1" t="str">
        <f t="shared" si="121"/>
        <v>Fb</v>
      </c>
      <c r="E1574" s="9" t="s">
        <v>2197</v>
      </c>
      <c r="F1574" s="9" t="s">
        <v>1135</v>
      </c>
      <c r="G1574" s="9" t="s">
        <v>236</v>
      </c>
      <c r="H1574" s="9"/>
      <c r="I1574" s="1">
        <v>130000</v>
      </c>
      <c r="J1574" s="45">
        <v>1071572</v>
      </c>
      <c r="K1574" s="1" t="str">
        <f>TRIM(Cleaned_CRM_Data!H1574)</f>
        <v/>
      </c>
      <c r="L1574" t="str">
        <f>IFERROR(VLOOKUP(K1574, Status_Mapping!A:B, 2,), "Not Found")</f>
        <v>Not Found</v>
      </c>
      <c r="N1574" s="29" t="str">
        <f>IF(M1574="","",M1574-B1574)</f>
        <v/>
      </c>
      <c r="O1574" s="1" t="str">
        <f t="shared" si="123"/>
        <v>Starter</v>
      </c>
      <c r="P1574" t="str">
        <f>TEXT(B1574, "mmmm")</f>
        <v>April</v>
      </c>
      <c r="Q1574" t="str">
        <f t="shared" si="124"/>
        <v>Q2</v>
      </c>
      <c r="R1574" t="str">
        <f>IFERROR(VLOOKUP(TRIM(CLEAN(G1574)),Sheet14!$A$2:$B$19,2,FALSE),"Not Mapped")</f>
        <v>North</v>
      </c>
    </row>
    <row r="1575" spans="1:18">
      <c r="A1575" t="str">
        <f t="shared" si="122"/>
        <v>EOS1574</v>
      </c>
      <c r="B1575" s="40">
        <v>46125</v>
      </c>
      <c r="C1575" s="9" t="s">
        <v>1314</v>
      </c>
      <c r="D1575" s="1" t="str">
        <f t="shared" si="121"/>
        <v>Fb</v>
      </c>
      <c r="E1575" s="9" t="s">
        <v>2198</v>
      </c>
      <c r="F1575" s="9" t="s">
        <v>2199</v>
      </c>
      <c r="G1575" s="9" t="s">
        <v>236</v>
      </c>
      <c r="H1575" s="9"/>
      <c r="I1575" s="1">
        <v>130000</v>
      </c>
      <c r="J1575" s="45">
        <v>1071573</v>
      </c>
      <c r="K1575" s="1" t="str">
        <f>TRIM(Cleaned_CRM_Data!H1575)</f>
        <v/>
      </c>
      <c r="L1575" t="str">
        <f>IFERROR(VLOOKUP(K1575, Status_Mapping!A:B, 2,), "Not Found")</f>
        <v>Not Found</v>
      </c>
      <c r="N1575" s="29" t="str">
        <f>IF(M1575="","",M1575-B1575)</f>
        <v/>
      </c>
      <c r="O1575" s="1" t="str">
        <f t="shared" si="123"/>
        <v>Starter</v>
      </c>
      <c r="P1575" t="str">
        <f>TEXT(B1575, "mmmm")</f>
        <v>April</v>
      </c>
      <c r="Q1575" t="str">
        <f t="shared" si="124"/>
        <v>Q2</v>
      </c>
      <c r="R1575" t="str">
        <f>IFERROR(VLOOKUP(TRIM(CLEAN(G1575)),Sheet14!$A$2:$B$19,2,FALSE),"Not Mapped")</f>
        <v>North</v>
      </c>
    </row>
    <row r="1576" spans="1:18">
      <c r="A1576" t="str">
        <f t="shared" si="122"/>
        <v>EOS1575</v>
      </c>
      <c r="B1576" s="40">
        <v>46125</v>
      </c>
      <c r="C1576" s="9" t="s">
        <v>1314</v>
      </c>
      <c r="D1576" s="1" t="str">
        <f t="shared" si="121"/>
        <v>Fb</v>
      </c>
      <c r="E1576" s="9" t="s">
        <v>2200</v>
      </c>
      <c r="F1576" s="9" t="s">
        <v>558</v>
      </c>
      <c r="G1576" s="9" t="s">
        <v>223</v>
      </c>
      <c r="H1576" s="9"/>
      <c r="I1576" s="1">
        <v>130000</v>
      </c>
      <c r="J1576" s="45">
        <v>1071574</v>
      </c>
      <c r="K1576" s="1" t="str">
        <f>TRIM(Cleaned_CRM_Data!H1576)</f>
        <v/>
      </c>
      <c r="L1576" t="str">
        <f>IFERROR(VLOOKUP(K1576, Status_Mapping!A:B, 2,), "Not Found")</f>
        <v>Not Found</v>
      </c>
      <c r="N1576" s="29" t="str">
        <f>IF(M1576="","",M1576-B1576)</f>
        <v/>
      </c>
      <c r="O1576" s="1" t="str">
        <f t="shared" si="123"/>
        <v>Starter</v>
      </c>
      <c r="P1576" t="str">
        <f>TEXT(B1576, "mmmm")</f>
        <v>April</v>
      </c>
      <c r="Q1576" t="str">
        <f t="shared" si="124"/>
        <v>Q2</v>
      </c>
      <c r="R1576" t="str">
        <f>IFERROR(VLOOKUP(TRIM(CLEAN(G1576)),Sheet14!$A$2:$B$19,2,FALSE),"Not Mapped")</f>
        <v>West</v>
      </c>
    </row>
    <row r="1577" spans="1:18">
      <c r="A1577" t="str">
        <f t="shared" si="122"/>
        <v>EOS1576</v>
      </c>
      <c r="B1577" s="40">
        <v>46126</v>
      </c>
      <c r="C1577" s="9" t="s">
        <v>1314</v>
      </c>
      <c r="D1577" s="1" t="str">
        <f t="shared" si="121"/>
        <v>Fb</v>
      </c>
      <c r="E1577" s="9" t="s">
        <v>2201</v>
      </c>
      <c r="F1577" s="9" t="s">
        <v>558</v>
      </c>
      <c r="G1577" s="9" t="s">
        <v>223</v>
      </c>
      <c r="H1577" s="9"/>
      <c r="I1577" s="1">
        <v>130000</v>
      </c>
      <c r="J1577" s="45">
        <v>1071575</v>
      </c>
      <c r="K1577" s="1" t="str">
        <f>TRIM(Cleaned_CRM_Data!H1577)</f>
        <v/>
      </c>
      <c r="L1577" t="str">
        <f>IFERROR(VLOOKUP(K1577, Status_Mapping!A:B, 2,), "Not Found")</f>
        <v>Not Found</v>
      </c>
      <c r="N1577" s="29" t="str">
        <f>IF(M1577="","",M1577-B1577)</f>
        <v/>
      </c>
      <c r="O1577" s="1" t="str">
        <f t="shared" si="123"/>
        <v>Starter</v>
      </c>
      <c r="P1577" t="str">
        <f>TEXT(B1577, "mmmm")</f>
        <v>April</v>
      </c>
      <c r="Q1577" t="str">
        <f t="shared" si="124"/>
        <v>Q2</v>
      </c>
      <c r="R1577" t="str">
        <f>IFERROR(VLOOKUP(TRIM(CLEAN(G1577)),Sheet14!$A$2:$B$19,2,FALSE),"Not Mapped")</f>
        <v>West</v>
      </c>
    </row>
    <row r="1578" spans="1:18">
      <c r="A1578" t="str">
        <f t="shared" si="122"/>
        <v>EOS1577</v>
      </c>
      <c r="B1578" s="40">
        <v>46126</v>
      </c>
      <c r="C1578" s="9" t="s">
        <v>1314</v>
      </c>
      <c r="D1578" s="1" t="str">
        <f t="shared" si="121"/>
        <v>Fb</v>
      </c>
      <c r="E1578" s="9" t="s">
        <v>2202</v>
      </c>
      <c r="F1578" s="9" t="s">
        <v>275</v>
      </c>
      <c r="G1578" s="9" t="s">
        <v>223</v>
      </c>
      <c r="H1578" s="9"/>
      <c r="I1578" s="1">
        <v>130000</v>
      </c>
      <c r="J1578" s="45">
        <v>1071576</v>
      </c>
      <c r="K1578" s="1" t="str">
        <f>TRIM(Cleaned_CRM_Data!H1578)</f>
        <v/>
      </c>
      <c r="L1578" t="str">
        <f>IFERROR(VLOOKUP(K1578, Status_Mapping!A:B, 2,), "Not Found")</f>
        <v>Not Found</v>
      </c>
      <c r="N1578" s="29" t="str">
        <f>IF(M1578="","",M1578-B1578)</f>
        <v/>
      </c>
      <c r="O1578" s="1" t="str">
        <f t="shared" si="123"/>
        <v>Starter</v>
      </c>
      <c r="P1578" t="str">
        <f>TEXT(B1578, "mmmm")</f>
        <v>April</v>
      </c>
      <c r="Q1578" t="str">
        <f t="shared" si="124"/>
        <v>Q2</v>
      </c>
      <c r="R1578" t="str">
        <f>IFERROR(VLOOKUP(TRIM(CLEAN(G1578)),Sheet14!$A$2:$B$19,2,FALSE),"Not Mapped")</f>
        <v>West</v>
      </c>
    </row>
    <row r="1579" spans="1:18">
      <c r="A1579" t="str">
        <f t="shared" si="122"/>
        <v>EOS1578</v>
      </c>
      <c r="B1579" s="40">
        <v>46126</v>
      </c>
      <c r="C1579" s="9" t="s">
        <v>1314</v>
      </c>
      <c r="D1579" s="1" t="str">
        <f t="shared" si="121"/>
        <v>Fb</v>
      </c>
      <c r="E1579" s="9" t="s">
        <v>2203</v>
      </c>
      <c r="F1579" s="9" t="s">
        <v>2204</v>
      </c>
      <c r="G1579" s="9" t="s">
        <v>223</v>
      </c>
      <c r="H1579" s="9"/>
      <c r="I1579" s="1">
        <v>130000</v>
      </c>
      <c r="J1579" s="45">
        <v>1071577</v>
      </c>
      <c r="K1579" s="1" t="str">
        <f>TRIM(Cleaned_CRM_Data!H1579)</f>
        <v/>
      </c>
      <c r="L1579" t="str">
        <f>IFERROR(VLOOKUP(K1579, Status_Mapping!A:B, 2,), "Not Found")</f>
        <v>Not Found</v>
      </c>
      <c r="N1579" s="29" t="str">
        <f>IF(M1579="","",M1579-B1579)</f>
        <v/>
      </c>
      <c r="O1579" s="1" t="str">
        <f t="shared" si="123"/>
        <v>Starter</v>
      </c>
      <c r="P1579" t="str">
        <f>TEXT(B1579, "mmmm")</f>
        <v>April</v>
      </c>
      <c r="Q1579" t="str">
        <f t="shared" si="124"/>
        <v>Q2</v>
      </c>
      <c r="R1579" t="str">
        <f>IFERROR(VLOOKUP(TRIM(CLEAN(G1579)),Sheet14!$A$2:$B$19,2,FALSE),"Not Mapped")</f>
        <v>West</v>
      </c>
    </row>
    <row r="1580" spans="1:18">
      <c r="A1580" t="str">
        <f t="shared" si="122"/>
        <v>EOS1579</v>
      </c>
      <c r="B1580" s="40">
        <v>46126</v>
      </c>
      <c r="C1580" s="9" t="s">
        <v>1314</v>
      </c>
      <c r="D1580" s="1" t="str">
        <f t="shared" si="121"/>
        <v>Fb</v>
      </c>
      <c r="E1580" s="9" t="s">
        <v>1245</v>
      </c>
      <c r="F1580" s="9" t="s">
        <v>275</v>
      </c>
      <c r="G1580" s="9" t="s">
        <v>223</v>
      </c>
      <c r="H1580" s="9"/>
      <c r="I1580" s="1">
        <v>108000</v>
      </c>
      <c r="J1580" s="45">
        <v>1071578</v>
      </c>
      <c r="K1580" s="1" t="str">
        <f>TRIM(Cleaned_CRM_Data!H1580)</f>
        <v/>
      </c>
      <c r="L1580" t="str">
        <f>IFERROR(VLOOKUP(K1580, Status_Mapping!A:B, 2,), "Not Found")</f>
        <v>Not Found</v>
      </c>
      <c r="N1580" s="29" t="str">
        <f>IF(M1580="","",M1580-B1580)</f>
        <v/>
      </c>
      <c r="O1580" s="1" t="str">
        <f t="shared" si="123"/>
        <v>Starter</v>
      </c>
      <c r="P1580" t="str">
        <f>TEXT(B1580, "mmmm")</f>
        <v>April</v>
      </c>
      <c r="Q1580" t="str">
        <f t="shared" si="124"/>
        <v>Q2</v>
      </c>
      <c r="R1580" t="str">
        <f>IFERROR(VLOOKUP(TRIM(CLEAN(G1580)),Sheet14!$A$2:$B$19,2,FALSE),"Not Mapped")</f>
        <v>West</v>
      </c>
    </row>
    <row r="1581" spans="1:18">
      <c r="A1581" t="str">
        <f t="shared" si="122"/>
        <v>EOS1580</v>
      </c>
      <c r="B1581" s="40">
        <v>46126</v>
      </c>
      <c r="C1581" s="9" t="s">
        <v>1314</v>
      </c>
      <c r="D1581" s="1" t="str">
        <f t="shared" si="121"/>
        <v>Fb</v>
      </c>
      <c r="E1581" s="9" t="s">
        <v>2205</v>
      </c>
      <c r="F1581" s="9" t="s">
        <v>304</v>
      </c>
      <c r="G1581" s="9" t="s">
        <v>223</v>
      </c>
      <c r="H1581" s="9"/>
      <c r="I1581" s="1">
        <v>108000</v>
      </c>
      <c r="J1581" s="45">
        <v>1071579</v>
      </c>
      <c r="K1581" s="1" t="str">
        <f>TRIM(Cleaned_CRM_Data!H1581)</f>
        <v/>
      </c>
      <c r="L1581" t="str">
        <f>IFERROR(VLOOKUP(K1581, Status_Mapping!A:B, 2,), "Not Found")</f>
        <v>Not Found</v>
      </c>
      <c r="N1581" s="29" t="str">
        <f>IF(M1581="","",M1581-B1581)</f>
        <v/>
      </c>
      <c r="O1581" s="1" t="str">
        <f t="shared" si="123"/>
        <v>Starter</v>
      </c>
      <c r="P1581" t="str">
        <f>TEXT(B1581, "mmmm")</f>
        <v>April</v>
      </c>
      <c r="Q1581" t="str">
        <f t="shared" si="124"/>
        <v>Q2</v>
      </c>
      <c r="R1581" t="str">
        <f>IFERROR(VLOOKUP(TRIM(CLEAN(G1581)),Sheet14!$A$2:$B$19,2,FALSE),"Not Mapped")</f>
        <v>West</v>
      </c>
    </row>
    <row r="1582" spans="1:18">
      <c r="A1582" t="str">
        <f t="shared" si="122"/>
        <v>EOS1581</v>
      </c>
      <c r="B1582" s="40">
        <v>46127</v>
      </c>
      <c r="C1582" s="9" t="s">
        <v>1314</v>
      </c>
      <c r="D1582" s="1" t="str">
        <f t="shared" si="121"/>
        <v>Fb</v>
      </c>
      <c r="E1582" s="9" t="s">
        <v>2206</v>
      </c>
      <c r="F1582" s="9" t="s">
        <v>275</v>
      </c>
      <c r="G1582" s="9" t="s">
        <v>223</v>
      </c>
      <c r="H1582" s="9"/>
      <c r="I1582" s="1">
        <v>108000</v>
      </c>
      <c r="J1582" s="45">
        <v>1071580</v>
      </c>
      <c r="K1582" s="1" t="str">
        <f>TRIM(Cleaned_CRM_Data!H1582)</f>
        <v/>
      </c>
      <c r="L1582" t="str">
        <f>IFERROR(VLOOKUP(K1582, Status_Mapping!A:B, 2,), "Not Found")</f>
        <v>Not Found</v>
      </c>
      <c r="N1582" s="29" t="str">
        <f>IF(M1582="","",M1582-B1582)</f>
        <v/>
      </c>
      <c r="O1582" s="1" t="str">
        <f t="shared" si="123"/>
        <v>Starter</v>
      </c>
      <c r="P1582" t="str">
        <f>TEXT(B1582, "mmmm")</f>
        <v>April</v>
      </c>
      <c r="Q1582" t="str">
        <f t="shared" si="124"/>
        <v>Q2</v>
      </c>
      <c r="R1582" t="str">
        <f>IFERROR(VLOOKUP(TRIM(CLEAN(G1582)),Sheet14!$A$2:$B$19,2,FALSE),"Not Mapped")</f>
        <v>West</v>
      </c>
    </row>
    <row r="1583" spans="1:18">
      <c r="A1583" t="str">
        <f t="shared" si="122"/>
        <v>EOS1582</v>
      </c>
      <c r="B1583" s="40">
        <v>46127</v>
      </c>
      <c r="C1583" s="9" t="s">
        <v>1314</v>
      </c>
      <c r="D1583" s="1" t="str">
        <f t="shared" si="121"/>
        <v>Fb</v>
      </c>
      <c r="E1583" s="9" t="s">
        <v>2207</v>
      </c>
      <c r="F1583" s="9" t="s">
        <v>533</v>
      </c>
      <c r="G1583" s="9" t="s">
        <v>223</v>
      </c>
      <c r="H1583" s="9"/>
      <c r="I1583" s="1">
        <v>130000</v>
      </c>
      <c r="J1583" s="45">
        <v>1071581</v>
      </c>
      <c r="K1583" s="1" t="str">
        <f>TRIM(Cleaned_CRM_Data!H1583)</f>
        <v/>
      </c>
      <c r="L1583" t="str">
        <f>IFERROR(VLOOKUP(K1583, Status_Mapping!A:B, 2,), "Not Found")</f>
        <v>Not Found</v>
      </c>
      <c r="N1583" s="29" t="str">
        <f>IF(M1583="","",M1583-B1583)</f>
        <v/>
      </c>
      <c r="O1583" s="1" t="str">
        <f t="shared" si="123"/>
        <v>Starter</v>
      </c>
      <c r="P1583" t="str">
        <f>TEXT(B1583, "mmmm")</f>
        <v>April</v>
      </c>
      <c r="Q1583" t="str">
        <f t="shared" si="124"/>
        <v>Q2</v>
      </c>
      <c r="R1583" t="str">
        <f>IFERROR(VLOOKUP(TRIM(CLEAN(G1583)),Sheet14!$A$2:$B$19,2,FALSE),"Not Mapped")</f>
        <v>West</v>
      </c>
    </row>
    <row r="1584" spans="1:18">
      <c r="A1584" t="str">
        <f t="shared" si="122"/>
        <v>EOS1583</v>
      </c>
      <c r="B1584" s="40">
        <v>46127</v>
      </c>
      <c r="C1584" s="9" t="s">
        <v>1314</v>
      </c>
      <c r="D1584" s="1" t="str">
        <f t="shared" si="121"/>
        <v>Fb</v>
      </c>
      <c r="E1584" s="9" t="s">
        <v>2208</v>
      </c>
      <c r="F1584" s="9" t="s">
        <v>358</v>
      </c>
      <c r="G1584" s="9" t="s">
        <v>223</v>
      </c>
      <c r="H1584" s="9"/>
      <c r="I1584" s="1">
        <v>130000</v>
      </c>
      <c r="J1584" s="45">
        <v>1071582</v>
      </c>
      <c r="K1584" s="1" t="str">
        <f>TRIM(Cleaned_CRM_Data!H1584)</f>
        <v/>
      </c>
      <c r="L1584" t="str">
        <f>IFERROR(VLOOKUP(K1584, Status_Mapping!A:B, 2,), "Not Found")</f>
        <v>Not Found</v>
      </c>
      <c r="N1584" s="29" t="str">
        <f>IF(M1584="","",M1584-B1584)</f>
        <v/>
      </c>
      <c r="O1584" s="1" t="str">
        <f t="shared" si="123"/>
        <v>Starter</v>
      </c>
      <c r="P1584" t="str">
        <f>TEXT(B1584, "mmmm")</f>
        <v>April</v>
      </c>
      <c r="Q1584" t="str">
        <f t="shared" si="124"/>
        <v>Q2</v>
      </c>
      <c r="R1584" t="str">
        <f>IFERROR(VLOOKUP(TRIM(CLEAN(G1584)),Sheet14!$A$2:$B$19,2,FALSE),"Not Mapped")</f>
        <v>West</v>
      </c>
    </row>
    <row r="1585" spans="1:18">
      <c r="A1585" t="str">
        <f t="shared" si="122"/>
        <v>EOS1584</v>
      </c>
      <c r="B1585" s="40">
        <v>46127</v>
      </c>
      <c r="C1585" s="9" t="s">
        <v>1314</v>
      </c>
      <c r="D1585" s="1" t="str">
        <f t="shared" si="121"/>
        <v>Fb</v>
      </c>
      <c r="E1585" s="9" t="s">
        <v>2209</v>
      </c>
      <c r="F1585" s="9" t="s">
        <v>2210</v>
      </c>
      <c r="G1585" s="9" t="s">
        <v>223</v>
      </c>
      <c r="H1585" s="9"/>
      <c r="I1585" s="1">
        <v>130000</v>
      </c>
      <c r="J1585" s="45">
        <v>1071583</v>
      </c>
      <c r="K1585" s="1" t="str">
        <f>TRIM(Cleaned_CRM_Data!H1585)</f>
        <v/>
      </c>
      <c r="L1585" t="str">
        <f>IFERROR(VLOOKUP(K1585, Status_Mapping!A:B, 2,), "Not Found")</f>
        <v>Not Found</v>
      </c>
      <c r="N1585" s="29" t="str">
        <f>IF(M1585="","",M1585-B1585)</f>
        <v/>
      </c>
      <c r="O1585" s="1" t="str">
        <f t="shared" si="123"/>
        <v>Starter</v>
      </c>
      <c r="P1585" t="str">
        <f>TEXT(B1585, "mmmm")</f>
        <v>April</v>
      </c>
      <c r="Q1585" t="str">
        <f t="shared" si="124"/>
        <v>Q2</v>
      </c>
      <c r="R1585" t="str">
        <f>IFERROR(VLOOKUP(TRIM(CLEAN(G1585)),Sheet14!$A$2:$B$19,2,FALSE),"Not Mapped")</f>
        <v>West</v>
      </c>
    </row>
    <row r="1586" spans="1:18">
      <c r="A1586" t="str">
        <f t="shared" si="122"/>
        <v>EOS1585</v>
      </c>
      <c r="B1586" s="40">
        <v>46127</v>
      </c>
      <c r="C1586" s="9" t="s">
        <v>1314</v>
      </c>
      <c r="D1586" s="1" t="str">
        <f t="shared" si="121"/>
        <v>Fb</v>
      </c>
      <c r="E1586" s="9" t="s">
        <v>2211</v>
      </c>
      <c r="F1586" s="9" t="s">
        <v>1352</v>
      </c>
      <c r="G1586" s="9" t="s">
        <v>223</v>
      </c>
      <c r="H1586" s="9"/>
      <c r="I1586" s="1">
        <v>130000</v>
      </c>
      <c r="J1586" s="45">
        <v>1071584</v>
      </c>
      <c r="K1586" s="1" t="str">
        <f>TRIM(Cleaned_CRM_Data!H1586)</f>
        <v/>
      </c>
      <c r="L1586" t="str">
        <f>IFERROR(VLOOKUP(K1586, Status_Mapping!A:B, 2,), "Not Found")</f>
        <v>Not Found</v>
      </c>
      <c r="N1586" s="29" t="str">
        <f>IF(M1586="","",M1586-B1586)</f>
        <v/>
      </c>
      <c r="O1586" s="1" t="str">
        <f t="shared" si="123"/>
        <v>Starter</v>
      </c>
      <c r="P1586" t="str">
        <f>TEXT(B1586, "mmmm")</f>
        <v>April</v>
      </c>
      <c r="Q1586" t="str">
        <f t="shared" si="124"/>
        <v>Q2</v>
      </c>
      <c r="R1586" t="str">
        <f>IFERROR(VLOOKUP(TRIM(CLEAN(G1586)),Sheet14!$A$2:$B$19,2,FALSE),"Not Mapped")</f>
        <v>West</v>
      </c>
    </row>
    <row r="1587" spans="1:18">
      <c r="A1587" t="str">
        <f t="shared" si="122"/>
        <v>EOS1586</v>
      </c>
      <c r="B1587" s="40">
        <v>46127</v>
      </c>
      <c r="C1587" s="9" t="s">
        <v>1314</v>
      </c>
      <c r="D1587" s="1" t="str">
        <f t="shared" si="121"/>
        <v>Fb</v>
      </c>
      <c r="E1587" s="9" t="s">
        <v>1877</v>
      </c>
      <c r="F1587" s="9" t="s">
        <v>412</v>
      </c>
      <c r="G1587" s="9" t="s">
        <v>223</v>
      </c>
      <c r="H1587" s="9"/>
      <c r="I1587" s="1">
        <v>108000</v>
      </c>
      <c r="J1587" s="45">
        <v>1071585</v>
      </c>
      <c r="K1587" s="1" t="str">
        <f>TRIM(Cleaned_CRM_Data!H1587)</f>
        <v/>
      </c>
      <c r="L1587" t="str">
        <f>IFERROR(VLOOKUP(K1587, Status_Mapping!A:B, 2,), "Not Found")</f>
        <v>Not Found</v>
      </c>
      <c r="N1587" s="29" t="str">
        <f>IF(M1587="","",M1587-B1587)</f>
        <v/>
      </c>
      <c r="O1587" s="1" t="str">
        <f t="shared" si="123"/>
        <v>Starter</v>
      </c>
      <c r="P1587" t="str">
        <f>TEXT(B1587, "mmmm")</f>
        <v>April</v>
      </c>
      <c r="Q1587" t="str">
        <f t="shared" si="124"/>
        <v>Q2</v>
      </c>
      <c r="R1587" t="str">
        <f>IFERROR(VLOOKUP(TRIM(CLEAN(G1587)),Sheet14!$A$2:$B$19,2,FALSE),"Not Mapped")</f>
        <v>West</v>
      </c>
    </row>
    <row r="1588" spans="1:18">
      <c r="A1588" t="str">
        <f t="shared" si="122"/>
        <v>EOS1587</v>
      </c>
      <c r="B1588" s="40">
        <v>46127</v>
      </c>
      <c r="C1588" s="9" t="s">
        <v>1314</v>
      </c>
      <c r="D1588" s="1" t="str">
        <f t="shared" si="121"/>
        <v>Fb</v>
      </c>
      <c r="E1588" s="9" t="s">
        <v>2212</v>
      </c>
      <c r="F1588" s="9" t="s">
        <v>2213</v>
      </c>
      <c r="G1588" s="9" t="s">
        <v>223</v>
      </c>
      <c r="H1588" s="9"/>
      <c r="I1588" s="1">
        <v>130000</v>
      </c>
      <c r="J1588" s="45">
        <v>1071586</v>
      </c>
      <c r="K1588" s="1" t="str">
        <f>TRIM(Cleaned_CRM_Data!H1588)</f>
        <v/>
      </c>
      <c r="L1588" t="str">
        <f>IFERROR(VLOOKUP(K1588, Status_Mapping!A:B, 2,), "Not Found")</f>
        <v>Not Found</v>
      </c>
      <c r="N1588" s="29" t="str">
        <f>IF(M1588="","",M1588-B1588)</f>
        <v/>
      </c>
      <c r="O1588" s="1" t="str">
        <f t="shared" si="123"/>
        <v>Starter</v>
      </c>
      <c r="P1588" t="str">
        <f>TEXT(B1588, "mmmm")</f>
        <v>April</v>
      </c>
      <c r="Q1588" t="str">
        <f t="shared" si="124"/>
        <v>Q2</v>
      </c>
      <c r="R1588" t="str">
        <f>IFERROR(VLOOKUP(TRIM(CLEAN(G1588)),Sheet14!$A$2:$B$19,2,FALSE),"Not Mapped")</f>
        <v>West</v>
      </c>
    </row>
    <row r="1589" spans="1:18">
      <c r="A1589" t="str">
        <f t="shared" si="122"/>
        <v>EOS1588</v>
      </c>
      <c r="B1589" s="40">
        <v>46127</v>
      </c>
      <c r="C1589" s="9" t="s">
        <v>1314</v>
      </c>
      <c r="D1589" s="1" t="str">
        <f t="shared" ref="D1589:D1637" si="125">TRIM(CLEAN(SUBSTITUTE(C1589,CHAR(160),"")))</f>
        <v>Fb</v>
      </c>
      <c r="E1589" s="9" t="s">
        <v>2214</v>
      </c>
      <c r="F1589" s="9" t="s">
        <v>893</v>
      </c>
      <c r="G1589" s="9" t="s">
        <v>223</v>
      </c>
      <c r="H1589" s="9"/>
      <c r="I1589" s="1">
        <v>130000</v>
      </c>
      <c r="J1589" s="45">
        <v>1071587</v>
      </c>
      <c r="K1589" s="1" t="str">
        <f>TRIM(Cleaned_CRM_Data!H1589)</f>
        <v/>
      </c>
      <c r="L1589" t="str">
        <f>IFERROR(VLOOKUP(K1589, Status_Mapping!A:B, 2,), "Not Found")</f>
        <v>Not Found</v>
      </c>
      <c r="N1589" s="29" t="str">
        <f>IF(M1589="","",M1589-B1589)</f>
        <v/>
      </c>
      <c r="O1589" s="1" t="str">
        <f t="shared" si="123"/>
        <v>Starter</v>
      </c>
      <c r="P1589" t="str">
        <f>TEXT(B1589, "mmmm")</f>
        <v>April</v>
      </c>
      <c r="Q1589" t="str">
        <f t="shared" si="124"/>
        <v>Q2</v>
      </c>
      <c r="R1589" t="str">
        <f>IFERROR(VLOOKUP(TRIM(CLEAN(G1589)),Sheet14!$A$2:$B$19,2,FALSE),"Not Mapped")</f>
        <v>West</v>
      </c>
    </row>
    <row r="1590" spans="1:18">
      <c r="A1590" t="str">
        <f t="shared" si="122"/>
        <v>EOS1589</v>
      </c>
      <c r="B1590" s="40">
        <v>46128</v>
      </c>
      <c r="C1590" s="9" t="s">
        <v>1314</v>
      </c>
      <c r="D1590" s="1" t="str">
        <f t="shared" si="125"/>
        <v>Fb</v>
      </c>
      <c r="E1590" s="9" t="s">
        <v>2215</v>
      </c>
      <c r="F1590" s="9" t="s">
        <v>364</v>
      </c>
      <c r="G1590" s="9" t="s">
        <v>223</v>
      </c>
      <c r="H1590" s="9"/>
      <c r="I1590" s="1">
        <v>108000</v>
      </c>
      <c r="J1590" s="45">
        <v>1071588</v>
      </c>
      <c r="K1590" s="1" t="str">
        <f>TRIM(Cleaned_CRM_Data!H1590)</f>
        <v/>
      </c>
      <c r="L1590" t="str">
        <f>IFERROR(VLOOKUP(K1590, Status_Mapping!A:B, 2,), "Not Found")</f>
        <v>Not Found</v>
      </c>
      <c r="N1590" s="29" t="str">
        <f>IF(M1590="","",M1590-B1590)</f>
        <v/>
      </c>
      <c r="O1590" s="1" t="str">
        <f t="shared" si="123"/>
        <v>Starter</v>
      </c>
      <c r="P1590" t="str">
        <f>TEXT(B1590, "mmmm")</f>
        <v>April</v>
      </c>
      <c r="Q1590" t="str">
        <f t="shared" si="124"/>
        <v>Q2</v>
      </c>
      <c r="R1590" t="str">
        <f>IFERROR(VLOOKUP(TRIM(CLEAN(G1590)),Sheet14!$A$2:$B$19,2,FALSE),"Not Mapped")</f>
        <v>West</v>
      </c>
    </row>
    <row r="1591" spans="1:18">
      <c r="A1591" t="str">
        <f t="shared" si="122"/>
        <v>EOS1590</v>
      </c>
      <c r="B1591" s="40">
        <v>46128</v>
      </c>
      <c r="C1591" s="9" t="s">
        <v>1314</v>
      </c>
      <c r="D1591" s="1" t="str">
        <f t="shared" si="125"/>
        <v>Fb</v>
      </c>
      <c r="E1591" s="9" t="s">
        <v>2216</v>
      </c>
      <c r="F1591" s="9" t="s">
        <v>413</v>
      </c>
      <c r="G1591" s="9" t="s">
        <v>223</v>
      </c>
      <c r="H1591" s="9"/>
      <c r="I1591" s="1">
        <v>130000</v>
      </c>
      <c r="J1591" s="45">
        <v>1071589</v>
      </c>
      <c r="K1591" s="1" t="str">
        <f>TRIM(Cleaned_CRM_Data!H1591)</f>
        <v/>
      </c>
      <c r="L1591" t="str">
        <f>IFERROR(VLOOKUP(K1591, Status_Mapping!A:B, 2,), "Not Found")</f>
        <v>Not Found</v>
      </c>
      <c r="N1591" s="29" t="str">
        <f>IF(M1591="","",M1591-B1591)</f>
        <v/>
      </c>
      <c r="O1591" s="1" t="str">
        <f t="shared" si="123"/>
        <v>Starter</v>
      </c>
      <c r="P1591" t="str">
        <f>TEXT(B1591, "mmmm")</f>
        <v>April</v>
      </c>
      <c r="Q1591" t="str">
        <f t="shared" si="124"/>
        <v>Q2</v>
      </c>
      <c r="R1591" t="str">
        <f>IFERROR(VLOOKUP(TRIM(CLEAN(G1591)),Sheet14!$A$2:$B$19,2,FALSE),"Not Mapped")</f>
        <v>West</v>
      </c>
    </row>
    <row r="1592" spans="1:18">
      <c r="A1592" t="str">
        <f t="shared" si="122"/>
        <v>EOS1591</v>
      </c>
      <c r="B1592" s="40">
        <v>46128</v>
      </c>
      <c r="C1592" s="9" t="s">
        <v>1314</v>
      </c>
      <c r="D1592" s="1" t="str">
        <f t="shared" si="125"/>
        <v>Fb</v>
      </c>
      <c r="E1592" s="9" t="s">
        <v>2217</v>
      </c>
      <c r="F1592" s="9" t="s">
        <v>722</v>
      </c>
      <c r="G1592" s="9" t="s">
        <v>223</v>
      </c>
      <c r="H1592" s="9"/>
      <c r="I1592" s="1">
        <v>108000</v>
      </c>
      <c r="J1592" s="45">
        <v>1071590</v>
      </c>
      <c r="K1592" s="1" t="str">
        <f>TRIM(Cleaned_CRM_Data!H1592)</f>
        <v/>
      </c>
      <c r="L1592" t="str">
        <f>IFERROR(VLOOKUP(K1592, Status_Mapping!A:B, 2,), "Not Found")</f>
        <v>Not Found</v>
      </c>
      <c r="N1592" s="29" t="str">
        <f>IF(M1592="","",M1592-B1592)</f>
        <v/>
      </c>
      <c r="O1592" s="1" t="str">
        <f t="shared" si="123"/>
        <v>Starter</v>
      </c>
      <c r="P1592" t="str">
        <f>TEXT(B1592, "mmmm")</f>
        <v>April</v>
      </c>
      <c r="Q1592" t="str">
        <f t="shared" si="124"/>
        <v>Q2</v>
      </c>
      <c r="R1592" t="str">
        <f>IFERROR(VLOOKUP(TRIM(CLEAN(G1592)),Sheet14!$A$2:$B$19,2,FALSE),"Not Mapped")</f>
        <v>West</v>
      </c>
    </row>
    <row r="1593" spans="1:18">
      <c r="A1593" t="str">
        <f t="shared" si="122"/>
        <v>EOS1592</v>
      </c>
      <c r="B1593" s="40">
        <v>46130</v>
      </c>
      <c r="C1593" s="9" t="s">
        <v>1314</v>
      </c>
      <c r="D1593" s="1" t="str">
        <f t="shared" si="125"/>
        <v>Fb</v>
      </c>
      <c r="E1593" s="9" t="s">
        <v>2218</v>
      </c>
      <c r="F1593" s="9" t="s">
        <v>275</v>
      </c>
      <c r="G1593" s="9" t="s">
        <v>223</v>
      </c>
      <c r="H1593" s="9"/>
      <c r="I1593" s="1">
        <v>108000</v>
      </c>
      <c r="J1593" s="45">
        <v>1071591</v>
      </c>
      <c r="K1593" s="1" t="str">
        <f>TRIM(Cleaned_CRM_Data!H1593)</f>
        <v/>
      </c>
      <c r="L1593" t="str">
        <f>IFERROR(VLOOKUP(K1593, Status_Mapping!A:B, 2,), "Not Found")</f>
        <v>Not Found</v>
      </c>
      <c r="N1593" s="29" t="str">
        <f>IF(M1593="","",M1593-B1593)</f>
        <v/>
      </c>
      <c r="O1593" s="1" t="str">
        <f t="shared" si="123"/>
        <v>Starter</v>
      </c>
      <c r="P1593" t="str">
        <f>TEXT(B1593, "mmmm")</f>
        <v>April</v>
      </c>
      <c r="Q1593" t="str">
        <f t="shared" si="124"/>
        <v>Q2</v>
      </c>
      <c r="R1593" t="str">
        <f>IFERROR(VLOOKUP(TRIM(CLEAN(G1593)),Sheet14!$A$2:$B$19,2,FALSE),"Not Mapped")</f>
        <v>West</v>
      </c>
    </row>
    <row r="1594" spans="1:18">
      <c r="A1594" t="str">
        <f t="shared" si="122"/>
        <v>EOS1593</v>
      </c>
      <c r="B1594" s="40">
        <v>46130</v>
      </c>
      <c r="C1594" s="9" t="s">
        <v>1314</v>
      </c>
      <c r="D1594" s="1" t="str">
        <f t="shared" si="125"/>
        <v>Fb</v>
      </c>
      <c r="E1594" s="9" t="s">
        <v>1726</v>
      </c>
      <c r="F1594" s="9" t="s">
        <v>275</v>
      </c>
      <c r="G1594" s="9" t="s">
        <v>223</v>
      </c>
      <c r="H1594" s="9"/>
      <c r="I1594" s="1">
        <v>108000</v>
      </c>
      <c r="J1594" s="45">
        <v>1071592</v>
      </c>
      <c r="K1594" s="1" t="str">
        <f>TRIM(Cleaned_CRM_Data!H1594)</f>
        <v/>
      </c>
      <c r="L1594" t="str">
        <f>IFERROR(VLOOKUP(K1594, Status_Mapping!A:B, 2,), "Not Found")</f>
        <v>Not Found</v>
      </c>
      <c r="N1594" s="29" t="str">
        <f>IF(M1594="","",M1594-B1594)</f>
        <v/>
      </c>
      <c r="O1594" s="1" t="str">
        <f t="shared" si="123"/>
        <v>Starter</v>
      </c>
      <c r="P1594" t="str">
        <f>TEXT(B1594, "mmmm")</f>
        <v>April</v>
      </c>
      <c r="Q1594" t="str">
        <f t="shared" si="124"/>
        <v>Q2</v>
      </c>
      <c r="R1594" t="str">
        <f>IFERROR(VLOOKUP(TRIM(CLEAN(G1594)),Sheet14!$A$2:$B$19,2,FALSE),"Not Mapped")</f>
        <v>West</v>
      </c>
    </row>
    <row r="1595" spans="1:18">
      <c r="A1595" t="str">
        <f t="shared" si="122"/>
        <v>EOS1594</v>
      </c>
      <c r="B1595" s="40">
        <v>46130</v>
      </c>
      <c r="C1595" s="9" t="s">
        <v>1314</v>
      </c>
      <c r="D1595" s="1" t="str">
        <f t="shared" si="125"/>
        <v>Fb</v>
      </c>
      <c r="E1595" s="9" t="s">
        <v>2219</v>
      </c>
      <c r="F1595" s="9" t="s">
        <v>304</v>
      </c>
      <c r="G1595" s="9" t="s">
        <v>223</v>
      </c>
      <c r="H1595" s="9"/>
      <c r="I1595" s="1">
        <v>130000</v>
      </c>
      <c r="J1595" s="45">
        <v>1071593</v>
      </c>
      <c r="K1595" s="1" t="str">
        <f>TRIM(Cleaned_CRM_Data!H1595)</f>
        <v/>
      </c>
      <c r="L1595" t="str">
        <f>IFERROR(VLOOKUP(K1595, Status_Mapping!A:B, 2,), "Not Found")</f>
        <v>Not Found</v>
      </c>
      <c r="N1595" s="29" t="str">
        <f>IF(M1595="","",M1595-B1595)</f>
        <v/>
      </c>
      <c r="O1595" s="1" t="str">
        <f t="shared" si="123"/>
        <v>Starter</v>
      </c>
      <c r="P1595" t="str">
        <f>TEXT(B1595, "mmmm")</f>
        <v>April</v>
      </c>
      <c r="Q1595" t="str">
        <f t="shared" si="124"/>
        <v>Q2</v>
      </c>
      <c r="R1595" t="str">
        <f>IFERROR(VLOOKUP(TRIM(CLEAN(G1595)),Sheet14!$A$2:$B$19,2,FALSE),"Not Mapped")</f>
        <v>West</v>
      </c>
    </row>
    <row r="1596" spans="1:18">
      <c r="A1596" t="str">
        <f t="shared" si="122"/>
        <v>EOS1595</v>
      </c>
      <c r="B1596" s="40">
        <v>46130</v>
      </c>
      <c r="C1596" s="9" t="s">
        <v>1314</v>
      </c>
      <c r="D1596" s="1" t="str">
        <f t="shared" si="125"/>
        <v>Fb</v>
      </c>
      <c r="E1596" s="9" t="s">
        <v>2220</v>
      </c>
      <c r="F1596" s="9" t="s">
        <v>2221</v>
      </c>
      <c r="G1596" s="9" t="s">
        <v>223</v>
      </c>
      <c r="H1596" s="9"/>
      <c r="I1596" s="1">
        <v>130000</v>
      </c>
      <c r="J1596" s="45">
        <v>1071594</v>
      </c>
      <c r="K1596" s="1" t="str">
        <f>TRIM(Cleaned_CRM_Data!H1596)</f>
        <v/>
      </c>
      <c r="L1596" t="str">
        <f>IFERROR(VLOOKUP(K1596, Status_Mapping!A:B, 2,), "Not Found")</f>
        <v>Not Found</v>
      </c>
      <c r="N1596" s="29" t="str">
        <f>IF(M1596="","",M1596-B1596)</f>
        <v/>
      </c>
      <c r="O1596" s="1" t="str">
        <f t="shared" si="123"/>
        <v>Starter</v>
      </c>
      <c r="P1596" t="str">
        <f>TEXT(B1596, "mmmm")</f>
        <v>April</v>
      </c>
      <c r="Q1596" t="str">
        <f t="shared" si="124"/>
        <v>Q2</v>
      </c>
      <c r="R1596" t="str">
        <f>IFERROR(VLOOKUP(TRIM(CLEAN(G1596)),Sheet14!$A$2:$B$19,2,FALSE),"Not Mapped")</f>
        <v>West</v>
      </c>
    </row>
    <row r="1597" spans="1:18">
      <c r="A1597" t="str">
        <f t="shared" si="122"/>
        <v>EOS1596</v>
      </c>
      <c r="B1597" s="40">
        <v>46130</v>
      </c>
      <c r="C1597" s="9" t="s">
        <v>1314</v>
      </c>
      <c r="D1597" s="1" t="str">
        <f t="shared" si="125"/>
        <v>Fb</v>
      </c>
      <c r="E1597" s="9" t="s">
        <v>2222</v>
      </c>
      <c r="F1597" s="9" t="s">
        <v>1979</v>
      </c>
      <c r="G1597" s="9" t="s">
        <v>223</v>
      </c>
      <c r="H1597" s="9"/>
      <c r="I1597" s="1">
        <v>130000</v>
      </c>
      <c r="J1597" s="45">
        <v>1071595</v>
      </c>
      <c r="K1597" s="1" t="str">
        <f>TRIM(Cleaned_CRM_Data!H1597)</f>
        <v/>
      </c>
      <c r="L1597" t="str">
        <f>IFERROR(VLOOKUP(K1597, Status_Mapping!A:B, 2,), "Not Found")</f>
        <v>Not Found</v>
      </c>
      <c r="N1597" s="29" t="str">
        <f>IF(M1597="","",M1597-B1597)</f>
        <v/>
      </c>
      <c r="O1597" s="1" t="str">
        <f t="shared" si="123"/>
        <v>Starter</v>
      </c>
      <c r="P1597" t="str">
        <f>TEXT(B1597, "mmmm")</f>
        <v>April</v>
      </c>
      <c r="Q1597" t="str">
        <f t="shared" si="124"/>
        <v>Q2</v>
      </c>
      <c r="R1597" t="str">
        <f>IFERROR(VLOOKUP(TRIM(CLEAN(G1597)),Sheet14!$A$2:$B$19,2,FALSE),"Not Mapped")</f>
        <v>West</v>
      </c>
    </row>
    <row r="1598" spans="1:18">
      <c r="A1598" t="str">
        <f t="shared" si="122"/>
        <v>EOS1597</v>
      </c>
      <c r="B1598" s="40">
        <v>46132</v>
      </c>
      <c r="C1598" s="9" t="s">
        <v>1314</v>
      </c>
      <c r="D1598" s="1" t="str">
        <f t="shared" si="125"/>
        <v>Fb</v>
      </c>
      <c r="E1598" s="9" t="s">
        <v>2223</v>
      </c>
      <c r="F1598" s="9" t="s">
        <v>300</v>
      </c>
      <c r="G1598" s="9" t="s">
        <v>223</v>
      </c>
      <c r="H1598" s="9"/>
      <c r="I1598" s="1">
        <v>108000</v>
      </c>
      <c r="J1598" s="45">
        <v>1071596</v>
      </c>
      <c r="K1598" s="1" t="str">
        <f>TRIM(Cleaned_CRM_Data!H1598)</f>
        <v/>
      </c>
      <c r="L1598" t="str">
        <f>IFERROR(VLOOKUP(K1598, Status_Mapping!A:B, 2,), "Not Found")</f>
        <v>Not Found</v>
      </c>
      <c r="N1598" s="29" t="str">
        <f>IF(M1598="","",M1598-B1598)</f>
        <v/>
      </c>
      <c r="O1598" s="1" t="str">
        <f t="shared" si="123"/>
        <v>Starter</v>
      </c>
      <c r="P1598" t="str">
        <f>TEXT(B1598, "mmmm")</f>
        <v>April</v>
      </c>
      <c r="Q1598" t="str">
        <f t="shared" si="124"/>
        <v>Q2</v>
      </c>
      <c r="R1598" t="str">
        <f>IFERROR(VLOOKUP(TRIM(CLEAN(G1598)),Sheet14!$A$2:$B$19,2,FALSE),"Not Mapped")</f>
        <v>West</v>
      </c>
    </row>
    <row r="1599" spans="1:18">
      <c r="A1599" t="str">
        <f t="shared" si="122"/>
        <v>EOS1598</v>
      </c>
      <c r="B1599" s="40">
        <v>46132</v>
      </c>
      <c r="C1599" s="9" t="s">
        <v>1314</v>
      </c>
      <c r="D1599" s="1" t="str">
        <f t="shared" si="125"/>
        <v>Fb</v>
      </c>
      <c r="E1599" s="9" t="s">
        <v>2224</v>
      </c>
      <c r="F1599" s="9" t="s">
        <v>2225</v>
      </c>
      <c r="G1599" s="9" t="s">
        <v>223</v>
      </c>
      <c r="H1599" s="9"/>
      <c r="I1599" s="1">
        <v>130000</v>
      </c>
      <c r="J1599" s="45">
        <v>1071597</v>
      </c>
      <c r="K1599" s="1" t="str">
        <f>TRIM(Cleaned_CRM_Data!H1599)</f>
        <v/>
      </c>
      <c r="L1599" t="str">
        <f>IFERROR(VLOOKUP(K1599, Status_Mapping!A:B, 2,), "Not Found")</f>
        <v>Not Found</v>
      </c>
      <c r="N1599" s="29" t="str">
        <f>IF(M1599="","",M1599-B1599)</f>
        <v/>
      </c>
      <c r="O1599" s="1" t="str">
        <f t="shared" si="123"/>
        <v>Starter</v>
      </c>
      <c r="P1599" t="str">
        <f>TEXT(B1599, "mmmm")</f>
        <v>April</v>
      </c>
      <c r="Q1599" t="str">
        <f t="shared" si="124"/>
        <v>Q2</v>
      </c>
      <c r="R1599" t="str">
        <f>IFERROR(VLOOKUP(TRIM(CLEAN(G1599)),Sheet14!$A$2:$B$19,2,FALSE),"Not Mapped")</f>
        <v>West</v>
      </c>
    </row>
    <row r="1600" spans="1:18">
      <c r="A1600" t="str">
        <f t="shared" si="122"/>
        <v>EOS1599</v>
      </c>
      <c r="B1600" s="40">
        <v>46132</v>
      </c>
      <c r="C1600" s="9" t="s">
        <v>1314</v>
      </c>
      <c r="D1600" s="1" t="str">
        <f t="shared" si="125"/>
        <v>Fb</v>
      </c>
      <c r="E1600" s="9" t="s">
        <v>2226</v>
      </c>
      <c r="F1600" s="9" t="s">
        <v>2227</v>
      </c>
      <c r="G1600" s="9" t="s">
        <v>223</v>
      </c>
      <c r="H1600" s="9"/>
      <c r="I1600" s="1">
        <v>108000</v>
      </c>
      <c r="J1600" s="45">
        <v>1071598</v>
      </c>
      <c r="K1600" s="1" t="str">
        <f>TRIM(Cleaned_CRM_Data!H1600)</f>
        <v/>
      </c>
      <c r="L1600" t="str">
        <f>IFERROR(VLOOKUP(K1600, Status_Mapping!A:B, 2,), "Not Found")</f>
        <v>Not Found</v>
      </c>
      <c r="N1600" s="29" t="str">
        <f>IF(M1600="","",M1600-B1600)</f>
        <v/>
      </c>
      <c r="O1600" s="1" t="str">
        <f t="shared" si="123"/>
        <v>Starter</v>
      </c>
      <c r="P1600" t="str">
        <f>TEXT(B1600, "mmmm")</f>
        <v>April</v>
      </c>
      <c r="Q1600" t="str">
        <f t="shared" si="124"/>
        <v>Q2</v>
      </c>
      <c r="R1600" t="str">
        <f>IFERROR(VLOOKUP(TRIM(CLEAN(G1600)),Sheet14!$A$2:$B$19,2,FALSE),"Not Mapped")</f>
        <v>West</v>
      </c>
    </row>
    <row r="1601" spans="1:18">
      <c r="A1601" t="str">
        <f t="shared" si="122"/>
        <v>EOS1600</v>
      </c>
      <c r="B1601" s="40">
        <v>46132</v>
      </c>
      <c r="C1601" s="9" t="s">
        <v>1314</v>
      </c>
      <c r="D1601" s="1" t="str">
        <f t="shared" si="125"/>
        <v>Fb</v>
      </c>
      <c r="E1601" s="9" t="s">
        <v>2228</v>
      </c>
      <c r="F1601" s="9" t="s">
        <v>358</v>
      </c>
      <c r="G1601" s="9" t="s">
        <v>223</v>
      </c>
      <c r="H1601" s="9"/>
      <c r="I1601" s="1">
        <v>108000</v>
      </c>
      <c r="J1601" s="45">
        <v>1071599</v>
      </c>
      <c r="K1601" s="1" t="str">
        <f>TRIM(Cleaned_CRM_Data!H1601)</f>
        <v/>
      </c>
      <c r="L1601" t="str">
        <f>IFERROR(VLOOKUP(K1601, Status_Mapping!A:B, 2,), "Not Found")</f>
        <v>Not Found</v>
      </c>
      <c r="N1601" s="29" t="str">
        <f>IF(M1601="","",M1601-B1601)</f>
        <v/>
      </c>
      <c r="O1601" s="1" t="str">
        <f t="shared" si="123"/>
        <v>Starter</v>
      </c>
      <c r="P1601" t="str">
        <f>TEXT(B1601, "mmmm")</f>
        <v>April</v>
      </c>
      <c r="Q1601" t="str">
        <f t="shared" si="124"/>
        <v>Q2</v>
      </c>
      <c r="R1601" t="str">
        <f>IFERROR(VLOOKUP(TRIM(CLEAN(G1601)),Sheet14!$A$2:$B$19,2,FALSE),"Not Mapped")</f>
        <v>West</v>
      </c>
    </row>
    <row r="1602" spans="1:18">
      <c r="A1602" t="str">
        <f t="shared" si="122"/>
        <v>EOS1601</v>
      </c>
      <c r="B1602" s="40">
        <v>46132</v>
      </c>
      <c r="C1602" s="9" t="s">
        <v>1314</v>
      </c>
      <c r="D1602" s="1" t="str">
        <f t="shared" si="125"/>
        <v>Fb</v>
      </c>
      <c r="E1602" s="9" t="s">
        <v>2021</v>
      </c>
      <c r="F1602" s="9" t="s">
        <v>326</v>
      </c>
      <c r="G1602" s="9" t="s">
        <v>223</v>
      </c>
      <c r="H1602" s="9"/>
      <c r="I1602" s="1">
        <v>130000</v>
      </c>
      <c r="J1602" s="45">
        <v>1071600</v>
      </c>
      <c r="K1602" s="1" t="str">
        <f>TRIM(Cleaned_CRM_Data!H1602)</f>
        <v/>
      </c>
      <c r="L1602" t="str">
        <f>IFERROR(VLOOKUP(K1602, Status_Mapping!A:B, 2,), "Not Found")</f>
        <v>Not Found</v>
      </c>
      <c r="N1602" s="29" t="str">
        <f>IF(M1602="","",M1602-B1602)</f>
        <v/>
      </c>
      <c r="O1602" s="1" t="str">
        <f t="shared" si="123"/>
        <v>Starter</v>
      </c>
      <c r="P1602" t="str">
        <f>TEXT(B1602, "mmmm")</f>
        <v>April</v>
      </c>
      <c r="Q1602" t="str">
        <f t="shared" si="124"/>
        <v>Q2</v>
      </c>
      <c r="R1602" t="str">
        <f>IFERROR(VLOOKUP(TRIM(CLEAN(G1602)),Sheet14!$A$2:$B$19,2,FALSE),"Not Mapped")</f>
        <v>West</v>
      </c>
    </row>
    <row r="1603" spans="1:18">
      <c r="A1603" t="str">
        <f t="shared" ref="A1603:A1666" si="126">"EOS"&amp;TEXT(ROW()-1,"0000")</f>
        <v>EOS1602</v>
      </c>
      <c r="B1603" s="40">
        <v>46132</v>
      </c>
      <c r="C1603" s="9" t="s">
        <v>1314</v>
      </c>
      <c r="D1603" s="1" t="str">
        <f t="shared" si="125"/>
        <v>Fb</v>
      </c>
      <c r="E1603" s="9" t="s">
        <v>2229</v>
      </c>
      <c r="F1603" s="9" t="s">
        <v>275</v>
      </c>
      <c r="G1603" s="9" t="s">
        <v>223</v>
      </c>
      <c r="H1603" s="9"/>
      <c r="I1603" s="1">
        <v>108000</v>
      </c>
      <c r="J1603" s="45">
        <v>1071601</v>
      </c>
      <c r="K1603" s="1" t="str">
        <f>TRIM(Cleaned_CRM_Data!H1603)</f>
        <v/>
      </c>
      <c r="L1603" t="str">
        <f>IFERROR(VLOOKUP(K1603, Status_Mapping!A:B, 2,), "Not Found")</f>
        <v>Not Found</v>
      </c>
      <c r="N1603" s="29" t="str">
        <f>IF(M1603="","",M1603-B1603)</f>
        <v/>
      </c>
      <c r="O1603" s="1" t="str">
        <f t="shared" ref="O1603:O1666" si="127">IF(OR(I1603=108000,I1603=130000),"Starter",IF(I1603=177000,"Growth","Premium"))</f>
        <v>Starter</v>
      </c>
      <c r="P1603" t="str">
        <f>TEXT(B1603, "mmmm")</f>
        <v>April</v>
      </c>
      <c r="Q1603" t="str">
        <f t="shared" ref="Q1603:Q1666" si="128">"Q"&amp;ROUNDUP(MONTH(B1603)/3,0)</f>
        <v>Q2</v>
      </c>
      <c r="R1603" t="str">
        <f>IFERROR(VLOOKUP(TRIM(CLEAN(G1603)),Sheet14!$A$2:$B$19,2,FALSE),"Not Mapped")</f>
        <v>West</v>
      </c>
    </row>
    <row r="1604" spans="1:18">
      <c r="A1604" t="str">
        <f t="shared" si="126"/>
        <v>EOS1603</v>
      </c>
      <c r="B1604" s="40">
        <v>46132</v>
      </c>
      <c r="C1604" s="9" t="s">
        <v>1314</v>
      </c>
      <c r="D1604" s="1" t="str">
        <f t="shared" si="125"/>
        <v>Fb</v>
      </c>
      <c r="E1604" s="9" t="s">
        <v>2230</v>
      </c>
      <c r="F1604" s="9" t="s">
        <v>328</v>
      </c>
      <c r="G1604" s="9" t="s">
        <v>223</v>
      </c>
      <c r="H1604" s="9"/>
      <c r="I1604" s="1">
        <v>108000</v>
      </c>
      <c r="J1604" s="45">
        <v>1071602</v>
      </c>
      <c r="K1604" s="1" t="str">
        <f>TRIM(Cleaned_CRM_Data!H1604)</f>
        <v/>
      </c>
      <c r="L1604" t="str">
        <f>IFERROR(VLOOKUP(K1604, Status_Mapping!A:B, 2,), "Not Found")</f>
        <v>Not Found</v>
      </c>
      <c r="N1604" s="29" t="str">
        <f>IF(M1604="","",M1604-B1604)</f>
        <v/>
      </c>
      <c r="O1604" s="1" t="str">
        <f t="shared" si="127"/>
        <v>Starter</v>
      </c>
      <c r="P1604" t="str">
        <f>TEXT(B1604, "mmmm")</f>
        <v>April</v>
      </c>
      <c r="Q1604" t="str">
        <f t="shared" si="128"/>
        <v>Q2</v>
      </c>
      <c r="R1604" t="str">
        <f>IFERROR(VLOOKUP(TRIM(CLEAN(G1604)),Sheet14!$A$2:$B$19,2,FALSE),"Not Mapped")</f>
        <v>West</v>
      </c>
    </row>
    <row r="1605" spans="1:18">
      <c r="A1605" t="str">
        <f t="shared" si="126"/>
        <v>EOS1604</v>
      </c>
      <c r="B1605" s="40">
        <v>46132</v>
      </c>
      <c r="C1605" s="9" t="s">
        <v>1314</v>
      </c>
      <c r="D1605" s="1" t="str">
        <f t="shared" si="125"/>
        <v>Fb</v>
      </c>
      <c r="E1605" s="9" t="s">
        <v>2231</v>
      </c>
      <c r="F1605" s="9" t="s">
        <v>661</v>
      </c>
      <c r="G1605" s="9" t="s">
        <v>223</v>
      </c>
      <c r="H1605" s="9"/>
      <c r="I1605" s="1">
        <v>130000</v>
      </c>
      <c r="J1605" s="45">
        <v>1071603</v>
      </c>
      <c r="K1605" s="1" t="str">
        <f>TRIM(Cleaned_CRM_Data!H1605)</f>
        <v/>
      </c>
      <c r="L1605" t="str">
        <f>IFERROR(VLOOKUP(K1605, Status_Mapping!A:B, 2,), "Not Found")</f>
        <v>Not Found</v>
      </c>
      <c r="N1605" s="29" t="str">
        <f>IF(M1605="","",M1605-B1605)</f>
        <v/>
      </c>
      <c r="O1605" s="1" t="str">
        <f t="shared" si="127"/>
        <v>Starter</v>
      </c>
      <c r="P1605" t="str">
        <f>TEXT(B1605, "mmmm")</f>
        <v>April</v>
      </c>
      <c r="Q1605" t="str">
        <f t="shared" si="128"/>
        <v>Q2</v>
      </c>
      <c r="R1605" t="str">
        <f>IFERROR(VLOOKUP(TRIM(CLEAN(G1605)),Sheet14!$A$2:$B$19,2,FALSE),"Not Mapped")</f>
        <v>West</v>
      </c>
    </row>
    <row r="1606" spans="1:18">
      <c r="A1606" t="str">
        <f t="shared" si="126"/>
        <v>EOS1605</v>
      </c>
      <c r="B1606" s="40">
        <v>46132</v>
      </c>
      <c r="C1606" s="9" t="s">
        <v>1314</v>
      </c>
      <c r="D1606" s="1" t="str">
        <f t="shared" si="125"/>
        <v>Fb</v>
      </c>
      <c r="E1606" s="9" t="s">
        <v>2232</v>
      </c>
      <c r="F1606" s="9" t="s">
        <v>1949</v>
      </c>
      <c r="G1606" s="9" t="s">
        <v>223</v>
      </c>
      <c r="H1606" s="9"/>
      <c r="I1606" s="1">
        <v>130000</v>
      </c>
      <c r="J1606" s="45">
        <v>1071604</v>
      </c>
      <c r="K1606" s="1" t="str">
        <f>TRIM(Cleaned_CRM_Data!H1606)</f>
        <v/>
      </c>
      <c r="L1606" t="str">
        <f>IFERROR(VLOOKUP(K1606, Status_Mapping!A:B, 2,), "Not Found")</f>
        <v>Not Found</v>
      </c>
      <c r="N1606" s="29" t="str">
        <f>IF(M1606="","",M1606-B1606)</f>
        <v/>
      </c>
      <c r="O1606" s="1" t="str">
        <f t="shared" si="127"/>
        <v>Starter</v>
      </c>
      <c r="P1606" t="str">
        <f>TEXT(B1606, "mmmm")</f>
        <v>April</v>
      </c>
      <c r="Q1606" t="str">
        <f t="shared" si="128"/>
        <v>Q2</v>
      </c>
      <c r="R1606" t="str">
        <f>IFERROR(VLOOKUP(TRIM(CLEAN(G1606)),Sheet14!$A$2:$B$19,2,FALSE),"Not Mapped")</f>
        <v>West</v>
      </c>
    </row>
    <row r="1607" spans="1:18">
      <c r="A1607" t="str">
        <f t="shared" si="126"/>
        <v>EOS1606</v>
      </c>
      <c r="B1607" s="40">
        <v>46133</v>
      </c>
      <c r="C1607" s="9" t="s">
        <v>1314</v>
      </c>
      <c r="D1607" s="1" t="str">
        <f t="shared" si="125"/>
        <v>Fb</v>
      </c>
      <c r="E1607" s="9" t="s">
        <v>2233</v>
      </c>
      <c r="F1607" s="9" t="s">
        <v>2234</v>
      </c>
      <c r="G1607" s="9" t="s">
        <v>223</v>
      </c>
      <c r="H1607" s="9"/>
      <c r="I1607" s="1">
        <v>108000</v>
      </c>
      <c r="J1607" s="45">
        <v>1071605</v>
      </c>
      <c r="K1607" s="1" t="str">
        <f>TRIM(Cleaned_CRM_Data!H1607)</f>
        <v/>
      </c>
      <c r="L1607" t="str">
        <f>IFERROR(VLOOKUP(K1607, Status_Mapping!A:B, 2,), "Not Found")</f>
        <v>Not Found</v>
      </c>
      <c r="N1607" s="29" t="str">
        <f>IF(M1607="","",M1607-B1607)</f>
        <v/>
      </c>
      <c r="O1607" s="1" t="str">
        <f t="shared" si="127"/>
        <v>Starter</v>
      </c>
      <c r="P1607" t="str">
        <f>TEXT(B1607, "mmmm")</f>
        <v>April</v>
      </c>
      <c r="Q1607" t="str">
        <f t="shared" si="128"/>
        <v>Q2</v>
      </c>
      <c r="R1607" t="str">
        <f>IFERROR(VLOOKUP(TRIM(CLEAN(G1607)),Sheet14!$A$2:$B$19,2,FALSE),"Not Mapped")</f>
        <v>West</v>
      </c>
    </row>
    <row r="1608" spans="1:18">
      <c r="A1608" t="str">
        <f t="shared" si="126"/>
        <v>EOS1607</v>
      </c>
      <c r="B1608" s="40">
        <v>46133</v>
      </c>
      <c r="C1608" s="9" t="s">
        <v>1314</v>
      </c>
      <c r="D1608" s="1" t="str">
        <f t="shared" si="125"/>
        <v>Fb</v>
      </c>
      <c r="E1608" s="9" t="s">
        <v>2235</v>
      </c>
      <c r="F1608" s="9" t="s">
        <v>2236</v>
      </c>
      <c r="G1608" s="9" t="s">
        <v>228</v>
      </c>
      <c r="H1608" s="9"/>
      <c r="I1608" s="1">
        <v>108000</v>
      </c>
      <c r="J1608" s="45">
        <v>1071606</v>
      </c>
      <c r="K1608" s="1" t="str">
        <f>TRIM(Cleaned_CRM_Data!H1608)</f>
        <v/>
      </c>
      <c r="L1608" t="str">
        <f>IFERROR(VLOOKUP(K1608, Status_Mapping!A:B, 2,), "Not Found")</f>
        <v>Not Found</v>
      </c>
      <c r="N1608" s="29" t="str">
        <f>IF(M1608="","",M1608-B1608)</f>
        <v/>
      </c>
      <c r="O1608" s="1" t="str">
        <f t="shared" si="127"/>
        <v>Starter</v>
      </c>
      <c r="P1608" t="str">
        <f>TEXT(B1608, "mmmm")</f>
        <v>April</v>
      </c>
      <c r="Q1608" t="str">
        <f t="shared" si="128"/>
        <v>Q2</v>
      </c>
      <c r="R1608" t="str">
        <f>IFERROR(VLOOKUP(TRIM(CLEAN(G1608)),Sheet14!$A$2:$B$19,2,FALSE),"Not Mapped")</f>
        <v>Central</v>
      </c>
    </row>
    <row r="1609" spans="1:18">
      <c r="A1609" t="str">
        <f t="shared" si="126"/>
        <v>EOS1608</v>
      </c>
      <c r="B1609" s="40">
        <v>46133</v>
      </c>
      <c r="C1609" s="9" t="s">
        <v>1314</v>
      </c>
      <c r="D1609" s="1" t="str">
        <f t="shared" si="125"/>
        <v>Fb</v>
      </c>
      <c r="E1609" s="9" t="s">
        <v>2237</v>
      </c>
      <c r="F1609" s="9" t="s">
        <v>2050</v>
      </c>
      <c r="G1609" s="9" t="s">
        <v>223</v>
      </c>
      <c r="H1609" s="9"/>
      <c r="I1609" s="1">
        <v>108000</v>
      </c>
      <c r="J1609" s="45">
        <v>1071607</v>
      </c>
      <c r="K1609" s="1" t="str">
        <f>TRIM(Cleaned_CRM_Data!H1609)</f>
        <v/>
      </c>
      <c r="L1609" t="str">
        <f>IFERROR(VLOOKUP(K1609, Status_Mapping!A:B, 2,), "Not Found")</f>
        <v>Not Found</v>
      </c>
      <c r="N1609" s="29" t="str">
        <f>IF(M1609="","",M1609-B1609)</f>
        <v/>
      </c>
      <c r="O1609" s="1" t="str">
        <f t="shared" si="127"/>
        <v>Starter</v>
      </c>
      <c r="P1609" t="str">
        <f>TEXT(B1609, "mmmm")</f>
        <v>April</v>
      </c>
      <c r="Q1609" t="str">
        <f t="shared" si="128"/>
        <v>Q2</v>
      </c>
      <c r="R1609" t="str">
        <f>IFERROR(VLOOKUP(TRIM(CLEAN(G1609)),Sheet14!$A$2:$B$19,2,FALSE),"Not Mapped")</f>
        <v>West</v>
      </c>
    </row>
    <row r="1610" spans="1:18">
      <c r="A1610" t="str">
        <f t="shared" si="126"/>
        <v>EOS1609</v>
      </c>
      <c r="B1610" s="40">
        <v>46133</v>
      </c>
      <c r="C1610" s="9" t="s">
        <v>1314</v>
      </c>
      <c r="D1610" s="1" t="str">
        <f t="shared" si="125"/>
        <v>Fb</v>
      </c>
      <c r="E1610" s="9" t="s">
        <v>2238</v>
      </c>
      <c r="F1610" s="9" t="s">
        <v>2213</v>
      </c>
      <c r="G1610" s="9" t="s">
        <v>223</v>
      </c>
      <c r="H1610" s="9"/>
      <c r="I1610" s="1">
        <v>177000</v>
      </c>
      <c r="J1610" s="45">
        <v>1071608</v>
      </c>
      <c r="K1610" s="1" t="str">
        <f>TRIM(Cleaned_CRM_Data!H1610)</f>
        <v/>
      </c>
      <c r="L1610" t="str">
        <f>IFERROR(VLOOKUP(K1610, Status_Mapping!A:B, 2,), "Not Found")</f>
        <v>Not Found</v>
      </c>
      <c r="N1610" s="29" t="str">
        <f>IF(M1610="","",M1610-B1610)</f>
        <v/>
      </c>
      <c r="O1610" s="1" t="str">
        <f t="shared" si="127"/>
        <v>Growth</v>
      </c>
      <c r="P1610" t="str">
        <f>TEXT(B1610, "mmmm")</f>
        <v>April</v>
      </c>
      <c r="Q1610" t="str">
        <f t="shared" si="128"/>
        <v>Q2</v>
      </c>
      <c r="R1610" t="str">
        <f>IFERROR(VLOOKUP(TRIM(CLEAN(G1610)),Sheet14!$A$2:$B$19,2,FALSE),"Not Mapped")</f>
        <v>West</v>
      </c>
    </row>
    <row r="1611" spans="1:18">
      <c r="A1611" t="str">
        <f t="shared" si="126"/>
        <v>EOS1610</v>
      </c>
      <c r="B1611" s="40">
        <v>46135</v>
      </c>
      <c r="C1611" s="9" t="s">
        <v>1314</v>
      </c>
      <c r="D1611" s="1" t="str">
        <f t="shared" si="125"/>
        <v>Fb</v>
      </c>
      <c r="E1611" s="9" t="s">
        <v>2239</v>
      </c>
      <c r="F1611" s="9" t="s">
        <v>275</v>
      </c>
      <c r="G1611" s="9" t="s">
        <v>223</v>
      </c>
      <c r="H1611" s="9"/>
      <c r="I1611" s="1">
        <v>108000</v>
      </c>
      <c r="J1611" s="45">
        <v>1071609</v>
      </c>
      <c r="K1611" s="1" t="str">
        <f>TRIM(Cleaned_CRM_Data!H1611)</f>
        <v/>
      </c>
      <c r="L1611" t="str">
        <f>IFERROR(VLOOKUP(K1611, Status_Mapping!A:B, 2,), "Not Found")</f>
        <v>Not Found</v>
      </c>
      <c r="N1611" s="29" t="str">
        <f>IF(M1611="","",M1611-B1611)</f>
        <v/>
      </c>
      <c r="O1611" s="1" t="str">
        <f t="shared" si="127"/>
        <v>Starter</v>
      </c>
      <c r="P1611" t="str">
        <f>TEXT(B1611, "mmmm")</f>
        <v>April</v>
      </c>
      <c r="Q1611" t="str">
        <f t="shared" si="128"/>
        <v>Q2</v>
      </c>
      <c r="R1611" t="str">
        <f>IFERROR(VLOOKUP(TRIM(CLEAN(G1611)),Sheet14!$A$2:$B$19,2,FALSE),"Not Mapped")</f>
        <v>West</v>
      </c>
    </row>
    <row r="1612" spans="1:18">
      <c r="A1612" t="str">
        <f t="shared" si="126"/>
        <v>EOS1611</v>
      </c>
      <c r="B1612" s="40">
        <v>46135</v>
      </c>
      <c r="C1612" s="9" t="s">
        <v>1314</v>
      </c>
      <c r="D1612" s="1" t="str">
        <f t="shared" si="125"/>
        <v>Fb</v>
      </c>
      <c r="E1612" s="9" t="s">
        <v>2240</v>
      </c>
      <c r="F1612" s="9" t="s">
        <v>275</v>
      </c>
      <c r="G1612" s="9" t="s">
        <v>223</v>
      </c>
      <c r="H1612" s="9"/>
      <c r="I1612" s="1">
        <v>108000</v>
      </c>
      <c r="J1612" s="45">
        <v>1071610</v>
      </c>
      <c r="K1612" s="1" t="str">
        <f>TRIM(Cleaned_CRM_Data!H1612)</f>
        <v/>
      </c>
      <c r="L1612" t="str">
        <f>IFERROR(VLOOKUP(K1612, Status_Mapping!A:B, 2,), "Not Found")</f>
        <v>Not Found</v>
      </c>
      <c r="N1612" s="29" t="str">
        <f>IF(M1612="","",M1612-B1612)</f>
        <v/>
      </c>
      <c r="O1612" s="1" t="str">
        <f t="shared" si="127"/>
        <v>Starter</v>
      </c>
      <c r="P1612" t="str">
        <f>TEXT(B1612, "mmmm")</f>
        <v>April</v>
      </c>
      <c r="Q1612" t="str">
        <f t="shared" si="128"/>
        <v>Q2</v>
      </c>
      <c r="R1612" t="str">
        <f>IFERROR(VLOOKUP(TRIM(CLEAN(G1612)),Sheet14!$A$2:$B$19,2,FALSE),"Not Mapped")</f>
        <v>West</v>
      </c>
    </row>
    <row r="1613" spans="1:18">
      <c r="A1613" t="str">
        <f t="shared" si="126"/>
        <v>EOS1612</v>
      </c>
      <c r="B1613" s="40">
        <v>46135</v>
      </c>
      <c r="C1613" s="9" t="s">
        <v>1314</v>
      </c>
      <c r="D1613" s="1" t="str">
        <f t="shared" si="125"/>
        <v>Fb</v>
      </c>
      <c r="E1613" s="9" t="s">
        <v>2241</v>
      </c>
      <c r="F1613" s="9" t="s">
        <v>945</v>
      </c>
      <c r="G1613" s="9" t="s">
        <v>223</v>
      </c>
      <c r="H1613" s="9"/>
      <c r="I1613" s="1">
        <v>130000</v>
      </c>
      <c r="J1613" s="45">
        <v>1071611</v>
      </c>
      <c r="K1613" s="1" t="str">
        <f>TRIM(Cleaned_CRM_Data!H1613)</f>
        <v/>
      </c>
      <c r="L1613" t="str">
        <f>IFERROR(VLOOKUP(K1613, Status_Mapping!A:B, 2,), "Not Found")</f>
        <v>Not Found</v>
      </c>
      <c r="N1613" s="29" t="str">
        <f>IF(M1613="","",M1613-B1613)</f>
        <v/>
      </c>
      <c r="O1613" s="1" t="str">
        <f t="shared" si="127"/>
        <v>Starter</v>
      </c>
      <c r="P1613" t="str">
        <f>TEXT(B1613, "mmmm")</f>
        <v>April</v>
      </c>
      <c r="Q1613" t="str">
        <f t="shared" si="128"/>
        <v>Q2</v>
      </c>
      <c r="R1613" t="str">
        <f>IFERROR(VLOOKUP(TRIM(CLEAN(G1613)),Sheet14!$A$2:$B$19,2,FALSE),"Not Mapped")</f>
        <v>West</v>
      </c>
    </row>
    <row r="1614" spans="1:18">
      <c r="A1614" t="str">
        <f t="shared" si="126"/>
        <v>EOS1613</v>
      </c>
      <c r="B1614" s="40">
        <v>46135</v>
      </c>
      <c r="C1614" s="9" t="s">
        <v>1314</v>
      </c>
      <c r="D1614" s="1" t="str">
        <f t="shared" si="125"/>
        <v>Fb</v>
      </c>
      <c r="E1614" s="9" t="s">
        <v>2242</v>
      </c>
      <c r="F1614" s="9" t="s">
        <v>1262</v>
      </c>
      <c r="G1614" s="9" t="s">
        <v>223</v>
      </c>
      <c r="H1614" s="9"/>
      <c r="I1614" s="1">
        <v>177000</v>
      </c>
      <c r="J1614" s="45">
        <v>1071612</v>
      </c>
      <c r="K1614" s="1" t="str">
        <f>TRIM(Cleaned_CRM_Data!H1614)</f>
        <v/>
      </c>
      <c r="L1614" t="str">
        <f>IFERROR(VLOOKUP(K1614, Status_Mapping!A:B, 2,), "Not Found")</f>
        <v>Not Found</v>
      </c>
      <c r="N1614" s="29" t="str">
        <f>IF(M1614="","",M1614-B1614)</f>
        <v/>
      </c>
      <c r="O1614" s="1" t="str">
        <f t="shared" si="127"/>
        <v>Growth</v>
      </c>
      <c r="P1614" t="str">
        <f>TEXT(B1614, "mmmm")</f>
        <v>April</v>
      </c>
      <c r="Q1614" t="str">
        <f t="shared" si="128"/>
        <v>Q2</v>
      </c>
      <c r="R1614" t="str">
        <f>IFERROR(VLOOKUP(TRIM(CLEAN(G1614)),Sheet14!$A$2:$B$19,2,FALSE),"Not Mapped")</f>
        <v>West</v>
      </c>
    </row>
    <row r="1615" spans="1:18">
      <c r="A1615" t="str">
        <f t="shared" si="126"/>
        <v>EOS1614</v>
      </c>
      <c r="B1615" s="40">
        <v>46136</v>
      </c>
      <c r="C1615" s="9" t="s">
        <v>1314</v>
      </c>
      <c r="D1615" s="1" t="str">
        <f t="shared" si="125"/>
        <v>Fb</v>
      </c>
      <c r="E1615" s="9" t="s">
        <v>2243</v>
      </c>
      <c r="F1615" s="9" t="s">
        <v>2244</v>
      </c>
      <c r="G1615" s="9" t="s">
        <v>223</v>
      </c>
      <c r="H1615" s="9"/>
      <c r="I1615" s="1">
        <v>108000</v>
      </c>
      <c r="J1615" s="45">
        <v>1071613</v>
      </c>
      <c r="K1615" s="1" t="str">
        <f>TRIM(Cleaned_CRM_Data!H1615)</f>
        <v/>
      </c>
      <c r="L1615" t="str">
        <f>IFERROR(VLOOKUP(K1615, Status_Mapping!A:B, 2,), "Not Found")</f>
        <v>Not Found</v>
      </c>
      <c r="N1615" s="29" t="str">
        <f>IF(M1615="","",M1615-B1615)</f>
        <v/>
      </c>
      <c r="O1615" s="1" t="str">
        <f t="shared" si="127"/>
        <v>Starter</v>
      </c>
      <c r="P1615" t="str">
        <f>TEXT(B1615, "mmmm")</f>
        <v>April</v>
      </c>
      <c r="Q1615" t="str">
        <f t="shared" si="128"/>
        <v>Q2</v>
      </c>
      <c r="R1615" t="str">
        <f>IFERROR(VLOOKUP(TRIM(CLEAN(G1615)),Sheet14!$A$2:$B$19,2,FALSE),"Not Mapped")</f>
        <v>West</v>
      </c>
    </row>
    <row r="1616" spans="1:18">
      <c r="A1616" t="str">
        <f t="shared" si="126"/>
        <v>EOS1615</v>
      </c>
      <c r="B1616" s="40">
        <v>46136</v>
      </c>
      <c r="C1616" s="9" t="s">
        <v>1314</v>
      </c>
      <c r="D1616" s="1" t="str">
        <f t="shared" si="125"/>
        <v>Fb</v>
      </c>
      <c r="E1616" s="9" t="s">
        <v>2245</v>
      </c>
      <c r="F1616" s="9" t="s">
        <v>2246</v>
      </c>
      <c r="G1616" s="9" t="s">
        <v>228</v>
      </c>
      <c r="H1616" s="9"/>
      <c r="I1616" s="1">
        <v>130000</v>
      </c>
      <c r="J1616" s="45">
        <v>1071614</v>
      </c>
      <c r="K1616" s="1" t="str">
        <f>TRIM(Cleaned_CRM_Data!H1616)</f>
        <v/>
      </c>
      <c r="L1616" t="str">
        <f>IFERROR(VLOOKUP(K1616, Status_Mapping!A:B, 2,), "Not Found")</f>
        <v>Not Found</v>
      </c>
      <c r="N1616" s="29" t="str">
        <f>IF(M1616="","",M1616-B1616)</f>
        <v/>
      </c>
      <c r="O1616" s="1" t="str">
        <f t="shared" si="127"/>
        <v>Starter</v>
      </c>
      <c r="P1616" t="str">
        <f>TEXT(B1616, "mmmm")</f>
        <v>April</v>
      </c>
      <c r="Q1616" t="str">
        <f t="shared" si="128"/>
        <v>Q2</v>
      </c>
      <c r="R1616" t="str">
        <f>IFERROR(VLOOKUP(TRIM(CLEAN(G1616)),Sheet14!$A$2:$B$19,2,FALSE),"Not Mapped")</f>
        <v>Central</v>
      </c>
    </row>
    <row r="1617" spans="1:18">
      <c r="A1617" t="str">
        <f t="shared" si="126"/>
        <v>EOS1616</v>
      </c>
      <c r="B1617" s="40">
        <v>46136</v>
      </c>
      <c r="C1617" s="9" t="s">
        <v>1314</v>
      </c>
      <c r="D1617" s="1" t="str">
        <f t="shared" si="125"/>
        <v>Fb</v>
      </c>
      <c r="E1617" s="9" t="s">
        <v>2247</v>
      </c>
      <c r="F1617" s="9" t="s">
        <v>2248</v>
      </c>
      <c r="G1617" s="9" t="s">
        <v>228</v>
      </c>
      <c r="H1617" s="9"/>
      <c r="I1617" s="1">
        <v>130000</v>
      </c>
      <c r="J1617" s="45">
        <v>1071615</v>
      </c>
      <c r="K1617" s="1" t="str">
        <f>TRIM(Cleaned_CRM_Data!H1617)</f>
        <v/>
      </c>
      <c r="L1617" t="str">
        <f>IFERROR(VLOOKUP(K1617, Status_Mapping!A:B, 2,), "Not Found")</f>
        <v>Not Found</v>
      </c>
      <c r="N1617" s="29" t="str">
        <f>IF(M1617="","",M1617-B1617)</f>
        <v/>
      </c>
      <c r="O1617" s="1" t="str">
        <f t="shared" si="127"/>
        <v>Starter</v>
      </c>
      <c r="P1617" t="str">
        <f>TEXT(B1617, "mmmm")</f>
        <v>April</v>
      </c>
      <c r="Q1617" t="str">
        <f t="shared" si="128"/>
        <v>Q2</v>
      </c>
      <c r="R1617" t="str">
        <f>IFERROR(VLOOKUP(TRIM(CLEAN(G1617)),Sheet14!$A$2:$B$19,2,FALSE),"Not Mapped")</f>
        <v>Central</v>
      </c>
    </row>
    <row r="1618" spans="1:18">
      <c r="A1618" t="str">
        <f t="shared" si="126"/>
        <v>EOS1617</v>
      </c>
      <c r="B1618" s="40">
        <v>46136</v>
      </c>
      <c r="C1618" s="9" t="s">
        <v>1314</v>
      </c>
      <c r="D1618" s="1" t="str">
        <f t="shared" si="125"/>
        <v>Fb</v>
      </c>
      <c r="E1618" s="9" t="s">
        <v>2249</v>
      </c>
      <c r="F1618" s="9" t="s">
        <v>364</v>
      </c>
      <c r="G1618" s="9" t="s">
        <v>223</v>
      </c>
      <c r="H1618" s="9"/>
      <c r="I1618" s="1">
        <v>130000</v>
      </c>
      <c r="J1618" s="45">
        <v>1071616</v>
      </c>
      <c r="K1618" s="1" t="str">
        <f>TRIM(Cleaned_CRM_Data!H1618)</f>
        <v/>
      </c>
      <c r="L1618" t="str">
        <f>IFERROR(VLOOKUP(K1618, Status_Mapping!A:B, 2,), "Not Found")</f>
        <v>Not Found</v>
      </c>
      <c r="N1618" s="29" t="str">
        <f>IF(M1618="","",M1618-B1618)</f>
        <v/>
      </c>
      <c r="O1618" s="1" t="str">
        <f t="shared" si="127"/>
        <v>Starter</v>
      </c>
      <c r="P1618" t="str">
        <f>TEXT(B1618, "mmmm")</f>
        <v>April</v>
      </c>
      <c r="Q1618" t="str">
        <f t="shared" si="128"/>
        <v>Q2</v>
      </c>
      <c r="R1618" t="str">
        <f>IFERROR(VLOOKUP(TRIM(CLEAN(G1618)),Sheet14!$A$2:$B$19,2,FALSE),"Not Mapped")</f>
        <v>West</v>
      </c>
    </row>
    <row r="1619" spans="1:18">
      <c r="A1619" t="str">
        <f t="shared" si="126"/>
        <v>EOS1618</v>
      </c>
      <c r="B1619" s="40">
        <v>46136</v>
      </c>
      <c r="C1619" s="9" t="s">
        <v>1314</v>
      </c>
      <c r="D1619" s="1" t="str">
        <f t="shared" si="125"/>
        <v>Fb</v>
      </c>
      <c r="E1619" s="9" t="s">
        <v>2250</v>
      </c>
      <c r="F1619" s="9" t="s">
        <v>333</v>
      </c>
      <c r="G1619" s="9" t="s">
        <v>223</v>
      </c>
      <c r="H1619" s="9"/>
      <c r="I1619" s="1">
        <v>130000</v>
      </c>
      <c r="J1619" s="45">
        <v>1071617</v>
      </c>
      <c r="K1619" s="1" t="str">
        <f>TRIM(Cleaned_CRM_Data!H1619)</f>
        <v/>
      </c>
      <c r="L1619" t="str">
        <f>IFERROR(VLOOKUP(K1619, Status_Mapping!A:B, 2,), "Not Found")</f>
        <v>Not Found</v>
      </c>
      <c r="N1619" s="29" t="str">
        <f>IF(M1619="","",M1619-B1619)</f>
        <v/>
      </c>
      <c r="O1619" s="1" t="str">
        <f t="shared" si="127"/>
        <v>Starter</v>
      </c>
      <c r="P1619" t="str">
        <f>TEXT(B1619, "mmmm")</f>
        <v>April</v>
      </c>
      <c r="Q1619" t="str">
        <f t="shared" si="128"/>
        <v>Q2</v>
      </c>
      <c r="R1619" t="str">
        <f>IFERROR(VLOOKUP(TRIM(CLEAN(G1619)),Sheet14!$A$2:$B$19,2,FALSE),"Not Mapped")</f>
        <v>West</v>
      </c>
    </row>
    <row r="1620" spans="1:18">
      <c r="A1620" t="str">
        <f t="shared" si="126"/>
        <v>EOS1619</v>
      </c>
      <c r="B1620" s="40">
        <v>46136</v>
      </c>
      <c r="C1620" s="9" t="s">
        <v>1314</v>
      </c>
      <c r="D1620" s="1" t="str">
        <f t="shared" si="125"/>
        <v>Fb</v>
      </c>
      <c r="E1620" s="9" t="s">
        <v>2251</v>
      </c>
      <c r="F1620" s="9" t="s">
        <v>275</v>
      </c>
      <c r="G1620" s="9" t="s">
        <v>223</v>
      </c>
      <c r="H1620" s="9"/>
      <c r="I1620" s="1">
        <v>130000</v>
      </c>
      <c r="J1620" s="45">
        <v>1071618</v>
      </c>
      <c r="K1620" s="1" t="str">
        <f>TRIM(Cleaned_CRM_Data!H1620)</f>
        <v/>
      </c>
      <c r="L1620" t="str">
        <f>IFERROR(VLOOKUP(K1620, Status_Mapping!A:B, 2,), "Not Found")</f>
        <v>Not Found</v>
      </c>
      <c r="N1620" s="29" t="str">
        <f>IF(M1620="","",M1620-B1620)</f>
        <v/>
      </c>
      <c r="O1620" s="1" t="str">
        <f t="shared" si="127"/>
        <v>Starter</v>
      </c>
      <c r="P1620" t="str">
        <f>TEXT(B1620, "mmmm")</f>
        <v>April</v>
      </c>
      <c r="Q1620" t="str">
        <f t="shared" si="128"/>
        <v>Q2</v>
      </c>
      <c r="R1620" t="str">
        <f>IFERROR(VLOOKUP(TRIM(CLEAN(G1620)),Sheet14!$A$2:$B$19,2,FALSE),"Not Mapped")</f>
        <v>West</v>
      </c>
    </row>
    <row r="1621" spans="1:18">
      <c r="A1621" t="str">
        <f t="shared" si="126"/>
        <v>EOS1620</v>
      </c>
      <c r="B1621" s="40">
        <v>46137</v>
      </c>
      <c r="C1621" s="9" t="s">
        <v>1314</v>
      </c>
      <c r="D1621" s="1" t="str">
        <f t="shared" si="125"/>
        <v>Fb</v>
      </c>
      <c r="E1621" s="9" t="s">
        <v>2164</v>
      </c>
      <c r="F1621" s="9" t="s">
        <v>304</v>
      </c>
      <c r="G1621" s="9" t="s">
        <v>223</v>
      </c>
      <c r="H1621" s="9"/>
      <c r="I1621" s="1">
        <v>108000</v>
      </c>
      <c r="J1621" s="45">
        <v>1071619</v>
      </c>
      <c r="K1621" s="1" t="str">
        <f>TRIM(Cleaned_CRM_Data!H1621)</f>
        <v/>
      </c>
      <c r="L1621" t="str">
        <f>IFERROR(VLOOKUP(K1621, Status_Mapping!A:B, 2,), "Not Found")</f>
        <v>Not Found</v>
      </c>
      <c r="N1621" s="29" t="str">
        <f>IF(M1621="","",M1621-B1621)</f>
        <v/>
      </c>
      <c r="O1621" s="1" t="str">
        <f t="shared" si="127"/>
        <v>Starter</v>
      </c>
      <c r="P1621" t="str">
        <f>TEXT(B1621, "mmmm")</f>
        <v>April</v>
      </c>
      <c r="Q1621" t="str">
        <f t="shared" si="128"/>
        <v>Q2</v>
      </c>
      <c r="R1621" t="str">
        <f>IFERROR(VLOOKUP(TRIM(CLEAN(G1621)),Sheet14!$A$2:$B$19,2,FALSE),"Not Mapped")</f>
        <v>West</v>
      </c>
    </row>
    <row r="1622" spans="1:18">
      <c r="A1622" t="str">
        <f t="shared" si="126"/>
        <v>EOS1621</v>
      </c>
      <c r="B1622" s="40">
        <v>46137</v>
      </c>
      <c r="C1622" s="9" t="s">
        <v>1314</v>
      </c>
      <c r="D1622" s="1" t="str">
        <f t="shared" si="125"/>
        <v>Fb</v>
      </c>
      <c r="E1622" s="9" t="s">
        <v>2252</v>
      </c>
      <c r="F1622" s="9" t="s">
        <v>275</v>
      </c>
      <c r="G1622" s="9" t="s">
        <v>223</v>
      </c>
      <c r="H1622" s="9"/>
      <c r="I1622" s="1">
        <v>130000</v>
      </c>
      <c r="J1622" s="45">
        <v>1071620</v>
      </c>
      <c r="K1622" s="1" t="str">
        <f>TRIM(Cleaned_CRM_Data!H1622)</f>
        <v/>
      </c>
      <c r="L1622" t="str">
        <f>IFERROR(VLOOKUP(K1622, Status_Mapping!A:B, 2,), "Not Found")</f>
        <v>Not Found</v>
      </c>
      <c r="N1622" s="29" t="str">
        <f>IF(M1622="","",M1622-B1622)</f>
        <v/>
      </c>
      <c r="O1622" s="1" t="str">
        <f t="shared" si="127"/>
        <v>Starter</v>
      </c>
      <c r="P1622" t="str">
        <f>TEXT(B1622, "mmmm")</f>
        <v>April</v>
      </c>
      <c r="Q1622" t="str">
        <f t="shared" si="128"/>
        <v>Q2</v>
      </c>
      <c r="R1622" t="str">
        <f>IFERROR(VLOOKUP(TRIM(CLEAN(G1622)),Sheet14!$A$2:$B$19,2,FALSE),"Not Mapped")</f>
        <v>West</v>
      </c>
    </row>
    <row r="1623" spans="1:18">
      <c r="A1623" t="str">
        <f t="shared" si="126"/>
        <v>EOS1622</v>
      </c>
      <c r="B1623" s="40">
        <v>46137</v>
      </c>
      <c r="C1623" s="9" t="s">
        <v>1314</v>
      </c>
      <c r="D1623" s="1" t="str">
        <f t="shared" si="125"/>
        <v>Fb</v>
      </c>
      <c r="E1623" s="9" t="s">
        <v>2253</v>
      </c>
      <c r="F1623" s="9" t="s">
        <v>412</v>
      </c>
      <c r="G1623" s="9" t="s">
        <v>223</v>
      </c>
      <c r="H1623" s="9"/>
      <c r="I1623" s="1">
        <v>177000</v>
      </c>
      <c r="J1623" s="45">
        <v>1071621</v>
      </c>
      <c r="K1623" s="1" t="str">
        <f>TRIM(Cleaned_CRM_Data!H1623)</f>
        <v/>
      </c>
      <c r="L1623" t="str">
        <f>IFERROR(VLOOKUP(K1623, Status_Mapping!A:B, 2,), "Not Found")</f>
        <v>Not Found</v>
      </c>
      <c r="N1623" s="29" t="str">
        <f>IF(M1623="","",M1623-B1623)</f>
        <v/>
      </c>
      <c r="O1623" s="1" t="str">
        <f t="shared" si="127"/>
        <v>Growth</v>
      </c>
      <c r="P1623" t="str">
        <f>TEXT(B1623, "mmmm")</f>
        <v>April</v>
      </c>
      <c r="Q1623" t="str">
        <f t="shared" si="128"/>
        <v>Q2</v>
      </c>
      <c r="R1623" t="str">
        <f>IFERROR(VLOOKUP(TRIM(CLEAN(G1623)),Sheet14!$A$2:$B$19,2,FALSE),"Not Mapped")</f>
        <v>West</v>
      </c>
    </row>
    <row r="1624" spans="1:18">
      <c r="A1624" t="str">
        <f t="shared" si="126"/>
        <v>EOS1623</v>
      </c>
      <c r="B1624" s="40">
        <v>46137</v>
      </c>
      <c r="C1624" s="9" t="s">
        <v>1314</v>
      </c>
      <c r="D1624" s="1" t="str">
        <f t="shared" si="125"/>
        <v>Fb</v>
      </c>
      <c r="E1624" s="9" t="s">
        <v>2254</v>
      </c>
      <c r="F1624" s="9" t="s">
        <v>2225</v>
      </c>
      <c r="G1624" s="9" t="s">
        <v>223</v>
      </c>
      <c r="H1624" s="9"/>
      <c r="I1624" s="1">
        <v>177000</v>
      </c>
      <c r="J1624" s="45">
        <v>1071622</v>
      </c>
      <c r="K1624" s="1" t="str">
        <f>TRIM(Cleaned_CRM_Data!H1624)</f>
        <v/>
      </c>
      <c r="L1624" t="str">
        <f>IFERROR(VLOOKUP(K1624, Status_Mapping!A:B, 2,), "Not Found")</f>
        <v>Not Found</v>
      </c>
      <c r="N1624" s="29" t="str">
        <f>IF(M1624="","",M1624-B1624)</f>
        <v/>
      </c>
      <c r="O1624" s="1" t="str">
        <f t="shared" si="127"/>
        <v>Growth</v>
      </c>
      <c r="P1624" t="str">
        <f>TEXT(B1624, "mmmm")</f>
        <v>April</v>
      </c>
      <c r="Q1624" t="str">
        <f t="shared" si="128"/>
        <v>Q2</v>
      </c>
      <c r="R1624" t="str">
        <f>IFERROR(VLOOKUP(TRIM(CLEAN(G1624)),Sheet14!$A$2:$B$19,2,FALSE),"Not Mapped")</f>
        <v>West</v>
      </c>
    </row>
    <row r="1625" spans="1:18">
      <c r="A1625" t="str">
        <f t="shared" si="126"/>
        <v>EOS1624</v>
      </c>
      <c r="B1625" s="40">
        <v>46137</v>
      </c>
      <c r="C1625" s="9" t="s">
        <v>1314</v>
      </c>
      <c r="D1625" s="1" t="str">
        <f t="shared" si="125"/>
        <v>Fb</v>
      </c>
      <c r="E1625" s="9" t="s">
        <v>2255</v>
      </c>
      <c r="F1625" s="9" t="s">
        <v>2256</v>
      </c>
      <c r="G1625" s="9" t="s">
        <v>223</v>
      </c>
      <c r="H1625" s="9"/>
      <c r="I1625" s="1">
        <v>108000</v>
      </c>
      <c r="J1625" s="45">
        <v>1071623</v>
      </c>
      <c r="K1625" s="1" t="str">
        <f>TRIM(Cleaned_CRM_Data!H1625)</f>
        <v/>
      </c>
      <c r="L1625" t="str">
        <f>IFERROR(VLOOKUP(K1625, Status_Mapping!A:B, 2,), "Not Found")</f>
        <v>Not Found</v>
      </c>
      <c r="N1625" s="29" t="str">
        <f>IF(M1625="","",M1625-B1625)</f>
        <v/>
      </c>
      <c r="O1625" s="1" t="str">
        <f t="shared" si="127"/>
        <v>Starter</v>
      </c>
      <c r="P1625" t="str">
        <f>TEXT(B1625, "mmmm")</f>
        <v>April</v>
      </c>
      <c r="Q1625" t="str">
        <f t="shared" si="128"/>
        <v>Q2</v>
      </c>
      <c r="R1625" t="str">
        <f>IFERROR(VLOOKUP(TRIM(CLEAN(G1625)),Sheet14!$A$2:$B$19,2,FALSE),"Not Mapped")</f>
        <v>West</v>
      </c>
    </row>
    <row r="1626" spans="1:18">
      <c r="A1626" t="str">
        <f t="shared" si="126"/>
        <v>EOS1625</v>
      </c>
      <c r="B1626" s="40">
        <v>46137</v>
      </c>
      <c r="C1626" s="9" t="s">
        <v>1314</v>
      </c>
      <c r="D1626" s="1" t="str">
        <f t="shared" si="125"/>
        <v>Fb</v>
      </c>
      <c r="E1626" s="9" t="s">
        <v>2257</v>
      </c>
      <c r="F1626" s="9" t="s">
        <v>298</v>
      </c>
      <c r="G1626" s="9" t="s">
        <v>223</v>
      </c>
      <c r="H1626" s="9"/>
      <c r="I1626" s="1">
        <v>108000</v>
      </c>
      <c r="J1626" s="45">
        <v>1071624</v>
      </c>
      <c r="K1626" s="1" t="str">
        <f>TRIM(Cleaned_CRM_Data!H1626)</f>
        <v/>
      </c>
      <c r="L1626" t="str">
        <f>IFERROR(VLOOKUP(K1626, Status_Mapping!A:B, 2,), "Not Found")</f>
        <v>Not Found</v>
      </c>
      <c r="N1626" s="29" t="str">
        <f>IF(M1626="","",M1626-B1626)</f>
        <v/>
      </c>
      <c r="O1626" s="1" t="str">
        <f t="shared" si="127"/>
        <v>Starter</v>
      </c>
      <c r="P1626" t="str">
        <f>TEXT(B1626, "mmmm")</f>
        <v>April</v>
      </c>
      <c r="Q1626" t="str">
        <f t="shared" si="128"/>
        <v>Q2</v>
      </c>
      <c r="R1626" t="str">
        <f>IFERROR(VLOOKUP(TRIM(CLEAN(G1626)),Sheet14!$A$2:$B$19,2,FALSE),"Not Mapped")</f>
        <v>West</v>
      </c>
    </row>
    <row r="1627" spans="1:18">
      <c r="A1627" t="str">
        <f t="shared" si="126"/>
        <v>EOS1626</v>
      </c>
      <c r="B1627" s="40">
        <v>46137</v>
      </c>
      <c r="C1627" s="9" t="s">
        <v>1314</v>
      </c>
      <c r="D1627" s="1" t="str">
        <f t="shared" si="125"/>
        <v>Fb</v>
      </c>
      <c r="E1627" s="9" t="s">
        <v>2258</v>
      </c>
      <c r="F1627" s="9" t="s">
        <v>300</v>
      </c>
      <c r="G1627" s="9" t="s">
        <v>223</v>
      </c>
      <c r="H1627" s="9"/>
      <c r="I1627" s="1">
        <v>130000</v>
      </c>
      <c r="J1627" s="45">
        <v>1071625</v>
      </c>
      <c r="K1627" s="1" t="str">
        <f>TRIM(Cleaned_CRM_Data!H1627)</f>
        <v/>
      </c>
      <c r="L1627" t="str">
        <f>IFERROR(VLOOKUP(K1627, Status_Mapping!A:B, 2,), "Not Found")</f>
        <v>Not Found</v>
      </c>
      <c r="N1627" s="29" t="str">
        <f>IF(M1627="","",M1627-B1627)</f>
        <v/>
      </c>
      <c r="O1627" s="1" t="str">
        <f t="shared" si="127"/>
        <v>Starter</v>
      </c>
      <c r="P1627" t="str">
        <f>TEXT(B1627, "mmmm")</f>
        <v>April</v>
      </c>
      <c r="Q1627" t="str">
        <f t="shared" si="128"/>
        <v>Q2</v>
      </c>
      <c r="R1627" t="str">
        <f>IFERROR(VLOOKUP(TRIM(CLEAN(G1627)),Sheet14!$A$2:$B$19,2,FALSE),"Not Mapped")</f>
        <v>West</v>
      </c>
    </row>
    <row r="1628" spans="1:18">
      <c r="A1628" t="str">
        <f t="shared" si="126"/>
        <v>EOS1627</v>
      </c>
      <c r="B1628" s="40">
        <v>46137</v>
      </c>
      <c r="C1628" s="9" t="s">
        <v>1314</v>
      </c>
      <c r="D1628" s="1" t="str">
        <f t="shared" si="125"/>
        <v>Fb</v>
      </c>
      <c r="E1628" s="9" t="s">
        <v>2259</v>
      </c>
      <c r="F1628" s="9" t="s">
        <v>412</v>
      </c>
      <c r="G1628" s="9" t="s">
        <v>223</v>
      </c>
      <c r="H1628" s="9"/>
      <c r="I1628" s="1">
        <v>108000</v>
      </c>
      <c r="J1628" s="45">
        <v>1071626</v>
      </c>
      <c r="K1628" s="1" t="str">
        <f>TRIM(Cleaned_CRM_Data!H1628)</f>
        <v/>
      </c>
      <c r="L1628" t="str">
        <f>IFERROR(VLOOKUP(K1628, Status_Mapping!A:B, 2,), "Not Found")</f>
        <v>Not Found</v>
      </c>
      <c r="N1628" s="29" t="str">
        <f>IF(M1628="","",M1628-B1628)</f>
        <v/>
      </c>
      <c r="O1628" s="1" t="str">
        <f t="shared" si="127"/>
        <v>Starter</v>
      </c>
      <c r="P1628" t="str">
        <f>TEXT(B1628, "mmmm")</f>
        <v>April</v>
      </c>
      <c r="Q1628" t="str">
        <f t="shared" si="128"/>
        <v>Q2</v>
      </c>
      <c r="R1628" t="str">
        <f>IFERROR(VLOOKUP(TRIM(CLEAN(G1628)),Sheet14!$A$2:$B$19,2,FALSE),"Not Mapped")</f>
        <v>West</v>
      </c>
    </row>
    <row r="1629" spans="1:18">
      <c r="A1629" t="str">
        <f t="shared" si="126"/>
        <v>EOS1628</v>
      </c>
      <c r="B1629" s="40">
        <v>46137</v>
      </c>
      <c r="C1629" s="9" t="s">
        <v>1314</v>
      </c>
      <c r="D1629" s="1" t="str">
        <f t="shared" si="125"/>
        <v>Fb</v>
      </c>
      <c r="E1629" s="9" t="s">
        <v>2260</v>
      </c>
      <c r="F1629" s="9" t="s">
        <v>601</v>
      </c>
      <c r="G1629" s="9" t="s">
        <v>223</v>
      </c>
      <c r="H1629" s="9"/>
      <c r="I1629" s="1">
        <v>130000</v>
      </c>
      <c r="J1629" s="45">
        <v>1071627</v>
      </c>
      <c r="K1629" s="1" t="str">
        <f>TRIM(Cleaned_CRM_Data!H1629)</f>
        <v/>
      </c>
      <c r="L1629" t="str">
        <f>IFERROR(VLOOKUP(K1629, Status_Mapping!A:B, 2,), "Not Found")</f>
        <v>Not Found</v>
      </c>
      <c r="N1629" s="29" t="str">
        <f>IF(M1629="","",M1629-B1629)</f>
        <v/>
      </c>
      <c r="O1629" s="1" t="str">
        <f t="shared" si="127"/>
        <v>Starter</v>
      </c>
      <c r="P1629" t="str">
        <f>TEXT(B1629, "mmmm")</f>
        <v>April</v>
      </c>
      <c r="Q1629" t="str">
        <f t="shared" si="128"/>
        <v>Q2</v>
      </c>
      <c r="R1629" t="str">
        <f>IFERROR(VLOOKUP(TRIM(CLEAN(G1629)),Sheet14!$A$2:$B$19,2,FALSE),"Not Mapped")</f>
        <v>West</v>
      </c>
    </row>
    <row r="1630" spans="1:18">
      <c r="A1630" t="str">
        <f t="shared" si="126"/>
        <v>EOS1629</v>
      </c>
      <c r="B1630" s="40">
        <v>46137</v>
      </c>
      <c r="C1630" s="9" t="s">
        <v>1314</v>
      </c>
      <c r="D1630" s="1" t="str">
        <f t="shared" si="125"/>
        <v>Fb</v>
      </c>
      <c r="E1630" s="9" t="s">
        <v>2261</v>
      </c>
      <c r="F1630" s="9" t="s">
        <v>558</v>
      </c>
      <c r="G1630" s="9" t="s">
        <v>223</v>
      </c>
      <c r="H1630" s="9"/>
      <c r="I1630" s="1">
        <v>130000</v>
      </c>
      <c r="J1630" s="45">
        <v>1071628</v>
      </c>
      <c r="K1630" s="1" t="str">
        <f>TRIM(Cleaned_CRM_Data!H1630)</f>
        <v/>
      </c>
      <c r="L1630" t="str">
        <f>IFERROR(VLOOKUP(K1630, Status_Mapping!A:B, 2,), "Not Found")</f>
        <v>Not Found</v>
      </c>
      <c r="N1630" s="29" t="str">
        <f>IF(M1630="","",M1630-B1630)</f>
        <v/>
      </c>
      <c r="O1630" s="1" t="str">
        <f t="shared" si="127"/>
        <v>Starter</v>
      </c>
      <c r="P1630" t="str">
        <f>TEXT(B1630, "mmmm")</f>
        <v>April</v>
      </c>
      <c r="Q1630" t="str">
        <f t="shared" si="128"/>
        <v>Q2</v>
      </c>
      <c r="R1630" t="str">
        <f>IFERROR(VLOOKUP(TRIM(CLEAN(G1630)),Sheet14!$A$2:$B$19,2,FALSE),"Not Mapped")</f>
        <v>West</v>
      </c>
    </row>
    <row r="1631" spans="1:18">
      <c r="A1631" t="str">
        <f t="shared" si="126"/>
        <v>EOS1630</v>
      </c>
      <c r="B1631" s="40">
        <v>46137</v>
      </c>
      <c r="C1631" s="9" t="s">
        <v>1314</v>
      </c>
      <c r="D1631" s="1" t="str">
        <f t="shared" si="125"/>
        <v>Fb</v>
      </c>
      <c r="E1631" s="9" t="s">
        <v>2262</v>
      </c>
      <c r="F1631" s="9" t="s">
        <v>661</v>
      </c>
      <c r="G1631" s="9" t="s">
        <v>223</v>
      </c>
      <c r="H1631" s="9"/>
      <c r="I1631" s="1">
        <v>130000</v>
      </c>
      <c r="J1631" s="45">
        <v>1071629</v>
      </c>
      <c r="K1631" s="1" t="str">
        <f>TRIM(Cleaned_CRM_Data!H1631)</f>
        <v/>
      </c>
      <c r="L1631" t="str">
        <f>IFERROR(VLOOKUP(K1631, Status_Mapping!A:B, 2,), "Not Found")</f>
        <v>Not Found</v>
      </c>
      <c r="N1631" s="29" t="str">
        <f>IF(M1631="","",M1631-B1631)</f>
        <v/>
      </c>
      <c r="O1631" s="1" t="str">
        <f t="shared" si="127"/>
        <v>Starter</v>
      </c>
      <c r="P1631" t="str">
        <f>TEXT(B1631, "mmmm")</f>
        <v>April</v>
      </c>
      <c r="Q1631" t="str">
        <f t="shared" si="128"/>
        <v>Q2</v>
      </c>
      <c r="R1631" t="str">
        <f>IFERROR(VLOOKUP(TRIM(CLEAN(G1631)),Sheet14!$A$2:$B$19,2,FALSE),"Not Mapped")</f>
        <v>West</v>
      </c>
    </row>
    <row r="1632" spans="1:18">
      <c r="A1632" t="str">
        <f t="shared" si="126"/>
        <v>EOS1631</v>
      </c>
      <c r="B1632" s="40">
        <v>46137</v>
      </c>
      <c r="C1632" s="9" t="s">
        <v>1314</v>
      </c>
      <c r="D1632" s="1" t="str">
        <f t="shared" si="125"/>
        <v>Fb</v>
      </c>
      <c r="E1632" s="9" t="s">
        <v>2263</v>
      </c>
      <c r="F1632" s="9" t="s">
        <v>304</v>
      </c>
      <c r="G1632" s="9" t="s">
        <v>223</v>
      </c>
      <c r="H1632" s="9"/>
      <c r="I1632" s="1">
        <v>130000</v>
      </c>
      <c r="J1632" s="45">
        <v>1071630</v>
      </c>
      <c r="K1632" s="1" t="str">
        <f>TRIM(Cleaned_CRM_Data!H1632)</f>
        <v/>
      </c>
      <c r="L1632" t="str">
        <f>IFERROR(VLOOKUP(K1632, Status_Mapping!A:B, 2,), "Not Found")</f>
        <v>Not Found</v>
      </c>
      <c r="N1632" s="29" t="str">
        <f>IF(M1632="","",M1632-B1632)</f>
        <v/>
      </c>
      <c r="O1632" s="1" t="str">
        <f t="shared" si="127"/>
        <v>Starter</v>
      </c>
      <c r="P1632" t="str">
        <f>TEXT(B1632, "mmmm")</f>
        <v>April</v>
      </c>
      <c r="Q1632" t="str">
        <f t="shared" si="128"/>
        <v>Q2</v>
      </c>
      <c r="R1632" t="str">
        <f>IFERROR(VLOOKUP(TRIM(CLEAN(G1632)),Sheet14!$A$2:$B$19,2,FALSE),"Not Mapped")</f>
        <v>West</v>
      </c>
    </row>
    <row r="1633" spans="1:18">
      <c r="A1633" t="str">
        <f t="shared" si="126"/>
        <v>EOS1632</v>
      </c>
      <c r="B1633" s="40">
        <v>46137</v>
      </c>
      <c r="C1633" s="9" t="s">
        <v>1314</v>
      </c>
      <c r="D1633" s="1" t="str">
        <f t="shared" si="125"/>
        <v>Fb</v>
      </c>
      <c r="E1633" s="9" t="s">
        <v>2264</v>
      </c>
      <c r="F1633" s="9" t="s">
        <v>412</v>
      </c>
      <c r="G1633" s="9" t="s">
        <v>223</v>
      </c>
      <c r="H1633" s="9"/>
      <c r="I1633" s="1">
        <v>130000</v>
      </c>
      <c r="J1633" s="45">
        <v>1071631</v>
      </c>
      <c r="K1633" s="1" t="str">
        <f>TRIM(Cleaned_CRM_Data!H1633)</f>
        <v/>
      </c>
      <c r="L1633" t="str">
        <f>IFERROR(VLOOKUP(K1633, Status_Mapping!A:B, 2,), "Not Found")</f>
        <v>Not Found</v>
      </c>
      <c r="N1633" s="29" t="str">
        <f>IF(M1633="","",M1633-B1633)</f>
        <v/>
      </c>
      <c r="O1633" s="1" t="str">
        <f t="shared" si="127"/>
        <v>Starter</v>
      </c>
      <c r="P1633" t="str">
        <f>TEXT(B1633, "mmmm")</f>
        <v>April</v>
      </c>
      <c r="Q1633" t="str">
        <f t="shared" si="128"/>
        <v>Q2</v>
      </c>
      <c r="R1633" t="str">
        <f>IFERROR(VLOOKUP(TRIM(CLEAN(G1633)),Sheet14!$A$2:$B$19,2,FALSE),"Not Mapped")</f>
        <v>West</v>
      </c>
    </row>
    <row r="1634" spans="1:18">
      <c r="A1634" t="str">
        <f t="shared" si="126"/>
        <v>EOS1633</v>
      </c>
      <c r="B1634" s="40">
        <v>46137</v>
      </c>
      <c r="C1634" s="9" t="s">
        <v>1314</v>
      </c>
      <c r="D1634" s="1" t="str">
        <f t="shared" si="125"/>
        <v>Fb</v>
      </c>
      <c r="E1634" s="9" t="s">
        <v>2265</v>
      </c>
      <c r="F1634" s="9" t="s">
        <v>2266</v>
      </c>
      <c r="G1634" s="9" t="s">
        <v>223</v>
      </c>
      <c r="H1634" s="9"/>
      <c r="I1634" s="1">
        <v>130000</v>
      </c>
      <c r="J1634" s="45">
        <v>1071632</v>
      </c>
      <c r="K1634" s="1" t="str">
        <f>TRIM(Cleaned_CRM_Data!H1634)</f>
        <v/>
      </c>
      <c r="L1634" t="str">
        <f>IFERROR(VLOOKUP(K1634, Status_Mapping!A:B, 2,), "Not Found")</f>
        <v>Not Found</v>
      </c>
      <c r="N1634" s="29" t="str">
        <f>IF(M1634="","",M1634-B1634)</f>
        <v/>
      </c>
      <c r="O1634" s="1" t="str">
        <f t="shared" si="127"/>
        <v>Starter</v>
      </c>
      <c r="P1634" t="str">
        <f>TEXT(B1634, "mmmm")</f>
        <v>April</v>
      </c>
      <c r="Q1634" t="str">
        <f t="shared" si="128"/>
        <v>Q2</v>
      </c>
      <c r="R1634" t="str">
        <f>IFERROR(VLOOKUP(TRIM(CLEAN(G1634)),Sheet14!$A$2:$B$19,2,FALSE),"Not Mapped")</f>
        <v>West</v>
      </c>
    </row>
    <row r="1635" spans="1:18">
      <c r="A1635" t="str">
        <f t="shared" si="126"/>
        <v>EOS1634</v>
      </c>
      <c r="B1635" s="40">
        <v>46137</v>
      </c>
      <c r="C1635" s="9" t="s">
        <v>1314</v>
      </c>
      <c r="D1635" s="1" t="str">
        <f t="shared" si="125"/>
        <v>Fb</v>
      </c>
      <c r="E1635" s="9" t="s">
        <v>2267</v>
      </c>
      <c r="F1635" s="9" t="s">
        <v>304</v>
      </c>
      <c r="G1635" s="9" t="s">
        <v>223</v>
      </c>
      <c r="H1635" s="9"/>
      <c r="I1635" s="1">
        <v>130000</v>
      </c>
      <c r="J1635" s="45">
        <v>1071633</v>
      </c>
      <c r="K1635" s="1" t="str">
        <f>TRIM(Cleaned_CRM_Data!H1635)</f>
        <v/>
      </c>
      <c r="L1635" t="str">
        <f>IFERROR(VLOOKUP(K1635, Status_Mapping!A:B, 2,), "Not Found")</f>
        <v>Not Found</v>
      </c>
      <c r="N1635" s="29" t="str">
        <f>IF(M1635="","",M1635-B1635)</f>
        <v/>
      </c>
      <c r="O1635" s="1" t="str">
        <f t="shared" si="127"/>
        <v>Starter</v>
      </c>
      <c r="P1635" t="str">
        <f>TEXT(B1635, "mmmm")</f>
        <v>April</v>
      </c>
      <c r="Q1635" t="str">
        <f t="shared" si="128"/>
        <v>Q2</v>
      </c>
      <c r="R1635" t="str">
        <f>IFERROR(VLOOKUP(TRIM(CLEAN(G1635)),Sheet14!$A$2:$B$19,2,FALSE),"Not Mapped")</f>
        <v>West</v>
      </c>
    </row>
    <row r="1636" spans="1:18">
      <c r="A1636" t="str">
        <f t="shared" si="126"/>
        <v>EOS1635</v>
      </c>
      <c r="B1636" s="40">
        <v>46137</v>
      </c>
      <c r="C1636" s="9" t="s">
        <v>1314</v>
      </c>
      <c r="D1636" s="1" t="str">
        <f t="shared" si="125"/>
        <v>Fb</v>
      </c>
      <c r="E1636" s="9" t="s">
        <v>1947</v>
      </c>
      <c r="F1636" s="9" t="s">
        <v>304</v>
      </c>
      <c r="G1636" s="9" t="s">
        <v>223</v>
      </c>
      <c r="H1636" s="9"/>
      <c r="I1636" s="1">
        <v>177000</v>
      </c>
      <c r="J1636" s="45">
        <v>1071634</v>
      </c>
      <c r="K1636" s="1" t="str">
        <f>TRIM(Cleaned_CRM_Data!H1636)</f>
        <v/>
      </c>
      <c r="L1636" t="str">
        <f>IFERROR(VLOOKUP(K1636, Status_Mapping!A:B, 2,), "Not Found")</f>
        <v>Not Found</v>
      </c>
      <c r="N1636" s="29" t="str">
        <f>IF(M1636="","",M1636-B1636)</f>
        <v/>
      </c>
      <c r="O1636" s="1" t="str">
        <f t="shared" si="127"/>
        <v>Growth</v>
      </c>
      <c r="P1636" t="str">
        <f>TEXT(B1636, "mmmm")</f>
        <v>April</v>
      </c>
      <c r="Q1636" t="str">
        <f t="shared" si="128"/>
        <v>Q2</v>
      </c>
      <c r="R1636" t="str">
        <f>IFERROR(VLOOKUP(TRIM(CLEAN(G1636)),Sheet14!$A$2:$B$19,2,FALSE),"Not Mapped")</f>
        <v>West</v>
      </c>
    </row>
    <row r="1637" spans="1:18">
      <c r="A1637" t="str">
        <f t="shared" si="126"/>
        <v>EOS1636</v>
      </c>
      <c r="B1637" s="40">
        <v>46137</v>
      </c>
      <c r="C1637" s="9" t="s">
        <v>1314</v>
      </c>
      <c r="D1637" s="1" t="str">
        <f t="shared" si="125"/>
        <v>Fb</v>
      </c>
      <c r="E1637" s="9" t="s">
        <v>2268</v>
      </c>
      <c r="F1637" s="9"/>
      <c r="G1637" s="9" t="s">
        <v>223</v>
      </c>
      <c r="H1637" s="9"/>
      <c r="I1637" s="1">
        <v>130000</v>
      </c>
      <c r="J1637" s="45">
        <v>1071635</v>
      </c>
      <c r="K1637" s="1" t="str">
        <f>TRIM(Cleaned_CRM_Data!H1637)</f>
        <v/>
      </c>
      <c r="L1637" t="str">
        <f>IFERROR(VLOOKUP(K1637, Status_Mapping!A:B, 2,), "Not Found")</f>
        <v>Not Found</v>
      </c>
      <c r="N1637" s="29" t="str">
        <f>IF(M1637="","",M1637-B1637)</f>
        <v/>
      </c>
      <c r="O1637" s="1" t="str">
        <f t="shared" si="127"/>
        <v>Starter</v>
      </c>
      <c r="P1637" t="str">
        <f>TEXT(B1637, "mmmm")</f>
        <v>April</v>
      </c>
      <c r="Q1637" t="str">
        <f t="shared" si="128"/>
        <v>Q2</v>
      </c>
      <c r="R1637" t="str">
        <f>IFERROR(VLOOKUP(TRIM(CLEAN(G1637)),Sheet14!$A$2:$B$19,2,FALSE),"Not Mapped")</f>
        <v>West</v>
      </c>
    </row>
    <row r="1638" spans="1:18">
      <c r="A1638" t="str">
        <f t="shared" si="126"/>
        <v>EOS1637</v>
      </c>
      <c r="B1638" s="40">
        <v>46146</v>
      </c>
      <c r="C1638" s="9" t="s">
        <v>2269</v>
      </c>
      <c r="D1638" s="9"/>
      <c r="E1638" s="9" t="s">
        <v>2270</v>
      </c>
      <c r="F1638" s="9" t="s">
        <v>275</v>
      </c>
      <c r="G1638" s="9" t="s">
        <v>223</v>
      </c>
      <c r="H1638" s="9"/>
      <c r="I1638" s="1">
        <v>130000</v>
      </c>
      <c r="J1638" s="45">
        <v>1071636</v>
      </c>
      <c r="K1638" s="1" t="str">
        <f>TRIM(Cleaned_CRM_Data!H1638)</f>
        <v/>
      </c>
      <c r="L1638" t="str">
        <f>IFERROR(VLOOKUP(K1638, Status_Mapping!A:B, 2,), "Not Found")</f>
        <v>Not Found</v>
      </c>
      <c r="N1638" s="29" t="str">
        <f>IF(M1638="","",M1638-B1638)</f>
        <v/>
      </c>
      <c r="O1638" s="1" t="str">
        <f t="shared" si="127"/>
        <v>Starter</v>
      </c>
      <c r="P1638" t="str">
        <f>TEXT(B1638, "mmmm")</f>
        <v>May</v>
      </c>
      <c r="Q1638" t="str">
        <f t="shared" si="128"/>
        <v>Q2</v>
      </c>
      <c r="R1638" t="str">
        <f>IFERROR(VLOOKUP(TRIM(CLEAN(G1638)),Sheet14!$A$2:$B$19,2,FALSE),"Not Mapped")</f>
        <v>West</v>
      </c>
    </row>
    <row r="1639" spans="1:18">
      <c r="A1639" t="str">
        <f t="shared" si="126"/>
        <v>EOS1638</v>
      </c>
      <c r="B1639" s="40">
        <v>46146</v>
      </c>
      <c r="C1639" s="9" t="s">
        <v>267</v>
      </c>
      <c r="D1639" s="1" t="str">
        <f t="shared" ref="D1639:D1702" si="129">TRIM(CLEAN(SUBSTITUTE(C1639,CHAR(160),"")))</f>
        <v>FB</v>
      </c>
      <c r="E1639" s="9" t="s">
        <v>558</v>
      </c>
      <c r="F1639" s="9" t="s">
        <v>397</v>
      </c>
      <c r="G1639" s="9" t="s">
        <v>223</v>
      </c>
      <c r="H1639" s="9"/>
      <c r="I1639" s="1">
        <v>130000</v>
      </c>
      <c r="J1639" s="45">
        <v>1071637</v>
      </c>
      <c r="K1639" s="1" t="str">
        <f>TRIM(Cleaned_CRM_Data!H1639)</f>
        <v/>
      </c>
      <c r="L1639" t="str">
        <f>IFERROR(VLOOKUP(K1639, Status_Mapping!A:B, 2,), "Not Found")</f>
        <v>Not Found</v>
      </c>
      <c r="N1639" s="29" t="str">
        <f>IF(M1639="","",M1639-B1639)</f>
        <v/>
      </c>
      <c r="O1639" s="1" t="str">
        <f t="shared" si="127"/>
        <v>Starter</v>
      </c>
      <c r="P1639" t="str">
        <f>TEXT(B1639, "mmmm")</f>
        <v>May</v>
      </c>
      <c r="Q1639" t="str">
        <f t="shared" si="128"/>
        <v>Q2</v>
      </c>
      <c r="R1639" t="str">
        <f>IFERROR(VLOOKUP(TRIM(CLEAN(G1639)),Sheet14!$A$2:$B$19,2,FALSE),"Not Mapped")</f>
        <v>West</v>
      </c>
    </row>
    <row r="1640" spans="1:18">
      <c r="A1640" t="str">
        <f t="shared" si="126"/>
        <v>EOS1639</v>
      </c>
      <c r="B1640" s="40">
        <v>46146</v>
      </c>
      <c r="C1640" s="9" t="s">
        <v>267</v>
      </c>
      <c r="D1640" s="1" t="str">
        <f t="shared" si="129"/>
        <v>FB</v>
      </c>
      <c r="E1640" s="9" t="s">
        <v>2271</v>
      </c>
      <c r="F1640" s="9" t="s">
        <v>300</v>
      </c>
      <c r="G1640" s="9" t="s">
        <v>223</v>
      </c>
      <c r="H1640" s="9"/>
      <c r="I1640" s="1">
        <v>130000</v>
      </c>
      <c r="J1640" s="45">
        <v>1071638</v>
      </c>
      <c r="K1640" s="1" t="str">
        <f>TRIM(Cleaned_CRM_Data!H1640)</f>
        <v/>
      </c>
      <c r="L1640" t="str">
        <f>IFERROR(VLOOKUP(K1640, Status_Mapping!A:B, 2,), "Not Found")</f>
        <v>Not Found</v>
      </c>
      <c r="N1640" s="29" t="str">
        <f>IF(M1640="","",M1640-B1640)</f>
        <v/>
      </c>
      <c r="O1640" s="1" t="str">
        <f t="shared" si="127"/>
        <v>Starter</v>
      </c>
      <c r="P1640" t="str">
        <f>TEXT(B1640, "mmmm")</f>
        <v>May</v>
      </c>
      <c r="Q1640" t="str">
        <f t="shared" si="128"/>
        <v>Q2</v>
      </c>
      <c r="R1640" t="str">
        <f>IFERROR(VLOOKUP(TRIM(CLEAN(G1640)),Sheet14!$A$2:$B$19,2,FALSE),"Not Mapped")</f>
        <v>West</v>
      </c>
    </row>
    <row r="1641" spans="1:18">
      <c r="A1641" t="str">
        <f t="shared" si="126"/>
        <v>EOS1640</v>
      </c>
      <c r="B1641" s="40">
        <v>46146</v>
      </c>
      <c r="C1641" s="9" t="s">
        <v>267</v>
      </c>
      <c r="D1641" s="1" t="str">
        <f t="shared" si="129"/>
        <v>FB</v>
      </c>
      <c r="E1641" s="9" t="s">
        <v>2272</v>
      </c>
      <c r="F1641" s="9" t="s">
        <v>286</v>
      </c>
      <c r="G1641" s="9" t="s">
        <v>223</v>
      </c>
      <c r="H1641" s="9"/>
      <c r="I1641" s="1">
        <v>108000</v>
      </c>
      <c r="J1641" s="45">
        <v>1071639</v>
      </c>
      <c r="K1641" s="1" t="str">
        <f>TRIM(Cleaned_CRM_Data!H1641)</f>
        <v/>
      </c>
      <c r="L1641" t="str">
        <f>IFERROR(VLOOKUP(K1641, Status_Mapping!A:B, 2,), "Not Found")</f>
        <v>Not Found</v>
      </c>
      <c r="N1641" s="29" t="str">
        <f>IF(M1641="","",M1641-B1641)</f>
        <v/>
      </c>
      <c r="O1641" s="1" t="str">
        <f t="shared" si="127"/>
        <v>Starter</v>
      </c>
      <c r="P1641" t="str">
        <f>TEXT(B1641, "mmmm")</f>
        <v>May</v>
      </c>
      <c r="Q1641" t="str">
        <f t="shared" si="128"/>
        <v>Q2</v>
      </c>
      <c r="R1641" t="str">
        <f>IFERROR(VLOOKUP(TRIM(CLEAN(G1641)),Sheet14!$A$2:$B$19,2,FALSE),"Not Mapped")</f>
        <v>West</v>
      </c>
    </row>
    <row r="1642" spans="1:18">
      <c r="A1642" t="str">
        <f t="shared" si="126"/>
        <v>EOS1641</v>
      </c>
      <c r="B1642" s="40">
        <v>46146</v>
      </c>
      <c r="C1642" s="9" t="s">
        <v>267</v>
      </c>
      <c r="D1642" s="1" t="str">
        <f t="shared" si="129"/>
        <v>FB</v>
      </c>
      <c r="E1642" s="9" t="s">
        <v>2273</v>
      </c>
      <c r="F1642" s="9" t="s">
        <v>350</v>
      </c>
      <c r="G1642" s="9" t="s">
        <v>223</v>
      </c>
      <c r="H1642" s="9"/>
      <c r="I1642" s="1">
        <v>108000</v>
      </c>
      <c r="J1642" s="45">
        <v>1071640</v>
      </c>
      <c r="K1642" s="1" t="str">
        <f>TRIM(Cleaned_CRM_Data!H1642)</f>
        <v/>
      </c>
      <c r="L1642" t="str">
        <f>IFERROR(VLOOKUP(K1642, Status_Mapping!A:B, 2,), "Not Found")</f>
        <v>Not Found</v>
      </c>
      <c r="N1642" s="29" t="str">
        <f>IF(M1642="","",M1642-B1642)</f>
        <v/>
      </c>
      <c r="O1642" s="1" t="str">
        <f t="shared" si="127"/>
        <v>Starter</v>
      </c>
      <c r="P1642" t="str">
        <f>TEXT(B1642, "mmmm")</f>
        <v>May</v>
      </c>
      <c r="Q1642" t="str">
        <f t="shared" si="128"/>
        <v>Q2</v>
      </c>
      <c r="R1642" t="str">
        <f>IFERROR(VLOOKUP(TRIM(CLEAN(G1642)),Sheet14!$A$2:$B$19,2,FALSE),"Not Mapped")</f>
        <v>West</v>
      </c>
    </row>
    <row r="1643" spans="1:18">
      <c r="A1643" t="str">
        <f t="shared" si="126"/>
        <v>EOS1642</v>
      </c>
      <c r="B1643" s="40">
        <v>46146</v>
      </c>
      <c r="C1643" s="9" t="s">
        <v>267</v>
      </c>
      <c r="D1643" s="1" t="str">
        <f t="shared" si="129"/>
        <v>FB</v>
      </c>
      <c r="E1643" s="9" t="s">
        <v>2274</v>
      </c>
      <c r="F1643" s="9" t="s">
        <v>358</v>
      </c>
      <c r="G1643" s="9" t="s">
        <v>223</v>
      </c>
      <c r="H1643" s="9"/>
      <c r="I1643" s="1">
        <v>130000</v>
      </c>
      <c r="J1643" s="45">
        <v>1071641</v>
      </c>
      <c r="K1643" s="1" t="str">
        <f>TRIM(Cleaned_CRM_Data!H1643)</f>
        <v/>
      </c>
      <c r="L1643" t="str">
        <f>IFERROR(VLOOKUP(K1643, Status_Mapping!A:B, 2,), "Not Found")</f>
        <v>Not Found</v>
      </c>
      <c r="N1643" s="29" t="str">
        <f>IF(M1643="","",M1643-B1643)</f>
        <v/>
      </c>
      <c r="O1643" s="1" t="str">
        <f t="shared" si="127"/>
        <v>Starter</v>
      </c>
      <c r="P1643" t="str">
        <f>TEXT(B1643, "mmmm")</f>
        <v>May</v>
      </c>
      <c r="Q1643" t="str">
        <f t="shared" si="128"/>
        <v>Q2</v>
      </c>
      <c r="R1643" t="str">
        <f>IFERROR(VLOOKUP(TRIM(CLEAN(G1643)),Sheet14!$A$2:$B$19,2,FALSE),"Not Mapped")</f>
        <v>West</v>
      </c>
    </row>
    <row r="1644" spans="1:18">
      <c r="A1644" t="str">
        <f t="shared" si="126"/>
        <v>EOS1643</v>
      </c>
      <c r="B1644" s="40">
        <v>46146</v>
      </c>
      <c r="C1644" s="9" t="s">
        <v>267</v>
      </c>
      <c r="D1644" s="1" t="str">
        <f t="shared" si="129"/>
        <v>FB</v>
      </c>
      <c r="E1644" s="9" t="s">
        <v>2275</v>
      </c>
      <c r="F1644" s="9" t="s">
        <v>2276</v>
      </c>
      <c r="G1644" s="9" t="s">
        <v>223</v>
      </c>
      <c r="H1644" s="9"/>
      <c r="I1644" s="1">
        <v>177000</v>
      </c>
      <c r="J1644" s="45">
        <v>1071642</v>
      </c>
      <c r="K1644" s="1" t="str">
        <f>TRIM(Cleaned_CRM_Data!H1644)</f>
        <v/>
      </c>
      <c r="L1644" t="str">
        <f>IFERROR(VLOOKUP(K1644, Status_Mapping!A:B, 2,), "Not Found")</f>
        <v>Not Found</v>
      </c>
      <c r="N1644" s="29" t="str">
        <f>IF(M1644="","",M1644-B1644)</f>
        <v/>
      </c>
      <c r="O1644" s="1" t="str">
        <f t="shared" si="127"/>
        <v>Growth</v>
      </c>
      <c r="P1644" t="str">
        <f>TEXT(B1644, "mmmm")</f>
        <v>May</v>
      </c>
      <c r="Q1644" t="str">
        <f t="shared" si="128"/>
        <v>Q2</v>
      </c>
      <c r="R1644" t="str">
        <f>IFERROR(VLOOKUP(TRIM(CLEAN(G1644)),Sheet14!$A$2:$B$19,2,FALSE),"Not Mapped")</f>
        <v>West</v>
      </c>
    </row>
    <row r="1645" spans="1:18">
      <c r="A1645" t="str">
        <f t="shared" si="126"/>
        <v>EOS1644</v>
      </c>
      <c r="B1645" s="40">
        <v>46146</v>
      </c>
      <c r="C1645" s="9" t="s">
        <v>267</v>
      </c>
      <c r="D1645" s="1" t="str">
        <f t="shared" si="129"/>
        <v>FB</v>
      </c>
      <c r="E1645" s="9" t="s">
        <v>2277</v>
      </c>
      <c r="F1645" s="4" t="s">
        <v>321</v>
      </c>
      <c r="G1645" s="4" t="s">
        <v>223</v>
      </c>
      <c r="H1645" s="4"/>
      <c r="I1645" s="1">
        <v>130000</v>
      </c>
      <c r="J1645" s="45">
        <v>1071643</v>
      </c>
      <c r="K1645" s="1" t="str">
        <f>TRIM(Cleaned_CRM_Data!H1645)</f>
        <v/>
      </c>
      <c r="L1645" t="str">
        <f>IFERROR(VLOOKUP(K1645, Status_Mapping!A:B, 2,), "Not Found")</f>
        <v>Not Found</v>
      </c>
      <c r="N1645" s="29" t="str">
        <f>IF(M1645="","",M1645-B1645)</f>
        <v/>
      </c>
      <c r="O1645" s="1" t="str">
        <f t="shared" si="127"/>
        <v>Starter</v>
      </c>
      <c r="P1645" t="str">
        <f>TEXT(B1645, "mmmm")</f>
        <v>May</v>
      </c>
      <c r="Q1645" t="str">
        <f t="shared" si="128"/>
        <v>Q2</v>
      </c>
      <c r="R1645" t="str">
        <f>IFERROR(VLOOKUP(TRIM(CLEAN(G1645)),Sheet14!$A$2:$B$19,2,FALSE),"Not Mapped")</f>
        <v>West</v>
      </c>
    </row>
    <row r="1646" spans="1:18">
      <c r="A1646" t="str">
        <f t="shared" si="126"/>
        <v>EOS1645</v>
      </c>
      <c r="B1646" s="38">
        <v>46146</v>
      </c>
      <c r="C1646" s="4" t="s">
        <v>267</v>
      </c>
      <c r="D1646" s="1" t="str">
        <f t="shared" si="129"/>
        <v>FB</v>
      </c>
      <c r="E1646" s="4" t="s">
        <v>2278</v>
      </c>
      <c r="F1646" s="9" t="s">
        <v>304</v>
      </c>
      <c r="G1646" s="9" t="s">
        <v>223</v>
      </c>
      <c r="H1646" s="9"/>
      <c r="I1646" s="1">
        <v>108000</v>
      </c>
      <c r="J1646" s="45">
        <v>1071644</v>
      </c>
      <c r="K1646" s="1" t="str">
        <f>TRIM(Cleaned_CRM_Data!H1646)</f>
        <v/>
      </c>
      <c r="L1646" t="str">
        <f>IFERROR(VLOOKUP(K1646, Status_Mapping!A:B, 2,), "Not Found")</f>
        <v>Not Found</v>
      </c>
      <c r="N1646" s="29" t="str">
        <f>IF(M1646="","",M1646-B1646)</f>
        <v/>
      </c>
      <c r="O1646" s="1" t="str">
        <f t="shared" si="127"/>
        <v>Starter</v>
      </c>
      <c r="P1646" t="str">
        <f>TEXT(B1646, "mmmm")</f>
        <v>May</v>
      </c>
      <c r="Q1646" t="str">
        <f t="shared" si="128"/>
        <v>Q2</v>
      </c>
      <c r="R1646" t="str">
        <f>IFERROR(VLOOKUP(TRIM(CLEAN(G1646)),Sheet14!$A$2:$B$19,2,FALSE),"Not Mapped")</f>
        <v>West</v>
      </c>
    </row>
    <row r="1647" spans="1:18">
      <c r="A1647" t="str">
        <f t="shared" si="126"/>
        <v>EOS1646</v>
      </c>
      <c r="B1647" s="40">
        <v>46146</v>
      </c>
      <c r="C1647" s="9" t="s">
        <v>267</v>
      </c>
      <c r="D1647" s="1" t="str">
        <f t="shared" si="129"/>
        <v>FB</v>
      </c>
      <c r="E1647" s="9" t="s">
        <v>2279</v>
      </c>
      <c r="F1647" s="9" t="s">
        <v>539</v>
      </c>
      <c r="G1647" s="9" t="s">
        <v>223</v>
      </c>
      <c r="H1647" s="9"/>
      <c r="I1647" s="1">
        <v>130000</v>
      </c>
      <c r="J1647" s="45">
        <v>1071645</v>
      </c>
      <c r="K1647" s="1" t="str">
        <f>TRIM(Cleaned_CRM_Data!H1647)</f>
        <v/>
      </c>
      <c r="L1647" t="str">
        <f>IFERROR(VLOOKUP(K1647, Status_Mapping!A:B, 2,), "Not Found")</f>
        <v>Not Found</v>
      </c>
      <c r="N1647" s="29" t="str">
        <f>IF(M1647="","",M1647-B1647)</f>
        <v/>
      </c>
      <c r="O1647" s="1" t="str">
        <f t="shared" si="127"/>
        <v>Starter</v>
      </c>
      <c r="P1647" t="str">
        <f>TEXT(B1647, "mmmm")</f>
        <v>May</v>
      </c>
      <c r="Q1647" t="str">
        <f t="shared" si="128"/>
        <v>Q2</v>
      </c>
      <c r="R1647" t="str">
        <f>IFERROR(VLOOKUP(TRIM(CLEAN(G1647)),Sheet14!$A$2:$B$19,2,FALSE),"Not Mapped")</f>
        <v>West</v>
      </c>
    </row>
    <row r="1648" spans="1:18">
      <c r="A1648" t="str">
        <f t="shared" si="126"/>
        <v>EOS1647</v>
      </c>
      <c r="B1648" s="40">
        <v>46146</v>
      </c>
      <c r="C1648" s="9" t="s">
        <v>267</v>
      </c>
      <c r="D1648" s="1" t="str">
        <f t="shared" si="129"/>
        <v>FB</v>
      </c>
      <c r="E1648" s="9" t="s">
        <v>2280</v>
      </c>
      <c r="F1648" s="11" t="s">
        <v>2281</v>
      </c>
      <c r="G1648" s="11" t="s">
        <v>223</v>
      </c>
      <c r="H1648" s="11"/>
      <c r="I1648" s="1">
        <v>177000</v>
      </c>
      <c r="J1648" s="45">
        <v>1071646</v>
      </c>
      <c r="K1648" s="1" t="str">
        <f>TRIM(Cleaned_CRM_Data!H1648)</f>
        <v/>
      </c>
      <c r="L1648" t="str">
        <f>IFERROR(VLOOKUP(K1648, Status_Mapping!A:B, 2,), "Not Found")</f>
        <v>Not Found</v>
      </c>
      <c r="N1648" s="29" t="str">
        <f>IF(M1648="","",M1648-B1648)</f>
        <v/>
      </c>
      <c r="O1648" s="1" t="str">
        <f t="shared" si="127"/>
        <v>Growth</v>
      </c>
      <c r="P1648" t="str">
        <f>TEXT(B1648, "mmmm")</f>
        <v>May</v>
      </c>
      <c r="Q1648" t="str">
        <f t="shared" si="128"/>
        <v>Q2</v>
      </c>
      <c r="R1648" t="str">
        <f>IFERROR(VLOOKUP(TRIM(CLEAN(G1648)),Sheet14!$A$2:$B$19,2,FALSE),"Not Mapped")</f>
        <v>West</v>
      </c>
    </row>
    <row r="1649" spans="1:18">
      <c r="A1649" t="str">
        <f t="shared" si="126"/>
        <v>EOS1648</v>
      </c>
      <c r="B1649" s="41">
        <v>46146</v>
      </c>
      <c r="C1649" s="11" t="s">
        <v>267</v>
      </c>
      <c r="D1649" s="1" t="str">
        <f t="shared" si="129"/>
        <v>FB</v>
      </c>
      <c r="E1649" s="11" t="s">
        <v>2282</v>
      </c>
      <c r="F1649" s="9" t="s">
        <v>292</v>
      </c>
      <c r="G1649" s="9" t="s">
        <v>223</v>
      </c>
      <c r="H1649" s="9"/>
      <c r="I1649" s="1">
        <v>108000</v>
      </c>
      <c r="J1649" s="45">
        <v>1071647</v>
      </c>
      <c r="K1649" s="1" t="str">
        <f>TRIM(Cleaned_CRM_Data!H1649)</f>
        <v/>
      </c>
      <c r="L1649" t="str">
        <f>IFERROR(VLOOKUP(K1649, Status_Mapping!A:B, 2,), "Not Found")</f>
        <v>Not Found</v>
      </c>
      <c r="N1649" s="29" t="str">
        <f>IF(M1649="","",M1649-B1649)</f>
        <v/>
      </c>
      <c r="O1649" s="1" t="str">
        <f t="shared" si="127"/>
        <v>Starter</v>
      </c>
      <c r="P1649" t="str">
        <f>TEXT(B1649, "mmmm")</f>
        <v>May</v>
      </c>
      <c r="Q1649" t="str">
        <f t="shared" si="128"/>
        <v>Q2</v>
      </c>
      <c r="R1649" t="str">
        <f>IFERROR(VLOOKUP(TRIM(CLEAN(G1649)),Sheet14!$A$2:$B$19,2,FALSE),"Not Mapped")</f>
        <v>West</v>
      </c>
    </row>
    <row r="1650" spans="1:18">
      <c r="A1650" t="str">
        <f t="shared" si="126"/>
        <v>EOS1649</v>
      </c>
      <c r="B1650" s="40">
        <v>46146</v>
      </c>
      <c r="C1650" s="9" t="s">
        <v>267</v>
      </c>
      <c r="D1650" s="1" t="str">
        <f t="shared" si="129"/>
        <v>FB</v>
      </c>
      <c r="E1650" s="9" t="s">
        <v>2283</v>
      </c>
      <c r="F1650" s="9" t="s">
        <v>2284</v>
      </c>
      <c r="G1650" s="9" t="s">
        <v>223</v>
      </c>
      <c r="H1650" s="9"/>
      <c r="I1650" s="1">
        <v>177000</v>
      </c>
      <c r="J1650" s="45">
        <v>1071648</v>
      </c>
      <c r="K1650" s="1" t="str">
        <f>TRIM(Cleaned_CRM_Data!H1650)</f>
        <v/>
      </c>
      <c r="L1650" t="str">
        <f>IFERROR(VLOOKUP(K1650, Status_Mapping!A:B, 2,), "Not Found")</f>
        <v>Not Found</v>
      </c>
      <c r="N1650" s="29" t="str">
        <f>IF(M1650="","",M1650-B1650)</f>
        <v/>
      </c>
      <c r="O1650" s="1" t="str">
        <f t="shared" si="127"/>
        <v>Growth</v>
      </c>
      <c r="P1650" t="str">
        <f>TEXT(B1650, "mmmm")</f>
        <v>May</v>
      </c>
      <c r="Q1650" t="str">
        <f t="shared" si="128"/>
        <v>Q2</v>
      </c>
      <c r="R1650" t="str">
        <f>IFERROR(VLOOKUP(TRIM(CLEAN(G1650)),Sheet14!$A$2:$B$19,2,FALSE),"Not Mapped")</f>
        <v>West</v>
      </c>
    </row>
    <row r="1651" spans="1:18">
      <c r="A1651" t="str">
        <f t="shared" si="126"/>
        <v>EOS1650</v>
      </c>
      <c r="B1651" s="40">
        <v>46147</v>
      </c>
      <c r="C1651" s="9" t="s">
        <v>267</v>
      </c>
      <c r="D1651" s="1" t="str">
        <f t="shared" si="129"/>
        <v>FB</v>
      </c>
      <c r="E1651" s="9" t="s">
        <v>2285</v>
      </c>
      <c r="F1651" s="9" t="s">
        <v>418</v>
      </c>
      <c r="G1651" s="9" t="s">
        <v>223</v>
      </c>
      <c r="H1651" s="9"/>
      <c r="I1651" s="1">
        <v>108000</v>
      </c>
      <c r="J1651" s="45">
        <v>1071649</v>
      </c>
      <c r="K1651" s="1" t="str">
        <f>TRIM(Cleaned_CRM_Data!H1651)</f>
        <v/>
      </c>
      <c r="L1651" t="str">
        <f>IFERROR(VLOOKUP(K1651, Status_Mapping!A:B, 2,), "Not Found")</f>
        <v>Not Found</v>
      </c>
      <c r="N1651" s="29" t="str">
        <f>IF(M1651="","",M1651-B1651)</f>
        <v/>
      </c>
      <c r="O1651" s="1" t="str">
        <f t="shared" si="127"/>
        <v>Starter</v>
      </c>
      <c r="P1651" t="str">
        <f>TEXT(B1651, "mmmm")</f>
        <v>May</v>
      </c>
      <c r="Q1651" t="str">
        <f t="shared" si="128"/>
        <v>Q2</v>
      </c>
      <c r="R1651" t="str">
        <f>IFERROR(VLOOKUP(TRIM(CLEAN(G1651)),Sheet14!$A$2:$B$19,2,FALSE),"Not Mapped")</f>
        <v>West</v>
      </c>
    </row>
    <row r="1652" spans="1:18">
      <c r="A1652" t="str">
        <f t="shared" si="126"/>
        <v>EOS1651</v>
      </c>
      <c r="B1652" s="40">
        <v>46147</v>
      </c>
      <c r="C1652" s="9" t="s">
        <v>267</v>
      </c>
      <c r="D1652" s="1" t="str">
        <f t="shared" si="129"/>
        <v>FB</v>
      </c>
      <c r="E1652" s="9" t="s">
        <v>2286</v>
      </c>
      <c r="F1652" s="9" t="s">
        <v>354</v>
      </c>
      <c r="G1652" s="9" t="s">
        <v>223</v>
      </c>
      <c r="H1652" s="9"/>
      <c r="I1652" s="1">
        <v>130000</v>
      </c>
      <c r="J1652" s="45">
        <v>1071650</v>
      </c>
      <c r="K1652" s="1" t="str">
        <f>TRIM(Cleaned_CRM_Data!H1652)</f>
        <v/>
      </c>
      <c r="L1652" t="str">
        <f>IFERROR(VLOOKUP(K1652, Status_Mapping!A:B, 2,), "Not Found")</f>
        <v>Not Found</v>
      </c>
      <c r="N1652" s="29" t="str">
        <f>IF(M1652="","",M1652-B1652)</f>
        <v/>
      </c>
      <c r="O1652" s="1" t="str">
        <f t="shared" si="127"/>
        <v>Starter</v>
      </c>
      <c r="P1652" t="str">
        <f>TEXT(B1652, "mmmm")</f>
        <v>May</v>
      </c>
      <c r="Q1652" t="str">
        <f t="shared" si="128"/>
        <v>Q2</v>
      </c>
      <c r="R1652" t="str">
        <f>IFERROR(VLOOKUP(TRIM(CLEAN(G1652)),Sheet14!$A$2:$B$19,2,FALSE),"Not Mapped")</f>
        <v>West</v>
      </c>
    </row>
    <row r="1653" spans="1:18">
      <c r="A1653" t="str">
        <f t="shared" si="126"/>
        <v>EOS1652</v>
      </c>
      <c r="B1653" s="40">
        <v>46147</v>
      </c>
      <c r="C1653" s="9" t="s">
        <v>267</v>
      </c>
      <c r="D1653" s="1" t="str">
        <f t="shared" si="129"/>
        <v>FB</v>
      </c>
      <c r="E1653" s="9" t="s">
        <v>2287</v>
      </c>
      <c r="F1653" s="9" t="s">
        <v>2288</v>
      </c>
      <c r="G1653" s="9" t="s">
        <v>223</v>
      </c>
      <c r="H1653" s="9"/>
      <c r="I1653" s="1">
        <v>108000</v>
      </c>
      <c r="J1653" s="45">
        <v>1071651</v>
      </c>
      <c r="K1653" s="1" t="str">
        <f>TRIM(Cleaned_CRM_Data!H1653)</f>
        <v/>
      </c>
      <c r="L1653" t="str">
        <f>IFERROR(VLOOKUP(K1653, Status_Mapping!A:B, 2,), "Not Found")</f>
        <v>Not Found</v>
      </c>
      <c r="N1653" s="29" t="str">
        <f>IF(M1653="","",M1653-B1653)</f>
        <v/>
      </c>
      <c r="O1653" s="1" t="str">
        <f t="shared" si="127"/>
        <v>Starter</v>
      </c>
      <c r="P1653" t="str">
        <f>TEXT(B1653, "mmmm")</f>
        <v>May</v>
      </c>
      <c r="Q1653" t="str">
        <f t="shared" si="128"/>
        <v>Q2</v>
      </c>
      <c r="R1653" t="str">
        <f>IFERROR(VLOOKUP(TRIM(CLEAN(G1653)),Sheet14!$A$2:$B$19,2,FALSE),"Not Mapped")</f>
        <v>West</v>
      </c>
    </row>
    <row r="1654" spans="1:18">
      <c r="A1654" t="str">
        <f t="shared" si="126"/>
        <v>EOS1653</v>
      </c>
      <c r="B1654" s="40">
        <v>46147</v>
      </c>
      <c r="C1654" s="9" t="s">
        <v>267</v>
      </c>
      <c r="D1654" s="1" t="str">
        <f t="shared" si="129"/>
        <v>FB</v>
      </c>
      <c r="E1654" s="9" t="s">
        <v>2289</v>
      </c>
      <c r="F1654" s="9" t="s">
        <v>2050</v>
      </c>
      <c r="G1654" s="9" t="s">
        <v>223</v>
      </c>
      <c r="H1654" s="9"/>
      <c r="I1654" s="1">
        <v>108000</v>
      </c>
      <c r="J1654" s="45">
        <v>1071652</v>
      </c>
      <c r="K1654" s="1" t="str">
        <f>TRIM(Cleaned_CRM_Data!H1654)</f>
        <v/>
      </c>
      <c r="L1654" t="str">
        <f>IFERROR(VLOOKUP(K1654, Status_Mapping!A:B, 2,), "Not Found")</f>
        <v>Not Found</v>
      </c>
      <c r="N1654" s="29" t="str">
        <f>IF(M1654="","",M1654-B1654)</f>
        <v/>
      </c>
      <c r="O1654" s="1" t="str">
        <f t="shared" si="127"/>
        <v>Starter</v>
      </c>
      <c r="P1654" t="str">
        <f>TEXT(B1654, "mmmm")</f>
        <v>May</v>
      </c>
      <c r="Q1654" t="str">
        <f t="shared" si="128"/>
        <v>Q2</v>
      </c>
      <c r="R1654" t="str">
        <f>IFERROR(VLOOKUP(TRIM(CLEAN(G1654)),Sheet14!$A$2:$B$19,2,FALSE),"Not Mapped")</f>
        <v>West</v>
      </c>
    </row>
    <row r="1655" spans="1:18">
      <c r="A1655" t="str">
        <f t="shared" si="126"/>
        <v>EOS1654</v>
      </c>
      <c r="B1655" s="40">
        <v>46147</v>
      </c>
      <c r="C1655" s="9" t="s">
        <v>267</v>
      </c>
      <c r="D1655" s="1" t="str">
        <f t="shared" si="129"/>
        <v>FB</v>
      </c>
      <c r="E1655" s="9" t="s">
        <v>2290</v>
      </c>
      <c r="F1655" s="9" t="s">
        <v>2291</v>
      </c>
      <c r="G1655" s="9" t="s">
        <v>229</v>
      </c>
      <c r="H1655" s="9"/>
      <c r="I1655" s="1">
        <v>108000</v>
      </c>
      <c r="J1655" s="45">
        <v>1071653</v>
      </c>
      <c r="K1655" s="1" t="str">
        <f>TRIM(Cleaned_CRM_Data!H1655)</f>
        <v/>
      </c>
      <c r="L1655" t="str">
        <f>IFERROR(VLOOKUP(K1655, Status_Mapping!A:B, 2,), "Not Found")</f>
        <v>Not Found</v>
      </c>
      <c r="N1655" s="29" t="str">
        <f>IF(M1655="","",M1655-B1655)</f>
        <v/>
      </c>
      <c r="O1655" s="1" t="str">
        <f t="shared" si="127"/>
        <v>Starter</v>
      </c>
      <c r="P1655" t="str">
        <f>TEXT(B1655, "mmmm")</f>
        <v>May</v>
      </c>
      <c r="Q1655" t="str">
        <f t="shared" si="128"/>
        <v>Q2</v>
      </c>
      <c r="R1655" t="str">
        <f>IFERROR(VLOOKUP(TRIM(CLEAN(G1655)),Sheet14!$A$2:$B$19,2,FALSE),"Not Mapped")</f>
        <v>West</v>
      </c>
    </row>
    <row r="1656" spans="1:18">
      <c r="A1656" t="str">
        <f t="shared" si="126"/>
        <v>EOS1655</v>
      </c>
      <c r="B1656" s="40">
        <v>46147</v>
      </c>
      <c r="C1656" s="9" t="s">
        <v>267</v>
      </c>
      <c r="D1656" s="1" t="str">
        <f t="shared" si="129"/>
        <v>FB</v>
      </c>
      <c r="E1656" s="9" t="s">
        <v>2292</v>
      </c>
      <c r="F1656" s="9" t="s">
        <v>2291</v>
      </c>
      <c r="G1656" s="9" t="s">
        <v>229</v>
      </c>
      <c r="H1656" s="9"/>
      <c r="I1656" s="1">
        <v>108000</v>
      </c>
      <c r="J1656" s="45">
        <v>1071654</v>
      </c>
      <c r="K1656" s="1" t="str">
        <f>TRIM(Cleaned_CRM_Data!H1656)</f>
        <v/>
      </c>
      <c r="L1656" t="str">
        <f>IFERROR(VLOOKUP(K1656, Status_Mapping!A:B, 2,), "Not Found")</f>
        <v>Not Found</v>
      </c>
      <c r="N1656" s="29" t="str">
        <f>IF(M1656="","",M1656-B1656)</f>
        <v/>
      </c>
      <c r="O1656" s="1" t="str">
        <f t="shared" si="127"/>
        <v>Starter</v>
      </c>
      <c r="P1656" t="str">
        <f>TEXT(B1656, "mmmm")</f>
        <v>May</v>
      </c>
      <c r="Q1656" t="str">
        <f t="shared" si="128"/>
        <v>Q2</v>
      </c>
      <c r="R1656" t="str">
        <f>IFERROR(VLOOKUP(TRIM(CLEAN(G1656)),Sheet14!$A$2:$B$19,2,FALSE),"Not Mapped")</f>
        <v>West</v>
      </c>
    </row>
    <row r="1657" spans="1:18">
      <c r="A1657" t="str">
        <f t="shared" si="126"/>
        <v>EOS1656</v>
      </c>
      <c r="B1657" s="40">
        <v>46147</v>
      </c>
      <c r="C1657" s="9" t="s">
        <v>267</v>
      </c>
      <c r="D1657" s="1" t="str">
        <f t="shared" si="129"/>
        <v>FB</v>
      </c>
      <c r="E1657" s="9" t="s">
        <v>2293</v>
      </c>
      <c r="F1657" s="9" t="s">
        <v>2294</v>
      </c>
      <c r="G1657" s="9" t="s">
        <v>229</v>
      </c>
      <c r="H1657" s="9"/>
      <c r="I1657" s="1">
        <v>177000</v>
      </c>
      <c r="J1657" s="45">
        <v>1071655</v>
      </c>
      <c r="K1657" s="1" t="str">
        <f>TRIM(Cleaned_CRM_Data!H1657)</f>
        <v/>
      </c>
      <c r="L1657" t="str">
        <f>IFERROR(VLOOKUP(K1657, Status_Mapping!A:B, 2,), "Not Found")</f>
        <v>Not Found</v>
      </c>
      <c r="N1657" s="29" t="str">
        <f>IF(M1657="","",M1657-B1657)</f>
        <v/>
      </c>
      <c r="O1657" s="1" t="str">
        <f t="shared" si="127"/>
        <v>Growth</v>
      </c>
      <c r="P1657" t="str">
        <f>TEXT(B1657, "mmmm")</f>
        <v>May</v>
      </c>
      <c r="Q1657" t="str">
        <f t="shared" si="128"/>
        <v>Q2</v>
      </c>
      <c r="R1657" t="str">
        <f>IFERROR(VLOOKUP(TRIM(CLEAN(G1657)),Sheet14!$A$2:$B$19,2,FALSE),"Not Mapped")</f>
        <v>West</v>
      </c>
    </row>
    <row r="1658" spans="1:18">
      <c r="A1658" t="str">
        <f t="shared" si="126"/>
        <v>EOS1657</v>
      </c>
      <c r="B1658" s="40">
        <v>46147</v>
      </c>
      <c r="C1658" s="9" t="s">
        <v>267</v>
      </c>
      <c r="D1658" s="1" t="str">
        <f t="shared" si="129"/>
        <v>FB</v>
      </c>
      <c r="E1658" s="9" t="s">
        <v>2295</v>
      </c>
      <c r="F1658" s="9" t="s">
        <v>300</v>
      </c>
      <c r="G1658" s="9" t="s">
        <v>223</v>
      </c>
      <c r="H1658" s="9"/>
      <c r="I1658" s="1">
        <v>108000</v>
      </c>
      <c r="J1658" s="45">
        <v>1071656</v>
      </c>
      <c r="K1658" s="1" t="str">
        <f>TRIM(Cleaned_CRM_Data!H1658)</f>
        <v/>
      </c>
      <c r="L1658" t="str">
        <f>IFERROR(VLOOKUP(K1658, Status_Mapping!A:B, 2,), "Not Found")</f>
        <v>Not Found</v>
      </c>
      <c r="N1658" s="29" t="str">
        <f>IF(M1658="","",M1658-B1658)</f>
        <v/>
      </c>
      <c r="O1658" s="1" t="str">
        <f t="shared" si="127"/>
        <v>Starter</v>
      </c>
      <c r="P1658" t="str">
        <f>TEXT(B1658, "mmmm")</f>
        <v>May</v>
      </c>
      <c r="Q1658" t="str">
        <f t="shared" si="128"/>
        <v>Q2</v>
      </c>
      <c r="R1658" t="str">
        <f>IFERROR(VLOOKUP(TRIM(CLEAN(G1658)),Sheet14!$A$2:$B$19,2,FALSE),"Not Mapped")</f>
        <v>West</v>
      </c>
    </row>
    <row r="1659" spans="1:18">
      <c r="A1659" t="str">
        <f t="shared" si="126"/>
        <v>EOS1658</v>
      </c>
      <c r="B1659" s="40">
        <v>46148</v>
      </c>
      <c r="C1659" s="9" t="s">
        <v>267</v>
      </c>
      <c r="D1659" s="1" t="str">
        <f t="shared" si="129"/>
        <v>FB</v>
      </c>
      <c r="E1659" s="9" t="s">
        <v>2296</v>
      </c>
      <c r="F1659" s="9" t="s">
        <v>304</v>
      </c>
      <c r="G1659" s="9" t="s">
        <v>223</v>
      </c>
      <c r="H1659" s="9"/>
      <c r="I1659" s="1">
        <v>130000</v>
      </c>
      <c r="J1659" s="45">
        <v>1071657</v>
      </c>
      <c r="K1659" s="1" t="str">
        <f>TRIM(Cleaned_CRM_Data!H1659)</f>
        <v/>
      </c>
      <c r="L1659" t="str">
        <f>IFERROR(VLOOKUP(K1659, Status_Mapping!A:B, 2,), "Not Found")</f>
        <v>Not Found</v>
      </c>
      <c r="N1659" s="29" t="str">
        <f>IF(M1659="","",M1659-B1659)</f>
        <v/>
      </c>
      <c r="O1659" s="1" t="str">
        <f t="shared" si="127"/>
        <v>Starter</v>
      </c>
      <c r="P1659" t="str">
        <f>TEXT(B1659, "mmmm")</f>
        <v>May</v>
      </c>
      <c r="Q1659" t="str">
        <f t="shared" si="128"/>
        <v>Q2</v>
      </c>
      <c r="R1659" t="str">
        <f>IFERROR(VLOOKUP(TRIM(CLEAN(G1659)),Sheet14!$A$2:$B$19,2,FALSE),"Not Mapped")</f>
        <v>West</v>
      </c>
    </row>
    <row r="1660" spans="1:18">
      <c r="A1660" t="str">
        <f t="shared" si="126"/>
        <v>EOS1659</v>
      </c>
      <c r="B1660" s="40">
        <v>46148</v>
      </c>
      <c r="C1660" s="9" t="s">
        <v>267</v>
      </c>
      <c r="D1660" s="1" t="str">
        <f t="shared" si="129"/>
        <v>FB</v>
      </c>
      <c r="E1660" s="9" t="s">
        <v>2297</v>
      </c>
      <c r="F1660" s="9" t="s">
        <v>2298</v>
      </c>
      <c r="G1660" s="9" t="s">
        <v>223</v>
      </c>
      <c r="H1660" s="9"/>
      <c r="I1660" s="1">
        <v>177000</v>
      </c>
      <c r="J1660" s="45">
        <v>1071658</v>
      </c>
      <c r="K1660" s="1" t="str">
        <f>TRIM(Cleaned_CRM_Data!H1660)</f>
        <v/>
      </c>
      <c r="L1660" t="str">
        <f>IFERROR(VLOOKUP(K1660, Status_Mapping!A:B, 2,), "Not Found")</f>
        <v>Not Found</v>
      </c>
      <c r="N1660" s="29" t="str">
        <f>IF(M1660="","",M1660-B1660)</f>
        <v/>
      </c>
      <c r="O1660" s="1" t="str">
        <f t="shared" si="127"/>
        <v>Growth</v>
      </c>
      <c r="P1660" t="str">
        <f>TEXT(B1660, "mmmm")</f>
        <v>May</v>
      </c>
      <c r="Q1660" t="str">
        <f t="shared" si="128"/>
        <v>Q2</v>
      </c>
      <c r="R1660" t="str">
        <f>IFERROR(VLOOKUP(TRIM(CLEAN(G1660)),Sheet14!$A$2:$B$19,2,FALSE),"Not Mapped")</f>
        <v>West</v>
      </c>
    </row>
    <row r="1661" spans="1:18">
      <c r="A1661" t="str">
        <f t="shared" si="126"/>
        <v>EOS1660</v>
      </c>
      <c r="B1661" s="40">
        <v>46148</v>
      </c>
      <c r="C1661" s="9" t="s">
        <v>267</v>
      </c>
      <c r="D1661" s="1" t="str">
        <f t="shared" si="129"/>
        <v>FB</v>
      </c>
      <c r="E1661" s="9" t="s">
        <v>2299</v>
      </c>
      <c r="F1661" s="9" t="s">
        <v>518</v>
      </c>
      <c r="G1661" s="9" t="s">
        <v>223</v>
      </c>
      <c r="H1661" s="9"/>
      <c r="I1661" s="1">
        <v>108000</v>
      </c>
      <c r="J1661" s="45">
        <v>1071659</v>
      </c>
      <c r="K1661" s="1" t="str">
        <f>TRIM(Cleaned_CRM_Data!H1661)</f>
        <v/>
      </c>
      <c r="L1661" t="str">
        <f>IFERROR(VLOOKUP(K1661, Status_Mapping!A:B, 2,), "Not Found")</f>
        <v>Not Found</v>
      </c>
      <c r="N1661" s="29" t="str">
        <f>IF(M1661="","",M1661-B1661)</f>
        <v/>
      </c>
      <c r="O1661" s="1" t="str">
        <f t="shared" si="127"/>
        <v>Starter</v>
      </c>
      <c r="P1661" t="str">
        <f>TEXT(B1661, "mmmm")</f>
        <v>May</v>
      </c>
      <c r="Q1661" t="str">
        <f t="shared" si="128"/>
        <v>Q2</v>
      </c>
      <c r="R1661" t="str">
        <f>IFERROR(VLOOKUP(TRIM(CLEAN(G1661)),Sheet14!$A$2:$B$19,2,FALSE),"Not Mapped")</f>
        <v>West</v>
      </c>
    </row>
    <row r="1662" spans="1:18">
      <c r="A1662" t="str">
        <f t="shared" si="126"/>
        <v>EOS1661</v>
      </c>
      <c r="B1662" s="40">
        <v>46148</v>
      </c>
      <c r="C1662" s="9" t="s">
        <v>267</v>
      </c>
      <c r="D1662" s="1" t="str">
        <f t="shared" si="129"/>
        <v>FB</v>
      </c>
      <c r="E1662" s="9" t="s">
        <v>2300</v>
      </c>
      <c r="F1662" s="9" t="s">
        <v>275</v>
      </c>
      <c r="G1662" s="9" t="s">
        <v>223</v>
      </c>
      <c r="H1662" s="9"/>
      <c r="I1662" s="1">
        <v>130000</v>
      </c>
      <c r="J1662" s="45">
        <v>1071660</v>
      </c>
      <c r="K1662" s="1" t="str">
        <f>TRIM(Cleaned_CRM_Data!H1662)</f>
        <v/>
      </c>
      <c r="L1662" t="str">
        <f>IFERROR(VLOOKUP(K1662, Status_Mapping!A:B, 2,), "Not Found")</f>
        <v>Not Found</v>
      </c>
      <c r="N1662" s="29" t="str">
        <f>IF(M1662="","",M1662-B1662)</f>
        <v/>
      </c>
      <c r="O1662" s="1" t="str">
        <f t="shared" si="127"/>
        <v>Starter</v>
      </c>
      <c r="P1662" t="str">
        <f>TEXT(B1662, "mmmm")</f>
        <v>May</v>
      </c>
      <c r="Q1662" t="str">
        <f t="shared" si="128"/>
        <v>Q2</v>
      </c>
      <c r="R1662" t="str">
        <f>IFERROR(VLOOKUP(TRIM(CLEAN(G1662)),Sheet14!$A$2:$B$19,2,FALSE),"Not Mapped")</f>
        <v>West</v>
      </c>
    </row>
    <row r="1663" spans="1:18">
      <c r="A1663" t="str">
        <f t="shared" si="126"/>
        <v>EOS1662</v>
      </c>
      <c r="B1663" s="40">
        <v>46148</v>
      </c>
      <c r="C1663" s="9" t="s">
        <v>267</v>
      </c>
      <c r="D1663" s="1" t="str">
        <f t="shared" si="129"/>
        <v>FB</v>
      </c>
      <c r="E1663" s="9" t="s">
        <v>2164</v>
      </c>
      <c r="F1663" s="9" t="s">
        <v>1384</v>
      </c>
      <c r="G1663" s="9" t="s">
        <v>223</v>
      </c>
      <c r="H1663" s="9"/>
      <c r="I1663" s="1">
        <v>108000</v>
      </c>
      <c r="J1663" s="45">
        <v>1071661</v>
      </c>
      <c r="K1663" s="1" t="str">
        <f>TRIM(Cleaned_CRM_Data!H1663)</f>
        <v/>
      </c>
      <c r="L1663" t="str">
        <f>IFERROR(VLOOKUP(K1663, Status_Mapping!A:B, 2,), "Not Found")</f>
        <v>Not Found</v>
      </c>
      <c r="N1663" s="29" t="str">
        <f>IF(M1663="","",M1663-B1663)</f>
        <v/>
      </c>
      <c r="O1663" s="1" t="str">
        <f t="shared" si="127"/>
        <v>Starter</v>
      </c>
      <c r="P1663" t="str">
        <f>TEXT(B1663, "mmmm")</f>
        <v>May</v>
      </c>
      <c r="Q1663" t="str">
        <f t="shared" si="128"/>
        <v>Q2</v>
      </c>
      <c r="R1663" t="str">
        <f>IFERROR(VLOOKUP(TRIM(CLEAN(G1663)),Sheet14!$A$2:$B$19,2,FALSE),"Not Mapped")</f>
        <v>West</v>
      </c>
    </row>
    <row r="1664" spans="1:18">
      <c r="A1664" t="str">
        <f t="shared" si="126"/>
        <v>EOS1663</v>
      </c>
      <c r="B1664" s="40">
        <v>46148</v>
      </c>
      <c r="C1664" s="9" t="s">
        <v>267</v>
      </c>
      <c r="D1664" s="1" t="str">
        <f t="shared" si="129"/>
        <v>FB</v>
      </c>
      <c r="E1664" s="9" t="s">
        <v>2160</v>
      </c>
      <c r="F1664" s="12" t="s">
        <v>292</v>
      </c>
      <c r="G1664" s="12" t="s">
        <v>223</v>
      </c>
      <c r="H1664" s="12"/>
      <c r="I1664" s="1">
        <v>130000</v>
      </c>
      <c r="J1664" s="45">
        <v>1071662</v>
      </c>
      <c r="K1664" s="1" t="str">
        <f>TRIM(Cleaned_CRM_Data!H1664)</f>
        <v/>
      </c>
      <c r="L1664" t="str">
        <f>IFERROR(VLOOKUP(K1664, Status_Mapping!A:B, 2,), "Not Found")</f>
        <v>Not Found</v>
      </c>
      <c r="N1664" s="29" t="str">
        <f>IF(M1664="","",M1664-B1664)</f>
        <v/>
      </c>
      <c r="O1664" s="1" t="str">
        <f t="shared" si="127"/>
        <v>Starter</v>
      </c>
      <c r="P1664" t="str">
        <f>TEXT(B1664, "mmmm")</f>
        <v>May</v>
      </c>
      <c r="Q1664" t="str">
        <f t="shared" si="128"/>
        <v>Q2</v>
      </c>
      <c r="R1664" t="str">
        <f>IFERROR(VLOOKUP(TRIM(CLEAN(G1664)),Sheet14!$A$2:$B$19,2,FALSE),"Not Mapped")</f>
        <v>West</v>
      </c>
    </row>
    <row r="1665" spans="1:18">
      <c r="A1665" t="str">
        <f t="shared" si="126"/>
        <v>EOS1664</v>
      </c>
      <c r="B1665" s="42">
        <v>46148</v>
      </c>
      <c r="C1665" s="12" t="s">
        <v>267</v>
      </c>
      <c r="D1665" s="1" t="str">
        <f t="shared" si="129"/>
        <v>FB</v>
      </c>
      <c r="E1665" s="12" t="s">
        <v>2161</v>
      </c>
      <c r="F1665" s="9" t="s">
        <v>275</v>
      </c>
      <c r="G1665" s="9" t="s">
        <v>223</v>
      </c>
      <c r="H1665" s="9"/>
      <c r="I1665" s="1">
        <v>108000</v>
      </c>
      <c r="J1665" s="45">
        <v>1071663</v>
      </c>
      <c r="K1665" s="1" t="str">
        <f>TRIM(Cleaned_CRM_Data!H1665)</f>
        <v/>
      </c>
      <c r="L1665" t="str">
        <f>IFERROR(VLOOKUP(K1665, Status_Mapping!A:B, 2,), "Not Found")</f>
        <v>Not Found</v>
      </c>
      <c r="N1665" s="29" t="str">
        <f>IF(M1665="","",M1665-B1665)</f>
        <v/>
      </c>
      <c r="O1665" s="1" t="str">
        <f t="shared" si="127"/>
        <v>Starter</v>
      </c>
      <c r="P1665" t="str">
        <f>TEXT(B1665, "mmmm")</f>
        <v>May</v>
      </c>
      <c r="Q1665" t="str">
        <f t="shared" si="128"/>
        <v>Q2</v>
      </c>
      <c r="R1665" t="str">
        <f>IFERROR(VLOOKUP(TRIM(CLEAN(G1665)),Sheet14!$A$2:$B$19,2,FALSE),"Not Mapped")</f>
        <v>West</v>
      </c>
    </row>
    <row r="1666" spans="1:18">
      <c r="A1666" t="str">
        <f t="shared" si="126"/>
        <v>EOS1665</v>
      </c>
      <c r="B1666" s="40">
        <v>46149</v>
      </c>
      <c r="C1666" s="9" t="s">
        <v>267</v>
      </c>
      <c r="D1666" s="1" t="str">
        <f t="shared" si="129"/>
        <v>FB</v>
      </c>
      <c r="E1666" s="9" t="s">
        <v>2301</v>
      </c>
      <c r="F1666" s="9" t="s">
        <v>844</v>
      </c>
      <c r="G1666" s="9" t="s">
        <v>223</v>
      </c>
      <c r="H1666" s="9"/>
      <c r="I1666" s="1">
        <v>108000</v>
      </c>
      <c r="J1666" s="45">
        <v>1071664</v>
      </c>
      <c r="K1666" s="1" t="str">
        <f>TRIM(Cleaned_CRM_Data!H1666)</f>
        <v/>
      </c>
      <c r="L1666" t="str">
        <f>IFERROR(VLOOKUP(K1666, Status_Mapping!A:B, 2,), "Not Found")</f>
        <v>Not Found</v>
      </c>
      <c r="N1666" s="29" t="str">
        <f>IF(M1666="","",M1666-B1666)</f>
        <v/>
      </c>
      <c r="O1666" s="1" t="str">
        <f t="shared" si="127"/>
        <v>Starter</v>
      </c>
      <c r="P1666" t="str">
        <f>TEXT(B1666, "mmmm")</f>
        <v>May</v>
      </c>
      <c r="Q1666" t="str">
        <f t="shared" si="128"/>
        <v>Q2</v>
      </c>
      <c r="R1666" t="str">
        <f>IFERROR(VLOOKUP(TRIM(CLEAN(G1666)),Sheet14!$A$2:$B$19,2,FALSE),"Not Mapped")</f>
        <v>West</v>
      </c>
    </row>
    <row r="1667" spans="1:18">
      <c r="A1667" t="str">
        <f t="shared" ref="A1667:A1730" si="130">"EOS"&amp;TEXT(ROW()-1,"0000")</f>
        <v>EOS1666</v>
      </c>
      <c r="B1667" s="40">
        <v>46149</v>
      </c>
      <c r="C1667" s="9" t="s">
        <v>267</v>
      </c>
      <c r="D1667" s="1" t="str">
        <f t="shared" si="129"/>
        <v>FB</v>
      </c>
      <c r="E1667" s="9" t="s">
        <v>2302</v>
      </c>
      <c r="F1667" s="9" t="s">
        <v>2303</v>
      </c>
      <c r="G1667" s="9" t="s">
        <v>223</v>
      </c>
      <c r="H1667" s="9"/>
      <c r="I1667" s="1">
        <v>108000</v>
      </c>
      <c r="J1667" s="45">
        <v>1071665</v>
      </c>
      <c r="K1667" s="1" t="str">
        <f>TRIM(Cleaned_CRM_Data!H1667)</f>
        <v/>
      </c>
      <c r="L1667" t="str">
        <f>IFERROR(VLOOKUP(K1667, Status_Mapping!A:B, 2,), "Not Found")</f>
        <v>Not Found</v>
      </c>
      <c r="N1667" s="29" t="str">
        <f>IF(M1667="","",M1667-B1667)</f>
        <v/>
      </c>
      <c r="O1667" s="1" t="str">
        <f t="shared" ref="O1667:O1730" si="131">IF(OR(I1667=108000,I1667=130000),"Starter",IF(I1667=177000,"Growth","Premium"))</f>
        <v>Starter</v>
      </c>
      <c r="P1667" t="str">
        <f>TEXT(B1667, "mmmm")</f>
        <v>May</v>
      </c>
      <c r="Q1667" t="str">
        <f t="shared" ref="Q1667:Q1730" si="132">"Q"&amp;ROUNDUP(MONTH(B1667)/3,0)</f>
        <v>Q2</v>
      </c>
      <c r="R1667" t="str">
        <f>IFERROR(VLOOKUP(TRIM(CLEAN(G1667)),Sheet14!$A$2:$B$19,2,FALSE),"Not Mapped")</f>
        <v>West</v>
      </c>
    </row>
    <row r="1668" spans="1:18">
      <c r="A1668" t="str">
        <f t="shared" si="130"/>
        <v>EOS1667</v>
      </c>
      <c r="B1668" s="40">
        <v>46149</v>
      </c>
      <c r="C1668" s="9" t="s">
        <v>267</v>
      </c>
      <c r="D1668" s="1" t="str">
        <f t="shared" si="129"/>
        <v>FB</v>
      </c>
      <c r="E1668" s="9" t="s">
        <v>2304</v>
      </c>
      <c r="F1668" s="9" t="s">
        <v>510</v>
      </c>
      <c r="G1668" s="9" t="s">
        <v>223</v>
      </c>
      <c r="H1668" s="9"/>
      <c r="I1668" s="1">
        <v>130000</v>
      </c>
      <c r="J1668" s="45">
        <v>1071666</v>
      </c>
      <c r="K1668" s="1" t="str">
        <f>TRIM(Cleaned_CRM_Data!H1668)</f>
        <v/>
      </c>
      <c r="L1668" t="str">
        <f>IFERROR(VLOOKUP(K1668, Status_Mapping!A:B, 2,), "Not Found")</f>
        <v>Not Found</v>
      </c>
      <c r="N1668" s="29" t="str">
        <f>IF(M1668="","",M1668-B1668)</f>
        <v/>
      </c>
      <c r="O1668" s="1" t="str">
        <f t="shared" si="131"/>
        <v>Starter</v>
      </c>
      <c r="P1668" t="str">
        <f>TEXT(B1668, "mmmm")</f>
        <v>May</v>
      </c>
      <c r="Q1668" t="str">
        <f t="shared" si="132"/>
        <v>Q2</v>
      </c>
      <c r="R1668" t="str">
        <f>IFERROR(VLOOKUP(TRIM(CLEAN(G1668)),Sheet14!$A$2:$B$19,2,FALSE),"Not Mapped")</f>
        <v>West</v>
      </c>
    </row>
    <row r="1669" spans="1:18">
      <c r="A1669" t="str">
        <f t="shared" si="130"/>
        <v>EOS1668</v>
      </c>
      <c r="B1669" s="40">
        <v>46149</v>
      </c>
      <c r="C1669" s="9" t="s">
        <v>267</v>
      </c>
      <c r="D1669" s="1" t="str">
        <f t="shared" si="129"/>
        <v>FB</v>
      </c>
      <c r="E1669" s="9" t="s">
        <v>2305</v>
      </c>
      <c r="F1669" s="9" t="s">
        <v>275</v>
      </c>
      <c r="G1669" s="9" t="s">
        <v>223</v>
      </c>
      <c r="H1669" s="9"/>
      <c r="I1669" s="1">
        <v>108000</v>
      </c>
      <c r="J1669" s="45">
        <v>1071667</v>
      </c>
      <c r="K1669" s="1" t="str">
        <f>TRIM(Cleaned_CRM_Data!H1669)</f>
        <v/>
      </c>
      <c r="L1669" t="str">
        <f>IFERROR(VLOOKUP(K1669, Status_Mapping!A:B, 2,), "Not Found")</f>
        <v>Not Found</v>
      </c>
      <c r="N1669" s="29" t="str">
        <f>IF(M1669="","",M1669-B1669)</f>
        <v/>
      </c>
      <c r="O1669" s="1" t="str">
        <f t="shared" si="131"/>
        <v>Starter</v>
      </c>
      <c r="P1669" t="str">
        <f>TEXT(B1669, "mmmm")</f>
        <v>May</v>
      </c>
      <c r="Q1669" t="str">
        <f t="shared" si="132"/>
        <v>Q2</v>
      </c>
      <c r="R1669" t="str">
        <f>IFERROR(VLOOKUP(TRIM(CLEAN(G1669)),Sheet14!$A$2:$B$19,2,FALSE),"Not Mapped")</f>
        <v>West</v>
      </c>
    </row>
    <row r="1670" spans="1:18">
      <c r="A1670" t="str">
        <f t="shared" si="130"/>
        <v>EOS1669</v>
      </c>
      <c r="B1670" s="40">
        <v>46149</v>
      </c>
      <c r="C1670" s="9" t="s">
        <v>267</v>
      </c>
      <c r="D1670" s="1" t="str">
        <f t="shared" si="129"/>
        <v>FB</v>
      </c>
      <c r="E1670" s="9" t="s">
        <v>2306</v>
      </c>
      <c r="F1670" s="9" t="s">
        <v>491</v>
      </c>
      <c r="G1670" s="9" t="s">
        <v>223</v>
      </c>
      <c r="H1670" s="9"/>
      <c r="I1670" s="1">
        <v>108000</v>
      </c>
      <c r="J1670" s="45">
        <v>1071668</v>
      </c>
      <c r="K1670" s="1" t="str">
        <f>TRIM(Cleaned_CRM_Data!H1670)</f>
        <v/>
      </c>
      <c r="L1670" t="str">
        <f>IFERROR(VLOOKUP(K1670, Status_Mapping!A:B, 2,), "Not Found")</f>
        <v>Not Found</v>
      </c>
      <c r="N1670" s="29" t="str">
        <f>IF(M1670="","",M1670-B1670)</f>
        <v/>
      </c>
      <c r="O1670" s="1" t="str">
        <f t="shared" si="131"/>
        <v>Starter</v>
      </c>
      <c r="P1670" t="str">
        <f>TEXT(B1670, "mmmm")</f>
        <v>May</v>
      </c>
      <c r="Q1670" t="str">
        <f t="shared" si="132"/>
        <v>Q2</v>
      </c>
      <c r="R1670" t="str">
        <f>IFERROR(VLOOKUP(TRIM(CLEAN(G1670)),Sheet14!$A$2:$B$19,2,FALSE),"Not Mapped")</f>
        <v>West</v>
      </c>
    </row>
    <row r="1671" spans="1:18">
      <c r="A1671" t="str">
        <f t="shared" si="130"/>
        <v>EOS1670</v>
      </c>
      <c r="B1671" s="40">
        <v>46149</v>
      </c>
      <c r="C1671" s="9" t="s">
        <v>267</v>
      </c>
      <c r="D1671" s="1" t="str">
        <f t="shared" si="129"/>
        <v>FB</v>
      </c>
      <c r="E1671" s="9" t="s">
        <v>2307</v>
      </c>
      <c r="F1671" s="9" t="s">
        <v>275</v>
      </c>
      <c r="G1671" s="9" t="s">
        <v>223</v>
      </c>
      <c r="H1671" s="9"/>
      <c r="I1671" s="1">
        <v>130000</v>
      </c>
      <c r="J1671" s="45">
        <v>1071669</v>
      </c>
      <c r="K1671" s="1" t="str">
        <f>TRIM(Cleaned_CRM_Data!H1671)</f>
        <v/>
      </c>
      <c r="L1671" t="str">
        <f>IFERROR(VLOOKUP(K1671, Status_Mapping!A:B, 2,), "Not Found")</f>
        <v>Not Found</v>
      </c>
      <c r="N1671" s="29" t="str">
        <f>IF(M1671="","",M1671-B1671)</f>
        <v/>
      </c>
      <c r="O1671" s="1" t="str">
        <f t="shared" si="131"/>
        <v>Starter</v>
      </c>
      <c r="P1671" t="str">
        <f>TEXT(B1671, "mmmm")</f>
        <v>May</v>
      </c>
      <c r="Q1671" t="str">
        <f t="shared" si="132"/>
        <v>Q2</v>
      </c>
      <c r="R1671" t="str">
        <f>IFERROR(VLOOKUP(TRIM(CLEAN(G1671)),Sheet14!$A$2:$B$19,2,FALSE),"Not Mapped")</f>
        <v>West</v>
      </c>
    </row>
    <row r="1672" spans="1:18">
      <c r="A1672" t="str">
        <f t="shared" si="130"/>
        <v>EOS1671</v>
      </c>
      <c r="B1672" s="40">
        <v>46149</v>
      </c>
      <c r="C1672" s="9" t="s">
        <v>267</v>
      </c>
      <c r="D1672" s="1" t="str">
        <f t="shared" si="129"/>
        <v>FB</v>
      </c>
      <c r="E1672" s="9" t="s">
        <v>2308</v>
      </c>
      <c r="F1672" s="9" t="s">
        <v>2309</v>
      </c>
      <c r="G1672" s="9" t="s">
        <v>223</v>
      </c>
      <c r="H1672" s="9"/>
      <c r="I1672" s="1">
        <v>108000</v>
      </c>
      <c r="J1672" s="45">
        <v>1071670</v>
      </c>
      <c r="K1672" s="1" t="str">
        <f>TRIM(Cleaned_CRM_Data!H1672)</f>
        <v/>
      </c>
      <c r="L1672" t="str">
        <f>IFERROR(VLOOKUP(K1672, Status_Mapping!A:B, 2,), "Not Found")</f>
        <v>Not Found</v>
      </c>
      <c r="N1672" s="29" t="str">
        <f>IF(M1672="","",M1672-B1672)</f>
        <v/>
      </c>
      <c r="O1672" s="1" t="str">
        <f t="shared" si="131"/>
        <v>Starter</v>
      </c>
      <c r="P1672" t="str">
        <f>TEXT(B1672, "mmmm")</f>
        <v>May</v>
      </c>
      <c r="Q1672" t="str">
        <f t="shared" si="132"/>
        <v>Q2</v>
      </c>
      <c r="R1672" t="str">
        <f>IFERROR(VLOOKUP(TRIM(CLEAN(G1672)),Sheet14!$A$2:$B$19,2,FALSE),"Not Mapped")</f>
        <v>West</v>
      </c>
    </row>
    <row r="1673" spans="1:18">
      <c r="A1673" t="str">
        <f t="shared" si="130"/>
        <v>EOS1672</v>
      </c>
      <c r="B1673" s="40">
        <v>46150</v>
      </c>
      <c r="C1673" s="9" t="s">
        <v>267</v>
      </c>
      <c r="D1673" s="1" t="str">
        <f t="shared" si="129"/>
        <v>FB</v>
      </c>
      <c r="E1673" s="9" t="s">
        <v>2310</v>
      </c>
      <c r="F1673" s="9" t="s">
        <v>2311</v>
      </c>
      <c r="G1673" s="9" t="s">
        <v>223</v>
      </c>
      <c r="H1673" s="9"/>
      <c r="I1673" s="1">
        <v>130000</v>
      </c>
      <c r="J1673" s="45">
        <v>1071671</v>
      </c>
      <c r="K1673" s="1" t="str">
        <f>TRIM(Cleaned_CRM_Data!H1673)</f>
        <v/>
      </c>
      <c r="L1673" t="str">
        <f>IFERROR(VLOOKUP(K1673, Status_Mapping!A:B, 2,), "Not Found")</f>
        <v>Not Found</v>
      </c>
      <c r="N1673" s="29" t="str">
        <f>IF(M1673="","",M1673-B1673)</f>
        <v/>
      </c>
      <c r="O1673" s="1" t="str">
        <f t="shared" si="131"/>
        <v>Starter</v>
      </c>
      <c r="P1673" t="str">
        <f>TEXT(B1673, "mmmm")</f>
        <v>May</v>
      </c>
      <c r="Q1673" t="str">
        <f t="shared" si="132"/>
        <v>Q2</v>
      </c>
      <c r="R1673" t="str">
        <f>IFERROR(VLOOKUP(TRIM(CLEAN(G1673)),Sheet14!$A$2:$B$19,2,FALSE),"Not Mapped")</f>
        <v>West</v>
      </c>
    </row>
    <row r="1674" spans="1:18">
      <c r="A1674" t="str">
        <f t="shared" si="130"/>
        <v>EOS1673</v>
      </c>
      <c r="B1674" s="40">
        <v>46150</v>
      </c>
      <c r="C1674" s="9" t="s">
        <v>267</v>
      </c>
      <c r="D1674" s="1" t="str">
        <f t="shared" si="129"/>
        <v>FB</v>
      </c>
      <c r="E1674" s="9" t="s">
        <v>2312</v>
      </c>
      <c r="F1674" s="9" t="s">
        <v>2313</v>
      </c>
      <c r="G1674" s="9" t="s">
        <v>223</v>
      </c>
      <c r="H1674" s="9"/>
      <c r="I1674" s="1">
        <v>130000</v>
      </c>
      <c r="J1674" s="45">
        <v>1071672</v>
      </c>
      <c r="K1674" s="1" t="str">
        <f>TRIM(Cleaned_CRM_Data!H1674)</f>
        <v/>
      </c>
      <c r="L1674" t="str">
        <f>IFERROR(VLOOKUP(K1674, Status_Mapping!A:B, 2,), "Not Found")</f>
        <v>Not Found</v>
      </c>
      <c r="N1674" s="29" t="str">
        <f>IF(M1674="","",M1674-B1674)</f>
        <v/>
      </c>
      <c r="O1674" s="1" t="str">
        <f t="shared" si="131"/>
        <v>Starter</v>
      </c>
      <c r="P1674" t="str">
        <f>TEXT(B1674, "mmmm")</f>
        <v>May</v>
      </c>
      <c r="Q1674" t="str">
        <f t="shared" si="132"/>
        <v>Q2</v>
      </c>
      <c r="R1674" t="str">
        <f>IFERROR(VLOOKUP(TRIM(CLEAN(G1674)),Sheet14!$A$2:$B$19,2,FALSE),"Not Mapped")</f>
        <v>West</v>
      </c>
    </row>
    <row r="1675" spans="1:18">
      <c r="A1675" t="str">
        <f t="shared" si="130"/>
        <v>EOS1674</v>
      </c>
      <c r="B1675" s="40">
        <v>46150</v>
      </c>
      <c r="C1675" s="9" t="s">
        <v>267</v>
      </c>
      <c r="D1675" s="1" t="str">
        <f t="shared" si="129"/>
        <v>FB</v>
      </c>
      <c r="E1675" s="9" t="s">
        <v>2314</v>
      </c>
      <c r="F1675" s="9" t="s">
        <v>2315</v>
      </c>
      <c r="G1675" s="9" t="s">
        <v>229</v>
      </c>
      <c r="H1675" s="9"/>
      <c r="I1675" s="1">
        <v>177000</v>
      </c>
      <c r="J1675" s="45">
        <v>1071673</v>
      </c>
      <c r="K1675" s="1" t="str">
        <f>TRIM(Cleaned_CRM_Data!H1675)</f>
        <v/>
      </c>
      <c r="L1675" t="str">
        <f>IFERROR(VLOOKUP(K1675, Status_Mapping!A:B, 2,), "Not Found")</f>
        <v>Not Found</v>
      </c>
      <c r="N1675" s="29" t="str">
        <f>IF(M1675="","",M1675-B1675)</f>
        <v/>
      </c>
      <c r="O1675" s="1" t="str">
        <f t="shared" si="131"/>
        <v>Growth</v>
      </c>
      <c r="P1675" t="str">
        <f>TEXT(B1675, "mmmm")</f>
        <v>May</v>
      </c>
      <c r="Q1675" t="str">
        <f t="shared" si="132"/>
        <v>Q2</v>
      </c>
      <c r="R1675" t="str">
        <f>IFERROR(VLOOKUP(TRIM(CLEAN(G1675)),Sheet14!$A$2:$B$19,2,FALSE),"Not Mapped")</f>
        <v>West</v>
      </c>
    </row>
    <row r="1676" spans="1:18">
      <c r="A1676" t="str">
        <f t="shared" si="130"/>
        <v>EOS1675</v>
      </c>
      <c r="B1676" s="40">
        <v>46151</v>
      </c>
      <c r="C1676" s="9" t="s">
        <v>267</v>
      </c>
      <c r="D1676" s="1" t="str">
        <f t="shared" si="129"/>
        <v>FB</v>
      </c>
      <c r="E1676" s="9" t="s">
        <v>2316</v>
      </c>
      <c r="F1676" s="9" t="s">
        <v>412</v>
      </c>
      <c r="G1676" s="9" t="s">
        <v>223</v>
      </c>
      <c r="H1676" s="9"/>
      <c r="I1676" s="1">
        <v>108000</v>
      </c>
      <c r="J1676" s="45">
        <v>1071674</v>
      </c>
      <c r="K1676" s="1" t="str">
        <f>TRIM(Cleaned_CRM_Data!H1676)</f>
        <v/>
      </c>
      <c r="L1676" t="str">
        <f>IFERROR(VLOOKUP(K1676, Status_Mapping!A:B, 2,), "Not Found")</f>
        <v>Not Found</v>
      </c>
      <c r="N1676" s="29" t="str">
        <f>IF(M1676="","",M1676-B1676)</f>
        <v/>
      </c>
      <c r="O1676" s="1" t="str">
        <f t="shared" si="131"/>
        <v>Starter</v>
      </c>
      <c r="P1676" t="str">
        <f>TEXT(B1676, "mmmm")</f>
        <v>May</v>
      </c>
      <c r="Q1676" t="str">
        <f t="shared" si="132"/>
        <v>Q2</v>
      </c>
      <c r="R1676" t="str">
        <f>IFERROR(VLOOKUP(TRIM(CLEAN(G1676)),Sheet14!$A$2:$B$19,2,FALSE),"Not Mapped")</f>
        <v>West</v>
      </c>
    </row>
    <row r="1677" spans="1:18">
      <c r="A1677" t="str">
        <f t="shared" si="130"/>
        <v>EOS1676</v>
      </c>
      <c r="B1677" s="40">
        <v>46151</v>
      </c>
      <c r="C1677" s="9" t="s">
        <v>267</v>
      </c>
      <c r="D1677" s="1" t="str">
        <f t="shared" si="129"/>
        <v>FB</v>
      </c>
      <c r="E1677" s="9" t="s">
        <v>2317</v>
      </c>
      <c r="F1677" s="9" t="s">
        <v>2125</v>
      </c>
      <c r="G1677" s="9" t="s">
        <v>223</v>
      </c>
      <c r="H1677" s="9"/>
      <c r="I1677" s="1">
        <v>108000</v>
      </c>
      <c r="J1677" s="45">
        <v>1071675</v>
      </c>
      <c r="K1677" s="1" t="str">
        <f>TRIM(Cleaned_CRM_Data!H1677)</f>
        <v/>
      </c>
      <c r="L1677" t="str">
        <f>IFERROR(VLOOKUP(K1677, Status_Mapping!A:B, 2,), "Not Found")</f>
        <v>Not Found</v>
      </c>
      <c r="N1677" s="29" t="str">
        <f>IF(M1677="","",M1677-B1677)</f>
        <v/>
      </c>
      <c r="O1677" s="1" t="str">
        <f t="shared" si="131"/>
        <v>Starter</v>
      </c>
      <c r="P1677" t="str">
        <f>TEXT(B1677, "mmmm")</f>
        <v>May</v>
      </c>
      <c r="Q1677" t="str">
        <f t="shared" si="132"/>
        <v>Q2</v>
      </c>
      <c r="R1677" t="str">
        <f>IFERROR(VLOOKUP(TRIM(CLEAN(G1677)),Sheet14!$A$2:$B$19,2,FALSE),"Not Mapped")</f>
        <v>West</v>
      </c>
    </row>
    <row r="1678" spans="1:18">
      <c r="A1678" t="str">
        <f t="shared" si="130"/>
        <v>EOS1677</v>
      </c>
      <c r="B1678" s="40">
        <v>46153</v>
      </c>
      <c r="C1678" s="9" t="s">
        <v>267</v>
      </c>
      <c r="D1678" s="1" t="str">
        <f t="shared" si="129"/>
        <v>FB</v>
      </c>
      <c r="E1678" s="9" t="s">
        <v>2318</v>
      </c>
      <c r="F1678" s="9" t="s">
        <v>2319</v>
      </c>
      <c r="G1678" s="9" t="s">
        <v>2320</v>
      </c>
      <c r="H1678" s="9"/>
      <c r="I1678" s="1">
        <v>130000</v>
      </c>
      <c r="J1678" s="45">
        <v>1071676</v>
      </c>
      <c r="K1678" s="1" t="str">
        <f>TRIM(Cleaned_CRM_Data!H1678)</f>
        <v/>
      </c>
      <c r="L1678" t="str">
        <f>IFERROR(VLOOKUP(K1678, Status_Mapping!A:B, 2,), "Not Found")</f>
        <v>Not Found</v>
      </c>
      <c r="N1678" s="29" t="str">
        <f>IF(M1678="","",M1678-B1678)</f>
        <v/>
      </c>
      <c r="O1678" s="1" t="str">
        <f t="shared" si="131"/>
        <v>Starter</v>
      </c>
      <c r="P1678" t="str">
        <f>TEXT(B1678, "mmmm")</f>
        <v>May</v>
      </c>
      <c r="Q1678" t="str">
        <f t="shared" si="132"/>
        <v>Q2</v>
      </c>
      <c r="R1678" t="str">
        <f>IFERROR(VLOOKUP(TRIM(CLEAN(G1678)),Sheet14!$A$2:$B$19,2,FALSE),"Not Mapped")</f>
        <v>Central</v>
      </c>
    </row>
    <row r="1679" spans="1:18">
      <c r="A1679" t="str">
        <f t="shared" si="130"/>
        <v>EOS1678</v>
      </c>
      <c r="B1679" s="40">
        <v>46153</v>
      </c>
      <c r="C1679" s="9" t="s">
        <v>267</v>
      </c>
      <c r="D1679" s="1" t="str">
        <f t="shared" si="129"/>
        <v>FB</v>
      </c>
      <c r="E1679" s="9" t="s">
        <v>2321</v>
      </c>
      <c r="F1679" s="12" t="s">
        <v>782</v>
      </c>
      <c r="G1679" s="12" t="s">
        <v>2320</v>
      </c>
      <c r="H1679" s="12"/>
      <c r="I1679" s="1">
        <v>130000</v>
      </c>
      <c r="J1679" s="45">
        <v>1071677</v>
      </c>
      <c r="K1679" s="1" t="str">
        <f>TRIM(Cleaned_CRM_Data!H1679)</f>
        <v/>
      </c>
      <c r="L1679" t="str">
        <f>IFERROR(VLOOKUP(K1679, Status_Mapping!A:B, 2,), "Not Found")</f>
        <v>Not Found</v>
      </c>
      <c r="N1679" s="29" t="str">
        <f>IF(M1679="","",M1679-B1679)</f>
        <v/>
      </c>
      <c r="O1679" s="1" t="str">
        <f t="shared" si="131"/>
        <v>Starter</v>
      </c>
      <c r="P1679" t="str">
        <f>TEXT(B1679, "mmmm")</f>
        <v>May</v>
      </c>
      <c r="Q1679" t="str">
        <f t="shared" si="132"/>
        <v>Q2</v>
      </c>
      <c r="R1679" t="str">
        <f>IFERROR(VLOOKUP(TRIM(CLEAN(G1679)),Sheet14!$A$2:$B$19,2,FALSE),"Not Mapped")</f>
        <v>Central</v>
      </c>
    </row>
    <row r="1680" spans="1:18">
      <c r="A1680" t="str">
        <f t="shared" si="130"/>
        <v>EOS1679</v>
      </c>
      <c r="B1680" s="42">
        <v>46153</v>
      </c>
      <c r="C1680" s="12" t="s">
        <v>267</v>
      </c>
      <c r="D1680" s="1" t="str">
        <f t="shared" si="129"/>
        <v>FB</v>
      </c>
      <c r="E1680" s="12" t="s">
        <v>2322</v>
      </c>
      <c r="F1680" s="9" t="s">
        <v>277</v>
      </c>
      <c r="G1680" s="9" t="s">
        <v>237</v>
      </c>
      <c r="H1680" s="9"/>
      <c r="I1680" s="1">
        <v>108000</v>
      </c>
      <c r="J1680" s="45">
        <v>1071678</v>
      </c>
      <c r="K1680" s="1" t="str">
        <f>TRIM(Cleaned_CRM_Data!H1680)</f>
        <v/>
      </c>
      <c r="L1680" t="str">
        <f>IFERROR(VLOOKUP(K1680, Status_Mapping!A:B, 2,), "Not Found")</f>
        <v>Not Found</v>
      </c>
      <c r="N1680" s="29" t="str">
        <f>IF(M1680="","",M1680-B1680)</f>
        <v/>
      </c>
      <c r="O1680" s="1" t="str">
        <f t="shared" si="131"/>
        <v>Starter</v>
      </c>
      <c r="P1680" t="str">
        <f>TEXT(B1680, "mmmm")</f>
        <v>May</v>
      </c>
      <c r="Q1680" t="str">
        <f t="shared" si="132"/>
        <v>Q2</v>
      </c>
      <c r="R1680" t="str">
        <f>IFERROR(VLOOKUP(TRIM(CLEAN(G1680)),Sheet14!$A$2:$B$19,2,FALSE),"Not Mapped")</f>
        <v>North</v>
      </c>
    </row>
    <row r="1681" spans="1:18">
      <c r="A1681" t="str">
        <f t="shared" si="130"/>
        <v>EOS1680</v>
      </c>
      <c r="B1681" s="40">
        <v>46153</v>
      </c>
      <c r="C1681" s="9" t="s">
        <v>267</v>
      </c>
      <c r="D1681" s="1" t="str">
        <f t="shared" si="129"/>
        <v>FB</v>
      </c>
      <c r="E1681" s="9" t="s">
        <v>2323</v>
      </c>
      <c r="F1681" s="9" t="s">
        <v>1873</v>
      </c>
      <c r="G1681" s="9" t="s">
        <v>237</v>
      </c>
      <c r="H1681" s="9"/>
      <c r="I1681" s="1">
        <v>108000</v>
      </c>
      <c r="J1681" s="45">
        <v>1071679</v>
      </c>
      <c r="K1681" s="1" t="str">
        <f>TRIM(Cleaned_CRM_Data!H1681)</f>
        <v/>
      </c>
      <c r="L1681" t="str">
        <f>IFERROR(VLOOKUP(K1681, Status_Mapping!A:B, 2,), "Not Found")</f>
        <v>Not Found</v>
      </c>
      <c r="N1681" s="29" t="str">
        <f>IF(M1681="","",M1681-B1681)</f>
        <v/>
      </c>
      <c r="O1681" s="1" t="str">
        <f t="shared" si="131"/>
        <v>Starter</v>
      </c>
      <c r="P1681" t="str">
        <f>TEXT(B1681, "mmmm")</f>
        <v>May</v>
      </c>
      <c r="Q1681" t="str">
        <f t="shared" si="132"/>
        <v>Q2</v>
      </c>
      <c r="R1681" t="str">
        <f>IFERROR(VLOOKUP(TRIM(CLEAN(G1681)),Sheet14!$A$2:$B$19,2,FALSE),"Not Mapped")</f>
        <v>North</v>
      </c>
    </row>
    <row r="1682" spans="1:18">
      <c r="A1682" t="str">
        <f t="shared" si="130"/>
        <v>EOS1681</v>
      </c>
      <c r="B1682" s="40">
        <v>46153</v>
      </c>
      <c r="C1682" s="9" t="s">
        <v>267</v>
      </c>
      <c r="D1682" s="1" t="str">
        <f t="shared" si="129"/>
        <v>FB</v>
      </c>
      <c r="E1682" s="9"/>
      <c r="F1682" s="9" t="s">
        <v>742</v>
      </c>
      <c r="G1682" s="9" t="s">
        <v>223</v>
      </c>
      <c r="H1682" s="9"/>
      <c r="I1682" s="1">
        <v>108000</v>
      </c>
      <c r="J1682" s="45">
        <v>1071680</v>
      </c>
      <c r="K1682" s="1" t="str">
        <f>TRIM(Cleaned_CRM_Data!H1682)</f>
        <v/>
      </c>
      <c r="L1682" t="str">
        <f>IFERROR(VLOOKUP(K1682, Status_Mapping!A:B, 2,), "Not Found")</f>
        <v>Not Found</v>
      </c>
      <c r="N1682" s="29" t="str">
        <f>IF(M1682="","",M1682-B1682)</f>
        <v/>
      </c>
      <c r="O1682" s="1" t="str">
        <f t="shared" si="131"/>
        <v>Starter</v>
      </c>
      <c r="P1682" t="str">
        <f>TEXT(B1682, "mmmm")</f>
        <v>May</v>
      </c>
      <c r="Q1682" t="str">
        <f t="shared" si="132"/>
        <v>Q2</v>
      </c>
      <c r="R1682" t="str">
        <f>IFERROR(VLOOKUP(TRIM(CLEAN(G1682)),Sheet14!$A$2:$B$19,2,FALSE),"Not Mapped")</f>
        <v>West</v>
      </c>
    </row>
    <row r="1683" spans="1:18">
      <c r="A1683" t="str">
        <f t="shared" si="130"/>
        <v>EOS1682</v>
      </c>
      <c r="B1683" s="40">
        <v>46154</v>
      </c>
      <c r="C1683" s="9" t="s">
        <v>267</v>
      </c>
      <c r="D1683" s="1" t="str">
        <f t="shared" si="129"/>
        <v>FB</v>
      </c>
      <c r="E1683" s="9" t="s">
        <v>2324</v>
      </c>
      <c r="F1683" s="9" t="s">
        <v>860</v>
      </c>
      <c r="G1683" s="9" t="s">
        <v>223</v>
      </c>
      <c r="H1683" s="9"/>
      <c r="I1683" s="1">
        <v>108000</v>
      </c>
      <c r="J1683" s="45">
        <v>1071681</v>
      </c>
      <c r="K1683" s="1" t="str">
        <f>TRIM(Cleaned_CRM_Data!H1683)</f>
        <v/>
      </c>
      <c r="L1683" t="str">
        <f>IFERROR(VLOOKUP(K1683, Status_Mapping!A:B, 2,), "Not Found")</f>
        <v>Not Found</v>
      </c>
      <c r="N1683" s="29" t="str">
        <f>IF(M1683="","",M1683-B1683)</f>
        <v/>
      </c>
      <c r="O1683" s="1" t="str">
        <f t="shared" si="131"/>
        <v>Starter</v>
      </c>
      <c r="P1683" t="str">
        <f>TEXT(B1683, "mmmm")</f>
        <v>May</v>
      </c>
      <c r="Q1683" t="str">
        <f t="shared" si="132"/>
        <v>Q2</v>
      </c>
      <c r="R1683" t="str">
        <f>IFERROR(VLOOKUP(TRIM(CLEAN(G1683)),Sheet14!$A$2:$B$19,2,FALSE),"Not Mapped")</f>
        <v>West</v>
      </c>
    </row>
    <row r="1684" spans="1:18">
      <c r="A1684" t="str">
        <f t="shared" si="130"/>
        <v>EOS1683</v>
      </c>
      <c r="B1684" s="40">
        <v>46154</v>
      </c>
      <c r="C1684" s="9" t="s">
        <v>267</v>
      </c>
      <c r="D1684" s="1" t="str">
        <f t="shared" si="129"/>
        <v>FB</v>
      </c>
      <c r="E1684" s="9" t="s">
        <v>2325</v>
      </c>
      <c r="F1684" s="9" t="s">
        <v>2326</v>
      </c>
      <c r="G1684" s="9" t="s">
        <v>229</v>
      </c>
      <c r="H1684" s="9"/>
      <c r="I1684" s="1">
        <v>108000</v>
      </c>
      <c r="J1684" s="45">
        <v>1071682</v>
      </c>
      <c r="K1684" s="1" t="str">
        <f>TRIM(Cleaned_CRM_Data!H1684)</f>
        <v/>
      </c>
      <c r="L1684" t="str">
        <f>IFERROR(VLOOKUP(K1684, Status_Mapping!A:B, 2,), "Not Found")</f>
        <v>Not Found</v>
      </c>
      <c r="N1684" s="29" t="str">
        <f>IF(M1684="","",M1684-B1684)</f>
        <v/>
      </c>
      <c r="O1684" s="1" t="str">
        <f t="shared" si="131"/>
        <v>Starter</v>
      </c>
      <c r="P1684" t="str">
        <f>TEXT(B1684, "mmmm")</f>
        <v>May</v>
      </c>
      <c r="Q1684" t="str">
        <f t="shared" si="132"/>
        <v>Q2</v>
      </c>
      <c r="R1684" t="str">
        <f>IFERROR(VLOOKUP(TRIM(CLEAN(G1684)),Sheet14!$A$2:$B$19,2,FALSE),"Not Mapped")</f>
        <v>West</v>
      </c>
    </row>
    <row r="1685" spans="1:18">
      <c r="A1685" t="str">
        <f t="shared" si="130"/>
        <v>EOS1684</v>
      </c>
      <c r="B1685" s="40">
        <v>46155</v>
      </c>
      <c r="C1685" s="9" t="s">
        <v>267</v>
      </c>
      <c r="D1685" s="1" t="str">
        <f t="shared" si="129"/>
        <v>FB</v>
      </c>
      <c r="E1685" s="9" t="s">
        <v>2327</v>
      </c>
      <c r="F1685" s="9" t="s">
        <v>585</v>
      </c>
      <c r="G1685" s="9" t="s">
        <v>215</v>
      </c>
      <c r="H1685" s="9"/>
      <c r="I1685" s="1">
        <v>130000</v>
      </c>
      <c r="J1685" s="45">
        <v>1071683</v>
      </c>
      <c r="K1685" s="1" t="str">
        <f>TRIM(Cleaned_CRM_Data!H1685)</f>
        <v/>
      </c>
      <c r="L1685" t="str">
        <f>IFERROR(VLOOKUP(K1685, Status_Mapping!A:B, 2,), "Not Found")</f>
        <v>Not Found</v>
      </c>
      <c r="N1685" s="29" t="str">
        <f>IF(M1685="","",M1685-B1685)</f>
        <v/>
      </c>
      <c r="O1685" s="1" t="str">
        <f t="shared" si="131"/>
        <v>Starter</v>
      </c>
      <c r="P1685" t="str">
        <f>TEXT(B1685, "mmmm")</f>
        <v>May</v>
      </c>
      <c r="Q1685" t="str">
        <f t="shared" si="132"/>
        <v>Q2</v>
      </c>
      <c r="R1685" t="str">
        <f>IFERROR(VLOOKUP(TRIM(CLEAN(G1685)),Sheet14!$A$2:$B$19,2,FALSE),"Not Mapped")</f>
        <v>East</v>
      </c>
    </row>
    <row r="1686" spans="1:18">
      <c r="A1686" t="str">
        <f t="shared" si="130"/>
        <v>EOS1685</v>
      </c>
      <c r="B1686" s="40">
        <v>46155</v>
      </c>
      <c r="C1686" s="9" t="s">
        <v>267</v>
      </c>
      <c r="D1686" s="1" t="str">
        <f t="shared" si="129"/>
        <v>FB</v>
      </c>
      <c r="E1686" s="9" t="s">
        <v>2328</v>
      </c>
      <c r="F1686" s="9" t="s">
        <v>2329</v>
      </c>
      <c r="G1686" s="9" t="s">
        <v>215</v>
      </c>
      <c r="H1686" s="9"/>
      <c r="I1686" s="1">
        <v>177000</v>
      </c>
      <c r="J1686" s="45">
        <v>1071684</v>
      </c>
      <c r="K1686" s="1" t="str">
        <f>TRIM(Cleaned_CRM_Data!H1686)</f>
        <v/>
      </c>
      <c r="L1686" t="str">
        <f>IFERROR(VLOOKUP(K1686, Status_Mapping!A:B, 2,), "Not Found")</f>
        <v>Not Found</v>
      </c>
      <c r="N1686" s="29" t="str">
        <f>IF(M1686="","",M1686-B1686)</f>
        <v/>
      </c>
      <c r="O1686" s="1" t="str">
        <f t="shared" si="131"/>
        <v>Growth</v>
      </c>
      <c r="P1686" t="str">
        <f>TEXT(B1686, "mmmm")</f>
        <v>May</v>
      </c>
      <c r="Q1686" t="str">
        <f t="shared" si="132"/>
        <v>Q2</v>
      </c>
      <c r="R1686" t="str">
        <f>IFERROR(VLOOKUP(TRIM(CLEAN(G1686)),Sheet14!$A$2:$B$19,2,FALSE),"Not Mapped")</f>
        <v>East</v>
      </c>
    </row>
    <row r="1687" spans="1:18">
      <c r="A1687" t="str">
        <f t="shared" si="130"/>
        <v>EOS1686</v>
      </c>
      <c r="B1687" s="40">
        <v>46156</v>
      </c>
      <c r="C1687" s="9" t="s">
        <v>267</v>
      </c>
      <c r="D1687" s="1" t="str">
        <f t="shared" si="129"/>
        <v>FB</v>
      </c>
      <c r="E1687" s="9" t="s">
        <v>2330</v>
      </c>
      <c r="F1687" s="9" t="s">
        <v>2331</v>
      </c>
      <c r="G1687" s="9" t="s">
        <v>223</v>
      </c>
      <c r="H1687" s="9"/>
      <c r="I1687" s="1">
        <v>308000</v>
      </c>
      <c r="J1687" s="45">
        <v>1071685</v>
      </c>
      <c r="K1687" s="1" t="str">
        <f>TRIM(Cleaned_CRM_Data!H1687)</f>
        <v/>
      </c>
      <c r="L1687" t="str">
        <f>IFERROR(VLOOKUP(K1687, Status_Mapping!A:B, 2,), "Not Found")</f>
        <v>Not Found</v>
      </c>
      <c r="N1687" s="29" t="str">
        <f>IF(M1687="","",M1687-B1687)</f>
        <v/>
      </c>
      <c r="O1687" s="1" t="str">
        <f t="shared" si="131"/>
        <v>Premium</v>
      </c>
      <c r="P1687" t="str">
        <f>TEXT(B1687, "mmmm")</f>
        <v>May</v>
      </c>
      <c r="Q1687" t="str">
        <f t="shared" si="132"/>
        <v>Q2</v>
      </c>
      <c r="R1687" t="str">
        <f>IFERROR(VLOOKUP(TRIM(CLEAN(G1687)),Sheet14!$A$2:$B$19,2,FALSE),"Not Mapped")</f>
        <v>West</v>
      </c>
    </row>
    <row r="1688" spans="1:18">
      <c r="A1688" t="str">
        <f t="shared" si="130"/>
        <v>EOS1687</v>
      </c>
      <c r="B1688" s="40">
        <v>46156</v>
      </c>
      <c r="C1688" s="9" t="s">
        <v>267</v>
      </c>
      <c r="D1688" s="1" t="str">
        <f t="shared" si="129"/>
        <v>FB</v>
      </c>
      <c r="E1688" s="9" t="s">
        <v>2332</v>
      </c>
      <c r="F1688" s="9" t="s">
        <v>2333</v>
      </c>
      <c r="G1688" s="9" t="s">
        <v>232</v>
      </c>
      <c r="H1688" s="9"/>
      <c r="I1688" s="1">
        <v>130000</v>
      </c>
      <c r="J1688" s="45">
        <v>1071686</v>
      </c>
      <c r="K1688" s="1" t="str">
        <f>TRIM(Cleaned_CRM_Data!H1688)</f>
        <v/>
      </c>
      <c r="L1688" t="str">
        <f>IFERROR(VLOOKUP(K1688, Status_Mapping!A:B, 2,), "Not Found")</f>
        <v>Not Found</v>
      </c>
      <c r="N1688" s="29" t="str">
        <f>IF(M1688="","",M1688-B1688)</f>
        <v/>
      </c>
      <c r="O1688" s="1" t="str">
        <f t="shared" si="131"/>
        <v>Starter</v>
      </c>
      <c r="P1688" t="str">
        <f>TEXT(B1688, "mmmm")</f>
        <v>May</v>
      </c>
      <c r="Q1688" t="str">
        <f t="shared" si="132"/>
        <v>Q2</v>
      </c>
      <c r="R1688" t="str">
        <f>IFERROR(VLOOKUP(TRIM(CLEAN(G1688)),Sheet14!$A$2:$B$19,2,FALSE),"Not Mapped")</f>
        <v>East</v>
      </c>
    </row>
    <row r="1689" spans="1:18">
      <c r="A1689" t="str">
        <f t="shared" si="130"/>
        <v>EOS1688</v>
      </c>
      <c r="B1689" s="40">
        <v>46156</v>
      </c>
      <c r="C1689" s="9" t="s">
        <v>267</v>
      </c>
      <c r="D1689" s="1" t="str">
        <f t="shared" si="129"/>
        <v>FB</v>
      </c>
      <c r="E1689" s="9" t="s">
        <v>2334</v>
      </c>
      <c r="F1689" s="9" t="s">
        <v>1905</v>
      </c>
      <c r="G1689" s="9" t="s">
        <v>237</v>
      </c>
      <c r="H1689" s="9"/>
      <c r="I1689" s="1">
        <v>177000</v>
      </c>
      <c r="J1689" s="45">
        <v>1071687</v>
      </c>
      <c r="K1689" s="1" t="str">
        <f>TRIM(Cleaned_CRM_Data!H1689)</f>
        <v/>
      </c>
      <c r="L1689" t="str">
        <f>IFERROR(VLOOKUP(K1689, Status_Mapping!A:B, 2,), "Not Found")</f>
        <v>Not Found</v>
      </c>
      <c r="N1689" s="29" t="str">
        <f>IF(M1689="","",M1689-B1689)</f>
        <v/>
      </c>
      <c r="O1689" s="1" t="str">
        <f t="shared" si="131"/>
        <v>Growth</v>
      </c>
      <c r="P1689" t="str">
        <f>TEXT(B1689, "mmmm")</f>
        <v>May</v>
      </c>
      <c r="Q1689" t="str">
        <f t="shared" si="132"/>
        <v>Q2</v>
      </c>
      <c r="R1689" t="str">
        <f>IFERROR(VLOOKUP(TRIM(CLEAN(G1689)),Sheet14!$A$2:$B$19,2,FALSE),"Not Mapped")</f>
        <v>North</v>
      </c>
    </row>
    <row r="1690" spans="1:18">
      <c r="A1690" t="str">
        <f t="shared" si="130"/>
        <v>EOS1689</v>
      </c>
      <c r="B1690" s="40">
        <v>46156</v>
      </c>
      <c r="C1690" s="9" t="s">
        <v>267</v>
      </c>
      <c r="D1690" s="1" t="str">
        <f t="shared" si="129"/>
        <v>FB</v>
      </c>
      <c r="E1690" s="9" t="s">
        <v>2335</v>
      </c>
      <c r="F1690" s="9" t="s">
        <v>2336</v>
      </c>
      <c r="G1690" s="9" t="s">
        <v>237</v>
      </c>
      <c r="H1690" s="9"/>
      <c r="I1690" s="1">
        <v>108000</v>
      </c>
      <c r="J1690" s="45">
        <v>1071688</v>
      </c>
      <c r="K1690" s="1" t="str">
        <f>TRIM(Cleaned_CRM_Data!H1690)</f>
        <v/>
      </c>
      <c r="L1690" t="str">
        <f>IFERROR(VLOOKUP(K1690, Status_Mapping!A:B, 2,), "Not Found")</f>
        <v>Not Found</v>
      </c>
      <c r="N1690" s="29" t="str">
        <f>IF(M1690="","",M1690-B1690)</f>
        <v/>
      </c>
      <c r="O1690" s="1" t="str">
        <f t="shared" si="131"/>
        <v>Starter</v>
      </c>
      <c r="P1690" t="str">
        <f>TEXT(B1690, "mmmm")</f>
        <v>May</v>
      </c>
      <c r="Q1690" t="str">
        <f t="shared" si="132"/>
        <v>Q2</v>
      </c>
      <c r="R1690" t="str">
        <f>IFERROR(VLOOKUP(TRIM(CLEAN(G1690)),Sheet14!$A$2:$B$19,2,FALSE),"Not Mapped")</f>
        <v>North</v>
      </c>
    </row>
    <row r="1691" spans="1:18">
      <c r="A1691" t="str">
        <f t="shared" si="130"/>
        <v>EOS1690</v>
      </c>
      <c r="B1691" s="40">
        <v>46157</v>
      </c>
      <c r="C1691" s="9" t="s">
        <v>267</v>
      </c>
      <c r="D1691" s="1" t="str">
        <f t="shared" si="129"/>
        <v>FB</v>
      </c>
      <c r="E1691" s="9" t="s">
        <v>2337</v>
      </c>
      <c r="F1691" s="9" t="s">
        <v>2338</v>
      </c>
      <c r="G1691" s="9" t="s">
        <v>232</v>
      </c>
      <c r="H1691" s="9"/>
      <c r="I1691" s="1">
        <v>130000</v>
      </c>
      <c r="J1691" s="45">
        <v>1071689</v>
      </c>
      <c r="K1691" s="1" t="str">
        <f>TRIM(Cleaned_CRM_Data!H1691)</f>
        <v/>
      </c>
      <c r="L1691" t="str">
        <f>IFERROR(VLOOKUP(K1691, Status_Mapping!A:B, 2,), "Not Found")</f>
        <v>Not Found</v>
      </c>
      <c r="N1691" s="29" t="str">
        <f>IF(M1691="","",M1691-B1691)</f>
        <v/>
      </c>
      <c r="O1691" s="1" t="str">
        <f t="shared" si="131"/>
        <v>Starter</v>
      </c>
      <c r="P1691" t="str">
        <f>TEXT(B1691, "mmmm")</f>
        <v>May</v>
      </c>
      <c r="Q1691" t="str">
        <f t="shared" si="132"/>
        <v>Q2</v>
      </c>
      <c r="R1691" t="str">
        <f>IFERROR(VLOOKUP(TRIM(CLEAN(G1691)),Sheet14!$A$2:$B$19,2,FALSE),"Not Mapped")</f>
        <v>East</v>
      </c>
    </row>
    <row r="1692" spans="1:18">
      <c r="A1692" t="str">
        <f t="shared" si="130"/>
        <v>EOS1691</v>
      </c>
      <c r="B1692" s="40">
        <v>46157</v>
      </c>
      <c r="C1692" s="9" t="s">
        <v>267</v>
      </c>
      <c r="D1692" s="1" t="str">
        <f t="shared" si="129"/>
        <v>FB</v>
      </c>
      <c r="E1692" s="9" t="s">
        <v>2339</v>
      </c>
      <c r="F1692" s="9" t="s">
        <v>275</v>
      </c>
      <c r="G1692" s="9" t="s">
        <v>223</v>
      </c>
      <c r="H1692" s="9"/>
      <c r="I1692" s="1">
        <v>130000</v>
      </c>
      <c r="J1692" s="45">
        <v>1071690</v>
      </c>
      <c r="K1692" s="1" t="str">
        <f>TRIM(Cleaned_CRM_Data!H1692)</f>
        <v/>
      </c>
      <c r="L1692" t="str">
        <f>IFERROR(VLOOKUP(K1692, Status_Mapping!A:B, 2,), "Not Found")</f>
        <v>Not Found</v>
      </c>
      <c r="N1692" s="29" t="str">
        <f>IF(M1692="","",M1692-B1692)</f>
        <v/>
      </c>
      <c r="O1692" s="1" t="str">
        <f t="shared" si="131"/>
        <v>Starter</v>
      </c>
      <c r="P1692" t="str">
        <f>TEXT(B1692, "mmmm")</f>
        <v>May</v>
      </c>
      <c r="Q1692" t="str">
        <f t="shared" si="132"/>
        <v>Q2</v>
      </c>
      <c r="R1692" t="str">
        <f>IFERROR(VLOOKUP(TRIM(CLEAN(G1692)),Sheet14!$A$2:$B$19,2,FALSE),"Not Mapped")</f>
        <v>West</v>
      </c>
    </row>
    <row r="1693" spans="1:18">
      <c r="A1693" t="str">
        <f t="shared" si="130"/>
        <v>EOS1692</v>
      </c>
      <c r="B1693" s="40">
        <v>46157</v>
      </c>
      <c r="C1693" s="9" t="s">
        <v>267</v>
      </c>
      <c r="D1693" s="1" t="str">
        <f t="shared" si="129"/>
        <v>FB</v>
      </c>
      <c r="E1693" s="9" t="s">
        <v>2340</v>
      </c>
      <c r="F1693" s="9" t="s">
        <v>2341</v>
      </c>
      <c r="G1693" s="9" t="s">
        <v>221</v>
      </c>
      <c r="H1693" s="9"/>
      <c r="I1693" s="1">
        <v>108000</v>
      </c>
      <c r="J1693" s="45">
        <v>1071691</v>
      </c>
      <c r="K1693" s="1" t="str">
        <f>TRIM(Cleaned_CRM_Data!H1693)</f>
        <v/>
      </c>
      <c r="L1693" t="str">
        <f>IFERROR(VLOOKUP(K1693, Status_Mapping!A:B, 2,), "Not Found")</f>
        <v>Not Found</v>
      </c>
      <c r="N1693" s="29" t="str">
        <f>IF(M1693="","",M1693-B1693)</f>
        <v/>
      </c>
      <c r="O1693" s="1" t="str">
        <f t="shared" si="131"/>
        <v>Starter</v>
      </c>
      <c r="P1693" t="str">
        <f>TEXT(B1693, "mmmm")</f>
        <v>May</v>
      </c>
      <c r="Q1693" t="str">
        <f t="shared" si="132"/>
        <v>Q2</v>
      </c>
      <c r="R1693" t="str">
        <f>IFERROR(VLOOKUP(TRIM(CLEAN(G1693)),Sheet14!$A$2:$B$19,2,FALSE),"Not Mapped")</f>
        <v>West</v>
      </c>
    </row>
    <row r="1694" spans="1:18">
      <c r="A1694" t="str">
        <f t="shared" si="130"/>
        <v>EOS1693</v>
      </c>
      <c r="B1694" s="40">
        <v>46157</v>
      </c>
      <c r="C1694" s="9" t="s">
        <v>267</v>
      </c>
      <c r="D1694" s="1" t="str">
        <f t="shared" si="129"/>
        <v>FB</v>
      </c>
      <c r="E1694" s="9" t="s">
        <v>2342</v>
      </c>
      <c r="F1694" s="9" t="s">
        <v>2343</v>
      </c>
      <c r="G1694" s="9" t="s">
        <v>223</v>
      </c>
      <c r="H1694" s="9"/>
      <c r="I1694" s="1">
        <v>108000</v>
      </c>
      <c r="J1694" s="45">
        <v>1071692</v>
      </c>
      <c r="K1694" s="1" t="str">
        <f>TRIM(Cleaned_CRM_Data!H1694)</f>
        <v/>
      </c>
      <c r="L1694" t="str">
        <f>IFERROR(VLOOKUP(K1694, Status_Mapping!A:B, 2,), "Not Found")</f>
        <v>Not Found</v>
      </c>
      <c r="N1694" s="29" t="str">
        <f>IF(M1694="","",M1694-B1694)</f>
        <v/>
      </c>
      <c r="O1694" s="1" t="str">
        <f t="shared" si="131"/>
        <v>Starter</v>
      </c>
      <c r="P1694" t="str">
        <f>TEXT(B1694, "mmmm")</f>
        <v>May</v>
      </c>
      <c r="Q1694" t="str">
        <f t="shared" si="132"/>
        <v>Q2</v>
      </c>
      <c r="R1694" t="str">
        <f>IFERROR(VLOOKUP(TRIM(CLEAN(G1694)),Sheet14!$A$2:$B$19,2,FALSE),"Not Mapped")</f>
        <v>West</v>
      </c>
    </row>
    <row r="1695" spans="1:18">
      <c r="A1695" t="str">
        <f t="shared" si="130"/>
        <v>EOS1694</v>
      </c>
      <c r="B1695" s="40">
        <v>46158</v>
      </c>
      <c r="C1695" s="9" t="s">
        <v>267</v>
      </c>
      <c r="D1695" s="1" t="str">
        <f t="shared" si="129"/>
        <v>FB</v>
      </c>
      <c r="E1695" s="9" t="s">
        <v>2344</v>
      </c>
      <c r="F1695" s="9" t="s">
        <v>2345</v>
      </c>
      <c r="G1695" s="9" t="s">
        <v>223</v>
      </c>
      <c r="H1695" s="9"/>
      <c r="I1695" s="1">
        <v>108000</v>
      </c>
      <c r="J1695" s="45">
        <v>1071693</v>
      </c>
      <c r="K1695" s="1" t="str">
        <f>TRIM(Cleaned_CRM_Data!H1695)</f>
        <v/>
      </c>
      <c r="L1695" t="str">
        <f>IFERROR(VLOOKUP(K1695, Status_Mapping!A:B, 2,), "Not Found")</f>
        <v>Not Found</v>
      </c>
      <c r="N1695" s="29" t="str">
        <f>IF(M1695="","",M1695-B1695)</f>
        <v/>
      </c>
      <c r="O1695" s="1" t="str">
        <f t="shared" si="131"/>
        <v>Starter</v>
      </c>
      <c r="P1695" t="str">
        <f>TEXT(B1695, "mmmm")</f>
        <v>May</v>
      </c>
      <c r="Q1695" t="str">
        <f t="shared" si="132"/>
        <v>Q2</v>
      </c>
      <c r="R1695" t="str">
        <f>IFERROR(VLOOKUP(TRIM(CLEAN(G1695)),Sheet14!$A$2:$B$19,2,FALSE),"Not Mapped")</f>
        <v>West</v>
      </c>
    </row>
    <row r="1696" spans="1:18">
      <c r="A1696" t="str">
        <f t="shared" si="130"/>
        <v>EOS1695</v>
      </c>
      <c r="B1696" s="40">
        <v>46158</v>
      </c>
      <c r="C1696" s="9" t="s">
        <v>267</v>
      </c>
      <c r="D1696" s="1" t="str">
        <f t="shared" si="129"/>
        <v>FB</v>
      </c>
      <c r="E1696" s="9" t="s">
        <v>1661</v>
      </c>
      <c r="F1696" s="9" t="s">
        <v>789</v>
      </c>
      <c r="G1696" s="9" t="s">
        <v>237</v>
      </c>
      <c r="H1696" s="9"/>
      <c r="I1696" s="1">
        <v>130000</v>
      </c>
      <c r="J1696" s="45">
        <v>1071694</v>
      </c>
      <c r="K1696" s="1" t="str">
        <f>TRIM(Cleaned_CRM_Data!H1696)</f>
        <v/>
      </c>
      <c r="L1696" t="str">
        <f>IFERROR(VLOOKUP(K1696, Status_Mapping!A:B, 2,), "Not Found")</f>
        <v>Not Found</v>
      </c>
      <c r="N1696" s="29" t="str">
        <f>IF(M1696="","",M1696-B1696)</f>
        <v/>
      </c>
      <c r="O1696" s="1" t="str">
        <f t="shared" si="131"/>
        <v>Starter</v>
      </c>
      <c r="P1696" t="str">
        <f>TEXT(B1696, "mmmm")</f>
        <v>May</v>
      </c>
      <c r="Q1696" t="str">
        <f t="shared" si="132"/>
        <v>Q2</v>
      </c>
      <c r="R1696" t="str">
        <f>IFERROR(VLOOKUP(TRIM(CLEAN(G1696)),Sheet14!$A$2:$B$19,2,FALSE),"Not Mapped")</f>
        <v>North</v>
      </c>
    </row>
    <row r="1697" spans="1:18">
      <c r="A1697" t="str">
        <f t="shared" si="130"/>
        <v>EOS1696</v>
      </c>
      <c r="B1697" s="40">
        <v>46158</v>
      </c>
      <c r="C1697" s="9" t="s">
        <v>267</v>
      </c>
      <c r="D1697" s="1" t="str">
        <f t="shared" si="129"/>
        <v>FB</v>
      </c>
      <c r="E1697" s="9" t="s">
        <v>2346</v>
      </c>
      <c r="F1697" s="9" t="s">
        <v>2347</v>
      </c>
      <c r="G1697" s="9" t="s">
        <v>239</v>
      </c>
      <c r="H1697" s="9"/>
      <c r="I1697" s="1">
        <v>108000</v>
      </c>
      <c r="J1697" s="45">
        <v>1071695</v>
      </c>
      <c r="K1697" s="1" t="str">
        <f>TRIM(Cleaned_CRM_Data!H1697)</f>
        <v/>
      </c>
      <c r="L1697" t="str">
        <f>IFERROR(VLOOKUP(K1697, Status_Mapping!A:B, 2,), "Not Found")</f>
        <v>Not Found</v>
      </c>
      <c r="N1697" s="29" t="str">
        <f>IF(M1697="","",M1697-B1697)</f>
        <v/>
      </c>
      <c r="O1697" s="1" t="str">
        <f t="shared" si="131"/>
        <v>Starter</v>
      </c>
      <c r="P1697" t="str">
        <f>TEXT(B1697, "mmmm")</f>
        <v>May</v>
      </c>
      <c r="Q1697" t="str">
        <f t="shared" si="132"/>
        <v>Q2</v>
      </c>
      <c r="R1697" t="str">
        <f>IFERROR(VLOOKUP(TRIM(CLEAN(G1697)),Sheet14!$A$2:$B$19,2,FALSE),"Not Mapped")</f>
        <v>East</v>
      </c>
    </row>
    <row r="1698" spans="1:18">
      <c r="A1698" t="str">
        <f t="shared" si="130"/>
        <v>EOS1697</v>
      </c>
      <c r="B1698" s="40">
        <v>46158</v>
      </c>
      <c r="C1698" s="9" t="s">
        <v>267</v>
      </c>
      <c r="D1698" s="1" t="str">
        <f t="shared" si="129"/>
        <v>FB</v>
      </c>
      <c r="E1698" s="9" t="s">
        <v>2348</v>
      </c>
      <c r="F1698" s="9" t="s">
        <v>2349</v>
      </c>
      <c r="G1698" s="9" t="s">
        <v>223</v>
      </c>
      <c r="H1698" s="9"/>
      <c r="I1698" s="1">
        <v>108000</v>
      </c>
      <c r="J1698" s="45">
        <v>1071696</v>
      </c>
      <c r="K1698" s="1" t="str">
        <f>TRIM(Cleaned_CRM_Data!H1698)</f>
        <v/>
      </c>
      <c r="L1698" t="str">
        <f>IFERROR(VLOOKUP(K1698, Status_Mapping!A:B, 2,), "Not Found")</f>
        <v>Not Found</v>
      </c>
      <c r="N1698" s="29" t="str">
        <f>IF(M1698="","",M1698-B1698)</f>
        <v/>
      </c>
      <c r="O1698" s="1" t="str">
        <f t="shared" si="131"/>
        <v>Starter</v>
      </c>
      <c r="P1698" t="str">
        <f>TEXT(B1698, "mmmm")</f>
        <v>May</v>
      </c>
      <c r="Q1698" t="str">
        <f t="shared" si="132"/>
        <v>Q2</v>
      </c>
      <c r="R1698" t="str">
        <f>IFERROR(VLOOKUP(TRIM(CLEAN(G1698)),Sheet14!$A$2:$B$19,2,FALSE),"Not Mapped")</f>
        <v>West</v>
      </c>
    </row>
    <row r="1699" spans="1:18">
      <c r="A1699" t="str">
        <f t="shared" si="130"/>
        <v>EOS1698</v>
      </c>
      <c r="B1699" s="40">
        <v>46164</v>
      </c>
      <c r="C1699" s="9" t="s">
        <v>267</v>
      </c>
      <c r="D1699" s="1" t="str">
        <f t="shared" si="129"/>
        <v>FB</v>
      </c>
      <c r="E1699" s="9"/>
      <c r="F1699" s="9" t="s">
        <v>275</v>
      </c>
      <c r="G1699" s="9" t="s">
        <v>223</v>
      </c>
      <c r="H1699" s="9"/>
      <c r="I1699" s="1">
        <v>130000</v>
      </c>
      <c r="J1699" s="45">
        <v>1071697</v>
      </c>
      <c r="K1699" s="1" t="str">
        <f>TRIM(Cleaned_CRM_Data!H1699)</f>
        <v/>
      </c>
      <c r="L1699" t="str">
        <f>IFERROR(VLOOKUP(K1699, Status_Mapping!A:B, 2,), "Not Found")</f>
        <v>Not Found</v>
      </c>
      <c r="N1699" s="29" t="str">
        <f>IF(M1699="","",M1699-B1699)</f>
        <v/>
      </c>
      <c r="O1699" s="1" t="str">
        <f t="shared" si="131"/>
        <v>Starter</v>
      </c>
      <c r="P1699" t="str">
        <f>TEXT(B1699, "mmmm")</f>
        <v>May</v>
      </c>
      <c r="Q1699" t="str">
        <f t="shared" si="132"/>
        <v>Q2</v>
      </c>
      <c r="R1699" t="str">
        <f>IFERROR(VLOOKUP(TRIM(CLEAN(G1699)),Sheet14!$A$2:$B$19,2,FALSE),"Not Mapped")</f>
        <v>West</v>
      </c>
    </row>
    <row r="1700" spans="1:18">
      <c r="A1700" t="str">
        <f t="shared" si="130"/>
        <v>EOS1699</v>
      </c>
      <c r="B1700" s="40">
        <v>46160</v>
      </c>
      <c r="C1700" s="9" t="s">
        <v>267</v>
      </c>
      <c r="D1700" s="1" t="str">
        <f t="shared" si="129"/>
        <v>FB</v>
      </c>
      <c r="E1700" s="9" t="s">
        <v>2350</v>
      </c>
      <c r="F1700" s="9" t="s">
        <v>275</v>
      </c>
      <c r="G1700" s="9" t="s">
        <v>223</v>
      </c>
      <c r="H1700" s="9"/>
      <c r="I1700" s="1">
        <v>130000</v>
      </c>
      <c r="J1700" s="45">
        <v>1071698</v>
      </c>
      <c r="K1700" s="1" t="str">
        <f>TRIM(Cleaned_CRM_Data!H1700)</f>
        <v/>
      </c>
      <c r="L1700" t="str">
        <f>IFERROR(VLOOKUP(K1700, Status_Mapping!A:B, 2,), "Not Found")</f>
        <v>Not Found</v>
      </c>
      <c r="N1700" s="29" t="str">
        <f>IF(M1700="","",M1700-B1700)</f>
        <v/>
      </c>
      <c r="O1700" s="1" t="str">
        <f t="shared" si="131"/>
        <v>Starter</v>
      </c>
      <c r="P1700" t="str">
        <f>TEXT(B1700, "mmmm")</f>
        <v>May</v>
      </c>
      <c r="Q1700" t="str">
        <f t="shared" si="132"/>
        <v>Q2</v>
      </c>
      <c r="R1700" t="str">
        <f>IFERROR(VLOOKUP(TRIM(CLEAN(G1700)),Sheet14!$A$2:$B$19,2,FALSE),"Not Mapped")</f>
        <v>West</v>
      </c>
    </row>
    <row r="1701" spans="1:18">
      <c r="A1701" t="str">
        <f t="shared" si="130"/>
        <v>EOS1700</v>
      </c>
      <c r="B1701" s="40">
        <v>46160</v>
      </c>
      <c r="C1701" s="9" t="s">
        <v>267</v>
      </c>
      <c r="D1701" s="1" t="str">
        <f t="shared" si="129"/>
        <v>FB</v>
      </c>
      <c r="E1701" s="9" t="s">
        <v>2351</v>
      </c>
      <c r="F1701" s="9" t="s">
        <v>661</v>
      </c>
      <c r="G1701" s="9" t="s">
        <v>223</v>
      </c>
      <c r="H1701" s="9"/>
      <c r="I1701" s="1">
        <v>130000</v>
      </c>
      <c r="J1701" s="45">
        <v>1071699</v>
      </c>
      <c r="K1701" s="1" t="str">
        <f>TRIM(Cleaned_CRM_Data!H1701)</f>
        <v/>
      </c>
      <c r="L1701" t="str">
        <f>IFERROR(VLOOKUP(K1701, Status_Mapping!A:B, 2,), "Not Found")</f>
        <v>Not Found</v>
      </c>
      <c r="N1701" s="29" t="str">
        <f>IF(M1701="","",M1701-B1701)</f>
        <v/>
      </c>
      <c r="O1701" s="1" t="str">
        <f t="shared" si="131"/>
        <v>Starter</v>
      </c>
      <c r="P1701" t="str">
        <f>TEXT(B1701, "mmmm")</f>
        <v>May</v>
      </c>
      <c r="Q1701" t="str">
        <f t="shared" si="132"/>
        <v>Q2</v>
      </c>
      <c r="R1701" t="str">
        <f>IFERROR(VLOOKUP(TRIM(CLEAN(G1701)),Sheet14!$A$2:$B$19,2,FALSE),"Not Mapped")</f>
        <v>West</v>
      </c>
    </row>
    <row r="1702" spans="1:18">
      <c r="A1702" t="str">
        <f t="shared" si="130"/>
        <v>EOS1701</v>
      </c>
      <c r="B1702" s="40">
        <v>46160</v>
      </c>
      <c r="C1702" s="9" t="s">
        <v>267</v>
      </c>
      <c r="D1702" s="1" t="str">
        <f t="shared" si="129"/>
        <v>FB</v>
      </c>
      <c r="E1702" s="9" t="s">
        <v>2352</v>
      </c>
      <c r="F1702" s="9" t="s">
        <v>2353</v>
      </c>
      <c r="G1702" s="9" t="s">
        <v>229</v>
      </c>
      <c r="H1702" s="9"/>
      <c r="I1702" s="1">
        <v>108000</v>
      </c>
      <c r="J1702" s="45">
        <v>1071700</v>
      </c>
      <c r="K1702" s="1" t="str">
        <f>TRIM(Cleaned_CRM_Data!H1702)</f>
        <v/>
      </c>
      <c r="L1702" t="str">
        <f>IFERROR(VLOOKUP(K1702, Status_Mapping!A:B, 2,), "Not Found")</f>
        <v>Not Found</v>
      </c>
      <c r="N1702" s="29" t="str">
        <f>IF(M1702="","",M1702-B1702)</f>
        <v/>
      </c>
      <c r="O1702" s="1" t="str">
        <f t="shared" si="131"/>
        <v>Starter</v>
      </c>
      <c r="P1702" t="str">
        <f>TEXT(B1702, "mmmm")</f>
        <v>May</v>
      </c>
      <c r="Q1702" t="str">
        <f t="shared" si="132"/>
        <v>Q2</v>
      </c>
      <c r="R1702" t="str">
        <f>IFERROR(VLOOKUP(TRIM(CLEAN(G1702)),Sheet14!$A$2:$B$19,2,FALSE),"Not Mapped")</f>
        <v>West</v>
      </c>
    </row>
    <row r="1703" spans="1:18">
      <c r="A1703" t="str">
        <f t="shared" si="130"/>
        <v>EOS1702</v>
      </c>
      <c r="B1703" s="40">
        <v>46160</v>
      </c>
      <c r="C1703" s="9" t="s">
        <v>267</v>
      </c>
      <c r="D1703" s="1" t="str">
        <f t="shared" ref="D1703:D1766" si="133">TRIM(CLEAN(SUBSTITUTE(C1703,CHAR(160),"")))</f>
        <v>FB</v>
      </c>
      <c r="E1703" s="9" t="s">
        <v>2354</v>
      </c>
      <c r="F1703" s="9" t="s">
        <v>527</v>
      </c>
      <c r="G1703" s="9" t="s">
        <v>223</v>
      </c>
      <c r="H1703" s="9"/>
      <c r="I1703" s="1">
        <v>108000</v>
      </c>
      <c r="J1703" s="45">
        <v>1071701</v>
      </c>
      <c r="K1703" s="1" t="str">
        <f>TRIM(Cleaned_CRM_Data!H1703)</f>
        <v/>
      </c>
      <c r="L1703" t="str">
        <f>IFERROR(VLOOKUP(K1703, Status_Mapping!A:B, 2,), "Not Found")</f>
        <v>Not Found</v>
      </c>
      <c r="N1703" s="29" t="str">
        <f>IF(M1703="","",M1703-B1703)</f>
        <v/>
      </c>
      <c r="O1703" s="1" t="str">
        <f t="shared" si="131"/>
        <v>Starter</v>
      </c>
      <c r="P1703" t="str">
        <f>TEXT(B1703, "mmmm")</f>
        <v>May</v>
      </c>
      <c r="Q1703" t="str">
        <f t="shared" si="132"/>
        <v>Q2</v>
      </c>
      <c r="R1703" t="str">
        <f>IFERROR(VLOOKUP(TRIM(CLEAN(G1703)),Sheet14!$A$2:$B$19,2,FALSE),"Not Mapped")</f>
        <v>West</v>
      </c>
    </row>
    <row r="1704" spans="1:18">
      <c r="A1704" t="str">
        <f t="shared" si="130"/>
        <v>EOS1703</v>
      </c>
      <c r="B1704" s="40">
        <v>46160</v>
      </c>
      <c r="C1704" s="9" t="s">
        <v>267</v>
      </c>
      <c r="D1704" s="1" t="str">
        <f t="shared" si="133"/>
        <v>FB</v>
      </c>
      <c r="E1704" s="9" t="s">
        <v>2355</v>
      </c>
      <c r="F1704" s="9" t="s">
        <v>1953</v>
      </c>
      <c r="G1704" s="9" t="s">
        <v>237</v>
      </c>
      <c r="H1704" s="9"/>
      <c r="I1704" s="1">
        <v>177000</v>
      </c>
      <c r="J1704" s="45">
        <v>1071702</v>
      </c>
      <c r="K1704" s="1" t="str">
        <f>TRIM(Cleaned_CRM_Data!H1704)</f>
        <v/>
      </c>
      <c r="L1704" t="str">
        <f>IFERROR(VLOOKUP(K1704, Status_Mapping!A:B, 2,), "Not Found")</f>
        <v>Not Found</v>
      </c>
      <c r="N1704" s="29" t="str">
        <f>IF(M1704="","",M1704-B1704)</f>
        <v/>
      </c>
      <c r="O1704" s="1" t="str">
        <f t="shared" si="131"/>
        <v>Growth</v>
      </c>
      <c r="P1704" t="str">
        <f>TEXT(B1704, "mmmm")</f>
        <v>May</v>
      </c>
      <c r="Q1704" t="str">
        <f t="shared" si="132"/>
        <v>Q2</v>
      </c>
      <c r="R1704" t="str">
        <f>IFERROR(VLOOKUP(TRIM(CLEAN(G1704)),Sheet14!$A$2:$B$19,2,FALSE),"Not Mapped")</f>
        <v>North</v>
      </c>
    </row>
    <row r="1705" spans="1:18">
      <c r="A1705" t="str">
        <f t="shared" si="130"/>
        <v>EOS1704</v>
      </c>
      <c r="B1705" s="40">
        <v>46160</v>
      </c>
      <c r="C1705" s="9" t="s">
        <v>267</v>
      </c>
      <c r="D1705" s="1" t="str">
        <f t="shared" si="133"/>
        <v>FB</v>
      </c>
      <c r="E1705" s="9" t="s">
        <v>2356</v>
      </c>
      <c r="F1705" s="10" t="s">
        <v>412</v>
      </c>
      <c r="G1705" s="9" t="s">
        <v>223</v>
      </c>
      <c r="H1705" s="9"/>
      <c r="I1705" s="1">
        <v>177000</v>
      </c>
      <c r="J1705" s="45">
        <v>1071703</v>
      </c>
      <c r="K1705" s="1" t="str">
        <f>TRIM(Cleaned_CRM_Data!H1705)</f>
        <v/>
      </c>
      <c r="L1705" t="str">
        <f>IFERROR(VLOOKUP(K1705, Status_Mapping!A:B, 2,), "Not Found")</f>
        <v>Not Found</v>
      </c>
      <c r="N1705" s="29" t="str">
        <f>IF(M1705="","",M1705-B1705)</f>
        <v/>
      </c>
      <c r="O1705" s="1" t="str">
        <f t="shared" si="131"/>
        <v>Growth</v>
      </c>
      <c r="P1705" t="str">
        <f>TEXT(B1705, "mmmm")</f>
        <v>May</v>
      </c>
      <c r="Q1705" t="str">
        <f t="shared" si="132"/>
        <v>Q2</v>
      </c>
      <c r="R1705" t="str">
        <f>IFERROR(VLOOKUP(TRIM(CLEAN(G1705)),Sheet14!$A$2:$B$19,2,FALSE),"Not Mapped")</f>
        <v>West</v>
      </c>
    </row>
    <row r="1706" spans="1:18">
      <c r="A1706" t="str">
        <f t="shared" si="130"/>
        <v>EOS1705</v>
      </c>
      <c r="B1706" s="40">
        <v>46163</v>
      </c>
      <c r="C1706" s="9" t="s">
        <v>267</v>
      </c>
      <c r="D1706" s="1" t="str">
        <f t="shared" si="133"/>
        <v>FB</v>
      </c>
      <c r="E1706" s="10" t="s">
        <v>2357</v>
      </c>
      <c r="F1706" s="13" t="s">
        <v>397</v>
      </c>
      <c r="G1706" s="4" t="s">
        <v>223</v>
      </c>
      <c r="H1706" s="4"/>
      <c r="I1706" s="1">
        <v>108000</v>
      </c>
      <c r="J1706" s="45">
        <v>1071704</v>
      </c>
      <c r="K1706" s="1" t="str">
        <f>TRIM(Cleaned_CRM_Data!H1706)</f>
        <v/>
      </c>
      <c r="L1706" t="str">
        <f>IFERROR(VLOOKUP(K1706, Status_Mapping!A:B, 2,), "Not Found")</f>
        <v>Not Found</v>
      </c>
      <c r="N1706" s="29" t="str">
        <f>IF(M1706="","",M1706-B1706)</f>
        <v/>
      </c>
      <c r="O1706" s="1" t="str">
        <f t="shared" si="131"/>
        <v>Starter</v>
      </c>
      <c r="P1706" t="str">
        <f>TEXT(B1706, "mmmm")</f>
        <v>May</v>
      </c>
      <c r="Q1706" t="str">
        <f t="shared" si="132"/>
        <v>Q2</v>
      </c>
      <c r="R1706" t="str">
        <f>IFERROR(VLOOKUP(TRIM(CLEAN(G1706)),Sheet14!$A$2:$B$19,2,FALSE),"Not Mapped")</f>
        <v>West</v>
      </c>
    </row>
    <row r="1707" spans="1:18">
      <c r="A1707" t="str">
        <f t="shared" si="130"/>
        <v>EOS1706</v>
      </c>
      <c r="B1707" s="38">
        <v>46163</v>
      </c>
      <c r="C1707" s="4" t="s">
        <v>267</v>
      </c>
      <c r="D1707" s="1" t="str">
        <f t="shared" si="133"/>
        <v>FB</v>
      </c>
      <c r="E1707" s="13" t="s">
        <v>2358</v>
      </c>
      <c r="F1707" s="9"/>
      <c r="G1707" s="9" t="s">
        <v>223</v>
      </c>
      <c r="H1707" s="9"/>
      <c r="I1707" s="1">
        <v>308000</v>
      </c>
      <c r="J1707" s="45">
        <v>1071705</v>
      </c>
      <c r="K1707" s="1" t="str">
        <f>TRIM(Cleaned_CRM_Data!H1707)</f>
        <v/>
      </c>
      <c r="L1707" t="str">
        <f>IFERROR(VLOOKUP(K1707, Status_Mapping!A:B, 2,), "Not Found")</f>
        <v>Not Found</v>
      </c>
      <c r="N1707" s="29" t="str">
        <f>IF(M1707="","",M1707-B1707)</f>
        <v/>
      </c>
      <c r="O1707" s="1" t="str">
        <f t="shared" si="131"/>
        <v>Premium</v>
      </c>
      <c r="P1707" t="str">
        <f>TEXT(B1707, "mmmm")</f>
        <v>May</v>
      </c>
      <c r="Q1707" t="str">
        <f t="shared" si="132"/>
        <v>Q2</v>
      </c>
      <c r="R1707" t="str">
        <f>IFERROR(VLOOKUP(TRIM(CLEAN(G1707)),Sheet14!$A$2:$B$19,2,FALSE),"Not Mapped")</f>
        <v>West</v>
      </c>
    </row>
    <row r="1708" spans="1:18">
      <c r="A1708" t="str">
        <f t="shared" si="130"/>
        <v>EOS1707</v>
      </c>
      <c r="B1708" s="38">
        <v>46163</v>
      </c>
      <c r="C1708" s="4" t="s">
        <v>267</v>
      </c>
      <c r="D1708" s="1" t="str">
        <f t="shared" si="133"/>
        <v>FB</v>
      </c>
      <c r="E1708" s="9" t="s">
        <v>2359</v>
      </c>
      <c r="F1708" s="14" t="s">
        <v>412</v>
      </c>
      <c r="G1708" s="9" t="s">
        <v>223</v>
      </c>
      <c r="H1708" s="9"/>
      <c r="I1708" s="1">
        <v>130000</v>
      </c>
      <c r="J1708" s="45">
        <v>1071706</v>
      </c>
      <c r="K1708" s="1" t="str">
        <f>TRIM(Cleaned_CRM_Data!H1708)</f>
        <v/>
      </c>
      <c r="L1708" t="str">
        <f>IFERROR(VLOOKUP(K1708, Status_Mapping!A:B, 2,), "Not Found")</f>
        <v>Not Found</v>
      </c>
      <c r="N1708" s="29" t="str">
        <f>IF(M1708="","",M1708-B1708)</f>
        <v/>
      </c>
      <c r="O1708" s="1" t="str">
        <f t="shared" si="131"/>
        <v>Starter</v>
      </c>
      <c r="P1708" t="str">
        <f>TEXT(B1708, "mmmm")</f>
        <v>May</v>
      </c>
      <c r="Q1708" t="str">
        <f t="shared" si="132"/>
        <v>Q2</v>
      </c>
      <c r="R1708" t="str">
        <f>IFERROR(VLOOKUP(TRIM(CLEAN(G1708)),Sheet14!$A$2:$B$19,2,FALSE),"Not Mapped")</f>
        <v>West</v>
      </c>
    </row>
    <row r="1709" spans="1:18">
      <c r="A1709" t="str">
        <f t="shared" si="130"/>
        <v>EOS1708</v>
      </c>
      <c r="B1709" s="38">
        <v>46163</v>
      </c>
      <c r="C1709" s="4" t="s">
        <v>267</v>
      </c>
      <c r="D1709" s="1" t="str">
        <f t="shared" si="133"/>
        <v>FB</v>
      </c>
      <c r="E1709" s="14" t="s">
        <v>2360</v>
      </c>
      <c r="F1709" s="14" t="s">
        <v>496</v>
      </c>
      <c r="G1709" s="9" t="s">
        <v>223</v>
      </c>
      <c r="H1709" s="9"/>
      <c r="I1709" s="1">
        <v>108000</v>
      </c>
      <c r="J1709" s="45">
        <v>1071707</v>
      </c>
      <c r="K1709" s="1" t="str">
        <f>TRIM(Cleaned_CRM_Data!H1709)</f>
        <v/>
      </c>
      <c r="L1709" t="str">
        <f>IFERROR(VLOOKUP(K1709, Status_Mapping!A:B, 2,), "Not Found")</f>
        <v>Not Found</v>
      </c>
      <c r="N1709" s="29" t="str">
        <f>IF(M1709="","",M1709-B1709)</f>
        <v/>
      </c>
      <c r="O1709" s="1" t="str">
        <f t="shared" si="131"/>
        <v>Starter</v>
      </c>
      <c r="P1709" t="str">
        <f>TEXT(B1709, "mmmm")</f>
        <v>May</v>
      </c>
      <c r="Q1709" t="str">
        <f t="shared" si="132"/>
        <v>Q2</v>
      </c>
      <c r="R1709" t="str">
        <f>IFERROR(VLOOKUP(TRIM(CLEAN(G1709)),Sheet14!$A$2:$B$19,2,FALSE),"Not Mapped")</f>
        <v>West</v>
      </c>
    </row>
    <row r="1710" spans="1:18">
      <c r="A1710" t="str">
        <f t="shared" si="130"/>
        <v>EOS1709</v>
      </c>
      <c r="B1710" s="38">
        <v>46163</v>
      </c>
      <c r="C1710" s="4" t="s">
        <v>267</v>
      </c>
      <c r="D1710" s="1" t="str">
        <f t="shared" si="133"/>
        <v>FB</v>
      </c>
      <c r="E1710" s="14" t="s">
        <v>2361</v>
      </c>
      <c r="F1710" s="14" t="s">
        <v>2362</v>
      </c>
      <c r="G1710" s="9" t="s">
        <v>223</v>
      </c>
      <c r="H1710" s="9"/>
      <c r="I1710" s="1">
        <v>108000</v>
      </c>
      <c r="J1710" s="45">
        <v>1071708</v>
      </c>
      <c r="K1710" s="1" t="str">
        <f>TRIM(Cleaned_CRM_Data!H1710)</f>
        <v/>
      </c>
      <c r="L1710" t="str">
        <f>IFERROR(VLOOKUP(K1710, Status_Mapping!A:B, 2,), "Not Found")</f>
        <v>Not Found</v>
      </c>
      <c r="N1710" s="29" t="str">
        <f>IF(M1710="","",M1710-B1710)</f>
        <v/>
      </c>
      <c r="O1710" s="1" t="str">
        <f t="shared" si="131"/>
        <v>Starter</v>
      </c>
      <c r="P1710" t="str">
        <f>TEXT(B1710, "mmmm")</f>
        <v>May</v>
      </c>
      <c r="Q1710" t="str">
        <f t="shared" si="132"/>
        <v>Q2</v>
      </c>
      <c r="R1710" t="str">
        <f>IFERROR(VLOOKUP(TRIM(CLEAN(G1710)),Sheet14!$A$2:$B$19,2,FALSE),"Not Mapped")</f>
        <v>West</v>
      </c>
    </row>
    <row r="1711" spans="1:18">
      <c r="A1711" t="str">
        <f t="shared" si="130"/>
        <v>EOS1710</v>
      </c>
      <c r="B1711" s="38">
        <v>46163</v>
      </c>
      <c r="C1711" s="4" t="s">
        <v>267</v>
      </c>
      <c r="D1711" s="1" t="str">
        <f t="shared" si="133"/>
        <v>FB</v>
      </c>
      <c r="E1711" s="14" t="s">
        <v>2363</v>
      </c>
      <c r="F1711" s="14" t="s">
        <v>326</v>
      </c>
      <c r="G1711" s="9" t="s">
        <v>223</v>
      </c>
      <c r="H1711" s="9"/>
      <c r="I1711" s="1">
        <v>177000</v>
      </c>
      <c r="J1711" s="45">
        <v>1071709</v>
      </c>
      <c r="K1711" s="1" t="str">
        <f>TRIM(Cleaned_CRM_Data!H1711)</f>
        <v/>
      </c>
      <c r="L1711" t="str">
        <f>IFERROR(VLOOKUP(K1711, Status_Mapping!A:B, 2,), "Not Found")</f>
        <v>Not Found</v>
      </c>
      <c r="N1711" s="29" t="str">
        <f>IF(M1711="","",M1711-B1711)</f>
        <v/>
      </c>
      <c r="O1711" s="1" t="str">
        <f t="shared" si="131"/>
        <v>Growth</v>
      </c>
      <c r="P1711" t="str">
        <f>TEXT(B1711, "mmmm")</f>
        <v>May</v>
      </c>
      <c r="Q1711" t="str">
        <f t="shared" si="132"/>
        <v>Q2</v>
      </c>
      <c r="R1711" t="str">
        <f>IFERROR(VLOOKUP(TRIM(CLEAN(G1711)),Sheet14!$A$2:$B$19,2,FALSE),"Not Mapped")</f>
        <v>West</v>
      </c>
    </row>
    <row r="1712" spans="1:18">
      <c r="A1712" t="str">
        <f t="shared" si="130"/>
        <v>EOS1711</v>
      </c>
      <c r="B1712" s="38">
        <v>46163</v>
      </c>
      <c r="C1712" s="4" t="s">
        <v>267</v>
      </c>
      <c r="D1712" s="1" t="str">
        <f t="shared" si="133"/>
        <v>FB</v>
      </c>
      <c r="E1712" s="14" t="s">
        <v>2364</v>
      </c>
      <c r="F1712" s="14" t="s">
        <v>300</v>
      </c>
      <c r="G1712" s="9" t="s">
        <v>223</v>
      </c>
      <c r="H1712" s="9"/>
      <c r="I1712" s="1">
        <v>108000</v>
      </c>
      <c r="J1712" s="45">
        <v>1071710</v>
      </c>
      <c r="K1712" s="1" t="str">
        <f>TRIM(Cleaned_CRM_Data!H1712)</f>
        <v/>
      </c>
      <c r="L1712" t="str">
        <f>IFERROR(VLOOKUP(K1712, Status_Mapping!A:B, 2,), "Not Found")</f>
        <v>Not Found</v>
      </c>
      <c r="N1712" s="29" t="str">
        <f>IF(M1712="","",M1712-B1712)</f>
        <v/>
      </c>
      <c r="O1712" s="1" t="str">
        <f t="shared" si="131"/>
        <v>Starter</v>
      </c>
      <c r="P1712" t="str">
        <f>TEXT(B1712, "mmmm")</f>
        <v>May</v>
      </c>
      <c r="Q1712" t="str">
        <f t="shared" si="132"/>
        <v>Q2</v>
      </c>
      <c r="R1712" t="str">
        <f>IFERROR(VLOOKUP(TRIM(CLEAN(G1712)),Sheet14!$A$2:$B$19,2,FALSE),"Not Mapped")</f>
        <v>West</v>
      </c>
    </row>
    <row r="1713" spans="1:18">
      <c r="A1713" t="str">
        <f t="shared" si="130"/>
        <v>EOS1712</v>
      </c>
      <c r="B1713" s="38">
        <v>46163</v>
      </c>
      <c r="C1713" s="4" t="s">
        <v>267</v>
      </c>
      <c r="D1713" s="1" t="str">
        <f t="shared" si="133"/>
        <v>FB</v>
      </c>
      <c r="E1713" s="14" t="s">
        <v>2365</v>
      </c>
      <c r="F1713" s="9"/>
      <c r="G1713" s="9" t="s">
        <v>223</v>
      </c>
      <c r="H1713" s="9"/>
      <c r="I1713" s="1">
        <v>130000</v>
      </c>
      <c r="J1713" s="45">
        <v>1071711</v>
      </c>
      <c r="K1713" s="1" t="str">
        <f>TRIM(Cleaned_CRM_Data!H1713)</f>
        <v/>
      </c>
      <c r="L1713" t="str">
        <f>IFERROR(VLOOKUP(K1713, Status_Mapping!A:B, 2,), "Not Found")</f>
        <v>Not Found</v>
      </c>
      <c r="N1713" s="29" t="str">
        <f>IF(M1713="","",M1713-B1713)</f>
        <v/>
      </c>
      <c r="O1713" s="1" t="str">
        <f t="shared" si="131"/>
        <v>Starter</v>
      </c>
      <c r="P1713" t="str">
        <f>TEXT(B1713, "mmmm")</f>
        <v>May</v>
      </c>
      <c r="Q1713" t="str">
        <f t="shared" si="132"/>
        <v>Q2</v>
      </c>
      <c r="R1713" t="str">
        <f>IFERROR(VLOOKUP(TRIM(CLEAN(G1713)),Sheet14!$A$2:$B$19,2,FALSE),"Not Mapped")</f>
        <v>West</v>
      </c>
    </row>
    <row r="1714" spans="1:18">
      <c r="A1714" t="str">
        <f t="shared" si="130"/>
        <v>EOS1713</v>
      </c>
      <c r="B1714" s="38">
        <v>46163</v>
      </c>
      <c r="C1714" s="4" t="s">
        <v>267</v>
      </c>
      <c r="D1714" s="1" t="str">
        <f t="shared" si="133"/>
        <v>FB</v>
      </c>
      <c r="E1714" s="9" t="s">
        <v>2366</v>
      </c>
      <c r="F1714" s="14" t="s">
        <v>2362</v>
      </c>
      <c r="G1714" s="9" t="s">
        <v>223</v>
      </c>
      <c r="H1714" s="9"/>
      <c r="I1714" s="1">
        <v>108000</v>
      </c>
      <c r="J1714" s="45">
        <v>1071712</v>
      </c>
      <c r="K1714" s="1" t="str">
        <f>TRIM(Cleaned_CRM_Data!H1714)</f>
        <v/>
      </c>
      <c r="L1714" t="str">
        <f>IFERROR(VLOOKUP(K1714, Status_Mapping!A:B, 2,), "Not Found")</f>
        <v>Not Found</v>
      </c>
      <c r="N1714" s="29" t="str">
        <f>IF(M1714="","",M1714-B1714)</f>
        <v/>
      </c>
      <c r="O1714" s="1" t="str">
        <f t="shared" si="131"/>
        <v>Starter</v>
      </c>
      <c r="P1714" t="str">
        <f>TEXT(B1714, "mmmm")</f>
        <v>May</v>
      </c>
      <c r="Q1714" t="str">
        <f t="shared" si="132"/>
        <v>Q2</v>
      </c>
      <c r="R1714" t="str">
        <f>IFERROR(VLOOKUP(TRIM(CLEAN(G1714)),Sheet14!$A$2:$B$19,2,FALSE),"Not Mapped")</f>
        <v>West</v>
      </c>
    </row>
    <row r="1715" spans="1:18">
      <c r="A1715" t="str">
        <f t="shared" si="130"/>
        <v>EOS1714</v>
      </c>
      <c r="B1715" s="38">
        <v>46163</v>
      </c>
      <c r="C1715" s="4" t="s">
        <v>267</v>
      </c>
      <c r="D1715" s="1" t="str">
        <f t="shared" si="133"/>
        <v>FB</v>
      </c>
      <c r="E1715" s="14" t="s">
        <v>2367</v>
      </c>
      <c r="F1715" s="14" t="s">
        <v>2050</v>
      </c>
      <c r="G1715" s="14" t="s">
        <v>223</v>
      </c>
      <c r="H1715" s="9"/>
      <c r="I1715" s="1">
        <v>130000</v>
      </c>
      <c r="J1715" s="45">
        <v>1071713</v>
      </c>
      <c r="K1715" s="1" t="str">
        <f>TRIM(Cleaned_CRM_Data!H1715)</f>
        <v/>
      </c>
      <c r="L1715" t="str">
        <f>IFERROR(VLOOKUP(K1715, Status_Mapping!A:B, 2,), "Not Found")</f>
        <v>Not Found</v>
      </c>
      <c r="N1715" s="29" t="str">
        <f>IF(M1715="","",M1715-B1715)</f>
        <v/>
      </c>
      <c r="O1715" s="1" t="str">
        <f t="shared" si="131"/>
        <v>Starter</v>
      </c>
      <c r="P1715" t="str">
        <f>TEXT(B1715, "mmmm")</f>
        <v>May</v>
      </c>
      <c r="Q1715" t="str">
        <f t="shared" si="132"/>
        <v>Q2</v>
      </c>
      <c r="R1715" t="str">
        <f>IFERROR(VLOOKUP(TRIM(CLEAN(G1715)),Sheet14!$A$2:$B$19,2,FALSE),"Not Mapped")</f>
        <v>West</v>
      </c>
    </row>
    <row r="1716" spans="1:18">
      <c r="A1716" t="str">
        <f t="shared" si="130"/>
        <v>EOS1715</v>
      </c>
      <c r="B1716" s="38">
        <v>46163</v>
      </c>
      <c r="C1716" s="4" t="s">
        <v>267</v>
      </c>
      <c r="D1716" s="1" t="str">
        <f t="shared" si="133"/>
        <v>FB</v>
      </c>
      <c r="E1716" s="14" t="s">
        <v>2368</v>
      </c>
      <c r="F1716" s="14" t="s">
        <v>2053</v>
      </c>
      <c r="G1716" s="14" t="s">
        <v>223</v>
      </c>
      <c r="H1716" s="9"/>
      <c r="I1716" s="1">
        <v>108000</v>
      </c>
      <c r="J1716" s="45">
        <v>1071714</v>
      </c>
      <c r="K1716" s="1" t="str">
        <f>TRIM(Cleaned_CRM_Data!H1716)</f>
        <v/>
      </c>
      <c r="L1716" t="str">
        <f>IFERROR(VLOOKUP(K1716, Status_Mapping!A:B, 2,), "Not Found")</f>
        <v>Not Found</v>
      </c>
      <c r="N1716" s="29" t="str">
        <f>IF(M1716="","",M1716-B1716)</f>
        <v/>
      </c>
      <c r="O1716" s="1" t="str">
        <f t="shared" si="131"/>
        <v>Starter</v>
      </c>
      <c r="P1716" t="str">
        <f>TEXT(B1716, "mmmm")</f>
        <v>May</v>
      </c>
      <c r="Q1716" t="str">
        <f t="shared" si="132"/>
        <v>Q2</v>
      </c>
      <c r="R1716" t="str">
        <f>IFERROR(VLOOKUP(TRIM(CLEAN(G1716)),Sheet14!$A$2:$B$19,2,FALSE),"Not Mapped")</f>
        <v>West</v>
      </c>
    </row>
    <row r="1717" spans="1:18">
      <c r="A1717" t="str">
        <f t="shared" si="130"/>
        <v>EOS1716</v>
      </c>
      <c r="B1717" s="38">
        <v>46163</v>
      </c>
      <c r="C1717" s="4" t="s">
        <v>267</v>
      </c>
      <c r="D1717" s="1" t="str">
        <f t="shared" si="133"/>
        <v>FB</v>
      </c>
      <c r="E1717" s="14" t="s">
        <v>2369</v>
      </c>
      <c r="F1717" s="9" t="s">
        <v>333</v>
      </c>
      <c r="G1717" s="14" t="s">
        <v>223</v>
      </c>
      <c r="H1717" s="9"/>
      <c r="I1717" s="1">
        <v>130000</v>
      </c>
      <c r="J1717" s="45">
        <v>1071715</v>
      </c>
      <c r="K1717" s="1" t="str">
        <f>TRIM(Cleaned_CRM_Data!H1717)</f>
        <v/>
      </c>
      <c r="L1717" t="str">
        <f>IFERROR(VLOOKUP(K1717, Status_Mapping!A:B, 2,), "Not Found")</f>
        <v>Not Found</v>
      </c>
      <c r="N1717" s="29" t="str">
        <f>IF(M1717="","",M1717-B1717)</f>
        <v/>
      </c>
      <c r="O1717" s="1" t="str">
        <f t="shared" si="131"/>
        <v>Starter</v>
      </c>
      <c r="P1717" t="str">
        <f>TEXT(B1717, "mmmm")</f>
        <v>May</v>
      </c>
      <c r="Q1717" t="str">
        <f t="shared" si="132"/>
        <v>Q2</v>
      </c>
      <c r="R1717" t="str">
        <f>IFERROR(VLOOKUP(TRIM(CLEAN(G1717)),Sheet14!$A$2:$B$19,2,FALSE),"Not Mapped")</f>
        <v>West</v>
      </c>
    </row>
    <row r="1718" spans="1:18">
      <c r="A1718" t="str">
        <f t="shared" si="130"/>
        <v>EOS1717</v>
      </c>
      <c r="B1718" s="38">
        <v>46163</v>
      </c>
      <c r="C1718" s="4" t="s">
        <v>267</v>
      </c>
      <c r="D1718" s="1" t="str">
        <f t="shared" si="133"/>
        <v>FB</v>
      </c>
      <c r="E1718" s="14" t="s">
        <v>2370</v>
      </c>
      <c r="F1718" s="9" t="s">
        <v>2371</v>
      </c>
      <c r="G1718" s="14" t="s">
        <v>223</v>
      </c>
      <c r="H1718" s="9"/>
      <c r="I1718" s="1">
        <v>108000</v>
      </c>
      <c r="J1718" s="45">
        <v>1071716</v>
      </c>
      <c r="K1718" s="1" t="str">
        <f>TRIM(Cleaned_CRM_Data!H1718)</f>
        <v/>
      </c>
      <c r="L1718" t="str">
        <f>IFERROR(VLOOKUP(K1718, Status_Mapping!A:B, 2,), "Not Found")</f>
        <v>Not Found</v>
      </c>
      <c r="N1718" s="29" t="str">
        <f>IF(M1718="","",M1718-B1718)</f>
        <v/>
      </c>
      <c r="O1718" s="1" t="str">
        <f t="shared" si="131"/>
        <v>Starter</v>
      </c>
      <c r="P1718" t="str">
        <f>TEXT(B1718, "mmmm")</f>
        <v>May</v>
      </c>
      <c r="Q1718" t="str">
        <f t="shared" si="132"/>
        <v>Q2</v>
      </c>
      <c r="R1718" t="str">
        <f>IFERROR(VLOOKUP(TRIM(CLEAN(G1718)),Sheet14!$A$2:$B$19,2,FALSE),"Not Mapped")</f>
        <v>West</v>
      </c>
    </row>
    <row r="1719" spans="1:18">
      <c r="A1719" t="str">
        <f t="shared" si="130"/>
        <v>EOS1718</v>
      </c>
      <c r="B1719" s="38">
        <v>46163</v>
      </c>
      <c r="C1719" s="4" t="s">
        <v>267</v>
      </c>
      <c r="D1719" s="1" t="str">
        <f t="shared" si="133"/>
        <v>FB</v>
      </c>
      <c r="E1719" s="14" t="s">
        <v>2372</v>
      </c>
      <c r="F1719" s="9" t="s">
        <v>2373</v>
      </c>
      <c r="G1719" s="9" t="s">
        <v>237</v>
      </c>
      <c r="H1719" s="9"/>
      <c r="I1719" s="1">
        <v>130000</v>
      </c>
      <c r="J1719" s="45">
        <v>1071717</v>
      </c>
      <c r="K1719" s="1" t="str">
        <f>TRIM(Cleaned_CRM_Data!H1719)</f>
        <v/>
      </c>
      <c r="L1719" t="str">
        <f>IFERROR(VLOOKUP(K1719, Status_Mapping!A:B, 2,), "Not Found")</f>
        <v>Not Found</v>
      </c>
      <c r="N1719" s="29" t="str">
        <f>IF(M1719="","",M1719-B1719)</f>
        <v/>
      </c>
      <c r="O1719" s="1" t="str">
        <f t="shared" si="131"/>
        <v>Starter</v>
      </c>
      <c r="P1719" t="str">
        <f>TEXT(B1719, "mmmm")</f>
        <v>May</v>
      </c>
      <c r="Q1719" t="str">
        <f t="shared" si="132"/>
        <v>Q2</v>
      </c>
      <c r="R1719" t="str">
        <f>IFERROR(VLOOKUP(TRIM(CLEAN(G1719)),Sheet14!$A$2:$B$19,2,FALSE),"Not Mapped")</f>
        <v>North</v>
      </c>
    </row>
    <row r="1720" spans="1:18">
      <c r="A1720" t="str">
        <f t="shared" si="130"/>
        <v>EOS1719</v>
      </c>
      <c r="B1720" s="38">
        <v>46163</v>
      </c>
      <c r="C1720" s="4" t="s">
        <v>267</v>
      </c>
      <c r="D1720" s="1" t="str">
        <f t="shared" si="133"/>
        <v>FB</v>
      </c>
      <c r="E1720" s="9" t="s">
        <v>2374</v>
      </c>
      <c r="F1720" s="14" t="s">
        <v>2375</v>
      </c>
      <c r="G1720" s="14" t="s">
        <v>223</v>
      </c>
      <c r="H1720" s="9"/>
      <c r="I1720" s="1">
        <v>130000</v>
      </c>
      <c r="J1720" s="45">
        <v>1071718</v>
      </c>
      <c r="K1720" s="1" t="str">
        <f>TRIM(Cleaned_CRM_Data!H1720)</f>
        <v/>
      </c>
      <c r="L1720" t="str">
        <f>IFERROR(VLOOKUP(K1720, Status_Mapping!A:B, 2,), "Not Found")</f>
        <v>Not Found</v>
      </c>
      <c r="N1720" s="29" t="str">
        <f>IF(M1720="","",M1720-B1720)</f>
        <v/>
      </c>
      <c r="O1720" s="1" t="str">
        <f t="shared" si="131"/>
        <v>Starter</v>
      </c>
      <c r="P1720" t="str">
        <f>TEXT(B1720, "mmmm")</f>
        <v>May</v>
      </c>
      <c r="Q1720" t="str">
        <f t="shared" si="132"/>
        <v>Q2</v>
      </c>
      <c r="R1720" t="str">
        <f>IFERROR(VLOOKUP(TRIM(CLEAN(G1720)),Sheet14!$A$2:$B$19,2,FALSE),"Not Mapped")</f>
        <v>West</v>
      </c>
    </row>
    <row r="1721" spans="1:18">
      <c r="A1721" t="str">
        <f t="shared" si="130"/>
        <v>EOS1720</v>
      </c>
      <c r="B1721" s="38">
        <v>46163</v>
      </c>
      <c r="C1721" s="4" t="s">
        <v>267</v>
      </c>
      <c r="D1721" s="1" t="str">
        <f t="shared" si="133"/>
        <v>FB</v>
      </c>
      <c r="E1721" s="14" t="s">
        <v>2376</v>
      </c>
      <c r="F1721" s="14" t="s">
        <v>304</v>
      </c>
      <c r="G1721" s="14" t="s">
        <v>223</v>
      </c>
      <c r="H1721" s="9"/>
      <c r="I1721" s="1">
        <v>108000</v>
      </c>
      <c r="J1721" s="45">
        <v>1071719</v>
      </c>
      <c r="K1721" s="1" t="str">
        <f>TRIM(Cleaned_CRM_Data!H1721)</f>
        <v/>
      </c>
      <c r="L1721" t="str">
        <f>IFERROR(VLOOKUP(K1721, Status_Mapping!A:B, 2,), "Not Found")</f>
        <v>Not Found</v>
      </c>
      <c r="N1721" s="29" t="str">
        <f>IF(M1721="","",M1721-B1721)</f>
        <v/>
      </c>
      <c r="O1721" s="1" t="str">
        <f t="shared" si="131"/>
        <v>Starter</v>
      </c>
      <c r="P1721" t="str">
        <f>TEXT(B1721, "mmmm")</f>
        <v>May</v>
      </c>
      <c r="Q1721" t="str">
        <f t="shared" si="132"/>
        <v>Q2</v>
      </c>
      <c r="R1721" t="str">
        <f>IFERROR(VLOOKUP(TRIM(CLEAN(G1721)),Sheet14!$A$2:$B$19,2,FALSE),"Not Mapped")</f>
        <v>West</v>
      </c>
    </row>
    <row r="1722" spans="1:18">
      <c r="A1722" t="str">
        <f t="shared" si="130"/>
        <v>EOS1721</v>
      </c>
      <c r="B1722" s="38">
        <v>46163</v>
      </c>
      <c r="C1722" s="4" t="s">
        <v>267</v>
      </c>
      <c r="D1722" s="1" t="str">
        <f t="shared" si="133"/>
        <v>FB</v>
      </c>
      <c r="E1722" s="14" t="s">
        <v>2377</v>
      </c>
      <c r="F1722" s="9" t="s">
        <v>2378</v>
      </c>
      <c r="G1722" s="14" t="s">
        <v>223</v>
      </c>
      <c r="H1722" s="9"/>
      <c r="I1722" s="1">
        <v>177000</v>
      </c>
      <c r="J1722" s="45">
        <v>1071720</v>
      </c>
      <c r="K1722" s="1" t="str">
        <f>TRIM(Cleaned_CRM_Data!H1722)</f>
        <v/>
      </c>
      <c r="L1722" t="str">
        <f>IFERROR(VLOOKUP(K1722, Status_Mapping!A:B, 2,), "Not Found")</f>
        <v>Not Found</v>
      </c>
      <c r="N1722" s="29" t="str">
        <f>IF(M1722="","",M1722-B1722)</f>
        <v/>
      </c>
      <c r="O1722" s="1" t="str">
        <f t="shared" si="131"/>
        <v>Growth</v>
      </c>
      <c r="P1722" t="str">
        <f>TEXT(B1722, "mmmm")</f>
        <v>May</v>
      </c>
      <c r="Q1722" t="str">
        <f t="shared" si="132"/>
        <v>Q2</v>
      </c>
      <c r="R1722" t="str">
        <f>IFERROR(VLOOKUP(TRIM(CLEAN(G1722)),Sheet14!$A$2:$B$19,2,FALSE),"Not Mapped")</f>
        <v>West</v>
      </c>
    </row>
    <row r="1723" spans="1:18">
      <c r="A1723" t="str">
        <f t="shared" si="130"/>
        <v>EOS1722</v>
      </c>
      <c r="B1723" s="38">
        <v>46163</v>
      </c>
      <c r="C1723" s="4" t="s">
        <v>267</v>
      </c>
      <c r="D1723" s="1" t="str">
        <f t="shared" si="133"/>
        <v>FB</v>
      </c>
      <c r="E1723" s="9" t="s">
        <v>520</v>
      </c>
      <c r="F1723" s="14" t="s">
        <v>275</v>
      </c>
      <c r="G1723" s="14" t="s">
        <v>223</v>
      </c>
      <c r="H1723" s="9"/>
      <c r="I1723" s="1">
        <v>130000</v>
      </c>
      <c r="J1723" s="45">
        <v>1071721</v>
      </c>
      <c r="K1723" s="1" t="str">
        <f>TRIM(Cleaned_CRM_Data!H1723)</f>
        <v/>
      </c>
      <c r="L1723" t="str">
        <f>IFERROR(VLOOKUP(K1723, Status_Mapping!A:B, 2,), "Not Found")</f>
        <v>Not Found</v>
      </c>
      <c r="N1723" s="29" t="str">
        <f>IF(M1723="","",M1723-B1723)</f>
        <v/>
      </c>
      <c r="O1723" s="1" t="str">
        <f t="shared" si="131"/>
        <v>Starter</v>
      </c>
      <c r="P1723" t="str">
        <f>TEXT(B1723, "mmmm")</f>
        <v>May</v>
      </c>
      <c r="Q1723" t="str">
        <f t="shared" si="132"/>
        <v>Q2</v>
      </c>
      <c r="R1723" t="str">
        <f>IFERROR(VLOOKUP(TRIM(CLEAN(G1723)),Sheet14!$A$2:$B$19,2,FALSE),"Not Mapped")</f>
        <v>West</v>
      </c>
    </row>
    <row r="1724" spans="1:18">
      <c r="A1724" t="str">
        <f t="shared" si="130"/>
        <v>EOS1723</v>
      </c>
      <c r="B1724" s="38">
        <v>46163</v>
      </c>
      <c r="C1724" s="4" t="s">
        <v>267</v>
      </c>
      <c r="D1724" s="1" t="str">
        <f t="shared" si="133"/>
        <v>FB</v>
      </c>
      <c r="E1724" s="14" t="s">
        <v>1402</v>
      </c>
      <c r="F1724" s="14" t="s">
        <v>412</v>
      </c>
      <c r="G1724" s="14" t="s">
        <v>223</v>
      </c>
      <c r="H1724" s="9"/>
      <c r="I1724" s="1">
        <v>108000</v>
      </c>
      <c r="J1724" s="45">
        <v>1071722</v>
      </c>
      <c r="K1724" s="1" t="str">
        <f>TRIM(Cleaned_CRM_Data!H1724)</f>
        <v/>
      </c>
      <c r="L1724" t="str">
        <f>IFERROR(VLOOKUP(K1724, Status_Mapping!A:B, 2,), "Not Found")</f>
        <v>Not Found</v>
      </c>
      <c r="N1724" s="29" t="str">
        <f>IF(M1724="","",M1724-B1724)</f>
        <v/>
      </c>
      <c r="O1724" s="1" t="str">
        <f t="shared" si="131"/>
        <v>Starter</v>
      </c>
      <c r="P1724" t="str">
        <f>TEXT(B1724, "mmmm")</f>
        <v>May</v>
      </c>
      <c r="Q1724" t="str">
        <f t="shared" si="132"/>
        <v>Q2</v>
      </c>
      <c r="R1724" t="str">
        <f>IFERROR(VLOOKUP(TRIM(CLEAN(G1724)),Sheet14!$A$2:$B$19,2,FALSE),"Not Mapped")</f>
        <v>West</v>
      </c>
    </row>
    <row r="1725" spans="1:18">
      <c r="A1725" t="str">
        <f t="shared" si="130"/>
        <v>EOS1724</v>
      </c>
      <c r="B1725" s="38">
        <v>46163</v>
      </c>
      <c r="C1725" s="4" t="s">
        <v>267</v>
      </c>
      <c r="D1725" s="1" t="str">
        <f t="shared" si="133"/>
        <v>FB</v>
      </c>
      <c r="E1725" s="14" t="s">
        <v>2379</v>
      </c>
      <c r="F1725" s="14" t="s">
        <v>412</v>
      </c>
      <c r="G1725" s="14" t="s">
        <v>223</v>
      </c>
      <c r="H1725" s="9"/>
      <c r="I1725" s="1">
        <v>177000</v>
      </c>
      <c r="J1725" s="45">
        <v>1071723</v>
      </c>
      <c r="K1725" s="1" t="str">
        <f>TRIM(Cleaned_CRM_Data!H1725)</f>
        <v/>
      </c>
      <c r="L1725" t="str">
        <f>IFERROR(VLOOKUP(K1725, Status_Mapping!A:B, 2,), "Not Found")</f>
        <v>Not Found</v>
      </c>
      <c r="N1725" s="29" t="str">
        <f>IF(M1725="","",M1725-B1725)</f>
        <v/>
      </c>
      <c r="O1725" s="1" t="str">
        <f t="shared" si="131"/>
        <v>Growth</v>
      </c>
      <c r="P1725" t="str">
        <f>TEXT(B1725, "mmmm")</f>
        <v>May</v>
      </c>
      <c r="Q1725" t="str">
        <f t="shared" si="132"/>
        <v>Q2</v>
      </c>
      <c r="R1725" t="str">
        <f>IFERROR(VLOOKUP(TRIM(CLEAN(G1725)),Sheet14!$A$2:$B$19,2,FALSE),"Not Mapped")</f>
        <v>West</v>
      </c>
    </row>
    <row r="1726" spans="1:18">
      <c r="A1726" t="str">
        <f t="shared" si="130"/>
        <v>EOS1725</v>
      </c>
      <c r="B1726" s="38">
        <v>46163</v>
      </c>
      <c r="C1726" s="4" t="s">
        <v>267</v>
      </c>
      <c r="D1726" s="1" t="str">
        <f t="shared" si="133"/>
        <v>FB</v>
      </c>
      <c r="E1726" s="14" t="s">
        <v>2380</v>
      </c>
      <c r="F1726" s="14" t="s">
        <v>2082</v>
      </c>
      <c r="G1726" s="14" t="s">
        <v>223</v>
      </c>
      <c r="H1726" s="9"/>
      <c r="I1726" s="1">
        <v>130000</v>
      </c>
      <c r="J1726" s="45">
        <v>1071724</v>
      </c>
      <c r="K1726" s="1" t="str">
        <f>TRIM(Cleaned_CRM_Data!H1726)</f>
        <v/>
      </c>
      <c r="L1726" t="str">
        <f>IFERROR(VLOOKUP(K1726, Status_Mapping!A:B, 2,), "Not Found")</f>
        <v>Not Found</v>
      </c>
      <c r="N1726" s="29" t="str">
        <f>IF(M1726="","",M1726-B1726)</f>
        <v/>
      </c>
      <c r="O1726" s="1" t="str">
        <f t="shared" si="131"/>
        <v>Starter</v>
      </c>
      <c r="P1726" t="str">
        <f>TEXT(B1726, "mmmm")</f>
        <v>May</v>
      </c>
      <c r="Q1726" t="str">
        <f t="shared" si="132"/>
        <v>Q2</v>
      </c>
      <c r="R1726" t="str">
        <f>IFERROR(VLOOKUP(TRIM(CLEAN(G1726)),Sheet14!$A$2:$B$19,2,FALSE),"Not Mapped")</f>
        <v>West</v>
      </c>
    </row>
    <row r="1727" spans="1:18">
      <c r="A1727" t="str">
        <f t="shared" si="130"/>
        <v>EOS1726</v>
      </c>
      <c r="B1727" s="38">
        <v>46163</v>
      </c>
      <c r="C1727" s="4" t="s">
        <v>267</v>
      </c>
      <c r="D1727" s="1" t="str">
        <f t="shared" si="133"/>
        <v>FB</v>
      </c>
      <c r="E1727" s="14" t="s">
        <v>2381</v>
      </c>
      <c r="F1727" s="14" t="s">
        <v>296</v>
      </c>
      <c r="G1727" s="14" t="s">
        <v>223</v>
      </c>
      <c r="H1727" s="9"/>
      <c r="I1727" s="1">
        <v>130000</v>
      </c>
      <c r="J1727" s="45">
        <v>1071725</v>
      </c>
      <c r="K1727" s="1" t="str">
        <f>TRIM(Cleaned_CRM_Data!H1727)</f>
        <v/>
      </c>
      <c r="L1727" t="str">
        <f>IFERROR(VLOOKUP(K1727, Status_Mapping!A:B, 2,), "Not Found")</f>
        <v>Not Found</v>
      </c>
      <c r="N1727" s="29" t="str">
        <f>IF(M1727="","",M1727-B1727)</f>
        <v/>
      </c>
      <c r="O1727" s="1" t="str">
        <f t="shared" si="131"/>
        <v>Starter</v>
      </c>
      <c r="P1727" t="str">
        <f>TEXT(B1727, "mmmm")</f>
        <v>May</v>
      </c>
      <c r="Q1727" t="str">
        <f t="shared" si="132"/>
        <v>Q2</v>
      </c>
      <c r="R1727" t="str">
        <f>IFERROR(VLOOKUP(TRIM(CLEAN(G1727)),Sheet14!$A$2:$B$19,2,FALSE),"Not Mapped")</f>
        <v>West</v>
      </c>
    </row>
    <row r="1728" spans="1:18">
      <c r="A1728" t="str">
        <f t="shared" si="130"/>
        <v>EOS1727</v>
      </c>
      <c r="B1728" s="40">
        <v>46164</v>
      </c>
      <c r="C1728" s="4" t="s">
        <v>267</v>
      </c>
      <c r="D1728" s="1" t="str">
        <f t="shared" si="133"/>
        <v>FB</v>
      </c>
      <c r="E1728" s="14" t="s">
        <v>2382</v>
      </c>
      <c r="F1728" s="14" t="s">
        <v>2383</v>
      </c>
      <c r="G1728" s="14" t="s">
        <v>223</v>
      </c>
      <c r="H1728" s="2"/>
      <c r="I1728" s="1">
        <v>108000</v>
      </c>
      <c r="J1728" s="45">
        <v>1071726</v>
      </c>
      <c r="K1728" s="1" t="str">
        <f>TRIM(Cleaned_CRM_Data!H1728)</f>
        <v/>
      </c>
      <c r="L1728" t="str">
        <f>IFERROR(VLOOKUP(K1728, Status_Mapping!A:B, 2,), "Not Found")</f>
        <v>Not Found</v>
      </c>
      <c r="N1728" s="29" t="str">
        <f>IF(M1728="","",M1728-B1728)</f>
        <v/>
      </c>
      <c r="O1728" s="1" t="str">
        <f t="shared" si="131"/>
        <v>Starter</v>
      </c>
      <c r="P1728" t="str">
        <f>TEXT(B1728, "mmmm")</f>
        <v>May</v>
      </c>
      <c r="Q1728" t="str">
        <f t="shared" si="132"/>
        <v>Q2</v>
      </c>
      <c r="R1728" t="str">
        <f>IFERROR(VLOOKUP(TRIM(CLEAN(G1728)),Sheet14!$A$2:$B$19,2,FALSE),"Not Mapped")</f>
        <v>West</v>
      </c>
    </row>
    <row r="1729" spans="1:18">
      <c r="A1729" t="str">
        <f t="shared" si="130"/>
        <v>EOS1728</v>
      </c>
      <c r="B1729" s="40">
        <v>46164</v>
      </c>
      <c r="C1729" s="4" t="s">
        <v>267</v>
      </c>
      <c r="D1729" s="1" t="str">
        <f t="shared" si="133"/>
        <v>FB</v>
      </c>
      <c r="E1729" s="14" t="s">
        <v>2384</v>
      </c>
      <c r="F1729" s="14" t="s">
        <v>903</v>
      </c>
      <c r="G1729" s="14" t="s">
        <v>223</v>
      </c>
      <c r="H1729" s="2"/>
      <c r="I1729" s="1">
        <v>130000</v>
      </c>
      <c r="J1729" s="45">
        <v>1071727</v>
      </c>
      <c r="K1729" s="1" t="str">
        <f>TRIM(Cleaned_CRM_Data!H1729)</f>
        <v/>
      </c>
      <c r="L1729" t="str">
        <f>IFERROR(VLOOKUP(K1729, Status_Mapping!A:B, 2,), "Not Found")</f>
        <v>Not Found</v>
      </c>
      <c r="N1729" s="29" t="str">
        <f>IF(M1729="","",M1729-B1729)</f>
        <v/>
      </c>
      <c r="O1729" s="1" t="str">
        <f t="shared" si="131"/>
        <v>Starter</v>
      </c>
      <c r="P1729" t="str">
        <f>TEXT(B1729, "mmmm")</f>
        <v>May</v>
      </c>
      <c r="Q1729" t="str">
        <f t="shared" si="132"/>
        <v>Q2</v>
      </c>
      <c r="R1729" t="str">
        <f>IFERROR(VLOOKUP(TRIM(CLEAN(G1729)),Sheet14!$A$2:$B$19,2,FALSE),"Not Mapped")</f>
        <v>West</v>
      </c>
    </row>
    <row r="1730" spans="1:18">
      <c r="A1730" t="str">
        <f t="shared" si="130"/>
        <v>EOS1729</v>
      </c>
      <c r="B1730" s="40">
        <v>46164</v>
      </c>
      <c r="C1730" s="4" t="s">
        <v>267</v>
      </c>
      <c r="D1730" s="1" t="str">
        <f t="shared" si="133"/>
        <v>FB</v>
      </c>
      <c r="E1730" s="14" t="s">
        <v>2385</v>
      </c>
      <c r="F1730" s="14" t="s">
        <v>350</v>
      </c>
      <c r="G1730" s="14" t="s">
        <v>223</v>
      </c>
      <c r="H1730" s="2"/>
      <c r="I1730" s="1">
        <v>130000</v>
      </c>
      <c r="J1730" s="45">
        <v>1071728</v>
      </c>
      <c r="K1730" s="1" t="str">
        <f>TRIM(Cleaned_CRM_Data!H1730)</f>
        <v/>
      </c>
      <c r="L1730" t="str">
        <f>IFERROR(VLOOKUP(K1730, Status_Mapping!A:B, 2,), "Not Found")</f>
        <v>Not Found</v>
      </c>
      <c r="N1730" s="29" t="str">
        <f>IF(M1730="","",M1730-B1730)</f>
        <v/>
      </c>
      <c r="O1730" s="1" t="str">
        <f t="shared" si="131"/>
        <v>Starter</v>
      </c>
      <c r="P1730" t="str">
        <f>TEXT(B1730, "mmmm")</f>
        <v>May</v>
      </c>
      <c r="Q1730" t="str">
        <f t="shared" si="132"/>
        <v>Q2</v>
      </c>
      <c r="R1730" t="str">
        <f>IFERROR(VLOOKUP(TRIM(CLEAN(G1730)),Sheet14!$A$2:$B$19,2,FALSE),"Not Mapped")</f>
        <v>West</v>
      </c>
    </row>
    <row r="1731" spans="1:18">
      <c r="A1731" t="str">
        <f t="shared" ref="A1731:A1779" si="134">"EOS"&amp;TEXT(ROW()-1,"0000")</f>
        <v>EOS1730</v>
      </c>
      <c r="B1731" s="40">
        <v>46164</v>
      </c>
      <c r="C1731" s="4" t="s">
        <v>267</v>
      </c>
      <c r="D1731" s="1" t="str">
        <f t="shared" si="133"/>
        <v>FB</v>
      </c>
      <c r="E1731" s="14" t="s">
        <v>2386</v>
      </c>
      <c r="F1731" s="14" t="s">
        <v>2387</v>
      </c>
      <c r="G1731" s="14" t="s">
        <v>223</v>
      </c>
      <c r="H1731" s="2"/>
      <c r="I1731" s="1">
        <v>108000</v>
      </c>
      <c r="J1731" s="45">
        <v>1071729</v>
      </c>
      <c r="K1731" s="1" t="str">
        <f>TRIM(Cleaned_CRM_Data!H1731)</f>
        <v/>
      </c>
      <c r="L1731" t="str">
        <f>IFERROR(VLOOKUP(K1731, Status_Mapping!A:B, 2,), "Not Found")</f>
        <v>Not Found</v>
      </c>
      <c r="N1731" s="29" t="str">
        <f>IF(M1731="","",M1731-B1731)</f>
        <v/>
      </c>
      <c r="O1731" s="1" t="str">
        <f t="shared" ref="O1731:O1779" si="135">IF(OR(I1731=108000,I1731=130000),"Starter",IF(I1731=177000,"Growth","Premium"))</f>
        <v>Starter</v>
      </c>
      <c r="P1731" t="str">
        <f>TEXT(B1731, "mmmm")</f>
        <v>May</v>
      </c>
      <c r="Q1731" t="str">
        <f t="shared" ref="Q1731:Q1780" si="136">"Q"&amp;ROUNDUP(MONTH(B1731)/3,0)</f>
        <v>Q2</v>
      </c>
      <c r="R1731" t="str">
        <f>IFERROR(VLOOKUP(TRIM(CLEAN(G1731)),Sheet14!$A$2:$B$19,2,FALSE),"Not Mapped")</f>
        <v>West</v>
      </c>
    </row>
    <row r="1732" spans="1:18">
      <c r="A1732" t="str">
        <f t="shared" si="134"/>
        <v>EOS1731</v>
      </c>
      <c r="B1732" s="40">
        <v>46164</v>
      </c>
      <c r="C1732" s="4" t="s">
        <v>267</v>
      </c>
      <c r="D1732" s="1" t="str">
        <f t="shared" si="133"/>
        <v>FB</v>
      </c>
      <c r="E1732" s="14" t="s">
        <v>2388</v>
      </c>
      <c r="F1732" s="14" t="s">
        <v>304</v>
      </c>
      <c r="G1732" s="14" t="s">
        <v>223</v>
      </c>
      <c r="H1732" s="2"/>
      <c r="I1732" s="1">
        <v>130000</v>
      </c>
      <c r="J1732" s="45">
        <v>1071730</v>
      </c>
      <c r="K1732" s="1" t="str">
        <f>TRIM(Cleaned_CRM_Data!H1732)</f>
        <v/>
      </c>
      <c r="L1732" t="str">
        <f>IFERROR(VLOOKUP(K1732, Status_Mapping!A:B, 2,), "Not Found")</f>
        <v>Not Found</v>
      </c>
      <c r="N1732" s="29" t="str">
        <f>IF(M1732="","",M1732-B1732)</f>
        <v/>
      </c>
      <c r="O1732" s="1" t="str">
        <f t="shared" si="135"/>
        <v>Starter</v>
      </c>
      <c r="P1732" t="str">
        <f>TEXT(B1732, "mmmm")</f>
        <v>May</v>
      </c>
      <c r="Q1732" t="str">
        <f t="shared" si="136"/>
        <v>Q2</v>
      </c>
      <c r="R1732" t="str">
        <f>IFERROR(VLOOKUP(TRIM(CLEAN(G1732)),Sheet14!$A$2:$B$19,2,FALSE),"Not Mapped")</f>
        <v>West</v>
      </c>
    </row>
    <row r="1733" spans="1:18">
      <c r="A1733" t="str">
        <f t="shared" si="134"/>
        <v>EOS1732</v>
      </c>
      <c r="B1733" s="40">
        <v>46164</v>
      </c>
      <c r="C1733" s="4" t="s">
        <v>267</v>
      </c>
      <c r="D1733" s="1" t="str">
        <f t="shared" si="133"/>
        <v>FB</v>
      </c>
      <c r="E1733" s="14" t="s">
        <v>2389</v>
      </c>
      <c r="F1733" s="14" t="s">
        <v>300</v>
      </c>
      <c r="G1733" s="14" t="s">
        <v>223</v>
      </c>
      <c r="H1733" s="2"/>
      <c r="I1733" s="1">
        <v>130000</v>
      </c>
      <c r="J1733" s="45">
        <v>1071731</v>
      </c>
      <c r="K1733" s="1" t="str">
        <f>TRIM(Cleaned_CRM_Data!H1733)</f>
        <v/>
      </c>
      <c r="L1733" t="str">
        <f>IFERROR(VLOOKUP(K1733, Status_Mapping!A:B, 2,), "Not Found")</f>
        <v>Not Found</v>
      </c>
      <c r="N1733" s="29" t="str">
        <f>IF(M1733="","",M1733-B1733)</f>
        <v/>
      </c>
      <c r="O1733" s="1" t="str">
        <f t="shared" si="135"/>
        <v>Starter</v>
      </c>
      <c r="P1733" t="str">
        <f>TEXT(B1733, "mmmm")</f>
        <v>May</v>
      </c>
      <c r="Q1733" t="str">
        <f t="shared" si="136"/>
        <v>Q2</v>
      </c>
      <c r="R1733" t="str">
        <f>IFERROR(VLOOKUP(TRIM(CLEAN(G1733)),Sheet14!$A$2:$B$19,2,FALSE),"Not Mapped")</f>
        <v>West</v>
      </c>
    </row>
    <row r="1734" spans="1:18">
      <c r="A1734" t="str">
        <f t="shared" si="134"/>
        <v>EOS1733</v>
      </c>
      <c r="B1734" s="40">
        <v>46164</v>
      </c>
      <c r="C1734" s="4" t="s">
        <v>267</v>
      </c>
      <c r="D1734" s="1" t="str">
        <f t="shared" si="133"/>
        <v>FB</v>
      </c>
      <c r="E1734" s="14" t="s">
        <v>2390</v>
      </c>
      <c r="F1734" s="14" t="s">
        <v>2391</v>
      </c>
      <c r="G1734" s="14" t="s">
        <v>223</v>
      </c>
      <c r="H1734" s="2"/>
      <c r="I1734" s="1">
        <v>108000</v>
      </c>
      <c r="J1734" s="45">
        <v>1071732</v>
      </c>
      <c r="K1734" s="1" t="str">
        <f>TRIM(Cleaned_CRM_Data!H1734)</f>
        <v/>
      </c>
      <c r="L1734" t="str">
        <f>IFERROR(VLOOKUP(K1734, Status_Mapping!A:B, 2,), "Not Found")</f>
        <v>Not Found</v>
      </c>
      <c r="N1734" s="29" t="str">
        <f>IF(M1734="","",M1734-B1734)</f>
        <v/>
      </c>
      <c r="O1734" s="1" t="str">
        <f t="shared" si="135"/>
        <v>Starter</v>
      </c>
      <c r="P1734" t="str">
        <f>TEXT(B1734, "mmmm")</f>
        <v>May</v>
      </c>
      <c r="Q1734" t="str">
        <f t="shared" si="136"/>
        <v>Q2</v>
      </c>
      <c r="R1734" t="str">
        <f>IFERROR(VLOOKUP(TRIM(CLEAN(G1734)),Sheet14!$A$2:$B$19,2,FALSE),"Not Mapped")</f>
        <v>West</v>
      </c>
    </row>
    <row r="1735" spans="1:18">
      <c r="A1735" t="str">
        <f t="shared" si="134"/>
        <v>EOS1734</v>
      </c>
      <c r="B1735" s="40">
        <v>46164</v>
      </c>
      <c r="C1735" s="4" t="s">
        <v>267</v>
      </c>
      <c r="D1735" s="1" t="str">
        <f t="shared" si="133"/>
        <v>FB</v>
      </c>
      <c r="E1735" s="14" t="s">
        <v>2392</v>
      </c>
      <c r="F1735" s="14" t="s">
        <v>985</v>
      </c>
      <c r="G1735" s="14" t="s">
        <v>223</v>
      </c>
      <c r="H1735" s="2"/>
      <c r="I1735" s="1">
        <v>130000</v>
      </c>
      <c r="J1735" s="45">
        <v>1071733</v>
      </c>
      <c r="K1735" s="1" t="str">
        <f>TRIM(Cleaned_CRM_Data!H1735)</f>
        <v/>
      </c>
      <c r="L1735" t="str">
        <f>IFERROR(VLOOKUP(K1735, Status_Mapping!A:B, 2,), "Not Found")</f>
        <v>Not Found</v>
      </c>
      <c r="N1735" s="29" t="str">
        <f>IF(M1735="","",M1735-B1735)</f>
        <v/>
      </c>
      <c r="O1735" s="1" t="str">
        <f t="shared" si="135"/>
        <v>Starter</v>
      </c>
      <c r="P1735" t="str">
        <f>TEXT(B1735, "mmmm")</f>
        <v>May</v>
      </c>
      <c r="Q1735" t="str">
        <f t="shared" si="136"/>
        <v>Q2</v>
      </c>
      <c r="R1735" t="str">
        <f>IFERROR(VLOOKUP(TRIM(CLEAN(G1735)),Sheet14!$A$2:$B$19,2,FALSE),"Not Mapped")</f>
        <v>West</v>
      </c>
    </row>
    <row r="1736" spans="1:18">
      <c r="A1736" t="str">
        <f t="shared" si="134"/>
        <v>EOS1735</v>
      </c>
      <c r="B1736" s="40">
        <v>46164</v>
      </c>
      <c r="C1736" s="4" t="s">
        <v>267</v>
      </c>
      <c r="D1736" s="1" t="str">
        <f t="shared" si="133"/>
        <v>FB</v>
      </c>
      <c r="E1736" s="14" t="s">
        <v>2393</v>
      </c>
      <c r="F1736" s="14" t="s">
        <v>275</v>
      </c>
      <c r="G1736" s="14" t="s">
        <v>223</v>
      </c>
      <c r="H1736" s="2"/>
      <c r="I1736" s="1">
        <v>108000</v>
      </c>
      <c r="J1736" s="45">
        <v>1071734</v>
      </c>
      <c r="K1736" s="1" t="str">
        <f>TRIM(Cleaned_CRM_Data!H1736)</f>
        <v/>
      </c>
      <c r="L1736" t="str">
        <f>IFERROR(VLOOKUP(K1736, Status_Mapping!A:B, 2,), "Not Found")</f>
        <v>Not Found</v>
      </c>
      <c r="N1736" s="29" t="str">
        <f>IF(M1736="","",M1736-B1736)</f>
        <v/>
      </c>
      <c r="O1736" s="1" t="str">
        <f t="shared" si="135"/>
        <v>Starter</v>
      </c>
      <c r="P1736" t="str">
        <f>TEXT(B1736, "mmmm")</f>
        <v>May</v>
      </c>
      <c r="Q1736" t="str">
        <f t="shared" si="136"/>
        <v>Q2</v>
      </c>
      <c r="R1736" t="str">
        <f>IFERROR(VLOOKUP(TRIM(CLEAN(G1736)),Sheet14!$A$2:$B$19,2,FALSE),"Not Mapped")</f>
        <v>West</v>
      </c>
    </row>
    <row r="1737" spans="1:18">
      <c r="A1737" t="str">
        <f t="shared" si="134"/>
        <v>EOS1736</v>
      </c>
      <c r="B1737" s="36">
        <v>46165</v>
      </c>
      <c r="C1737" s="4" t="s">
        <v>267</v>
      </c>
      <c r="D1737" s="1" t="str">
        <f t="shared" si="133"/>
        <v>FB</v>
      </c>
      <c r="E1737" s="14" t="s">
        <v>2394</v>
      </c>
      <c r="F1737" s="14" t="s">
        <v>2053</v>
      </c>
      <c r="G1737" s="14" t="s">
        <v>223</v>
      </c>
      <c r="H1737" s="2"/>
      <c r="I1737" s="1">
        <v>130000</v>
      </c>
      <c r="J1737" s="45">
        <v>1071735</v>
      </c>
      <c r="K1737" s="1" t="str">
        <f>TRIM(Cleaned_CRM_Data!H1737)</f>
        <v/>
      </c>
      <c r="L1737" t="str">
        <f>IFERROR(VLOOKUP(K1737, Status_Mapping!A:B, 2,), "Not Found")</f>
        <v>Not Found</v>
      </c>
      <c r="N1737" s="29" t="str">
        <f>IF(M1737="","",M1737-B1737)</f>
        <v/>
      </c>
      <c r="O1737" s="1" t="str">
        <f t="shared" si="135"/>
        <v>Starter</v>
      </c>
      <c r="P1737" t="str">
        <f>TEXT(B1737, "mmmm")</f>
        <v>May</v>
      </c>
      <c r="Q1737" t="str">
        <f t="shared" si="136"/>
        <v>Q2</v>
      </c>
      <c r="R1737" t="str">
        <f>IFERROR(VLOOKUP(TRIM(CLEAN(G1737)),Sheet14!$A$2:$B$19,2,FALSE),"Not Mapped")</f>
        <v>West</v>
      </c>
    </row>
    <row r="1738" spans="1:18">
      <c r="A1738" t="str">
        <f t="shared" si="134"/>
        <v>EOS1737</v>
      </c>
      <c r="B1738" s="36">
        <v>46165</v>
      </c>
      <c r="C1738" s="4" t="s">
        <v>267</v>
      </c>
      <c r="D1738" s="1" t="str">
        <f t="shared" si="133"/>
        <v>FB</v>
      </c>
      <c r="E1738" s="14" t="s">
        <v>2395</v>
      </c>
      <c r="F1738" s="14" t="s">
        <v>304</v>
      </c>
      <c r="G1738" s="14" t="s">
        <v>223</v>
      </c>
      <c r="H1738" s="2"/>
      <c r="I1738" s="1">
        <v>108000</v>
      </c>
      <c r="J1738" s="45">
        <v>1071736</v>
      </c>
      <c r="K1738" s="1" t="str">
        <f>TRIM(Cleaned_CRM_Data!H1738)</f>
        <v/>
      </c>
      <c r="L1738" t="str">
        <f>IFERROR(VLOOKUP(K1738, Status_Mapping!A:B, 2,), "Not Found")</f>
        <v>Not Found</v>
      </c>
      <c r="N1738" s="29" t="str">
        <f>IF(M1738="","",M1738-B1738)</f>
        <v/>
      </c>
      <c r="O1738" s="1" t="str">
        <f t="shared" si="135"/>
        <v>Starter</v>
      </c>
      <c r="P1738" t="str">
        <f>TEXT(B1738, "mmmm")</f>
        <v>May</v>
      </c>
      <c r="Q1738" t="str">
        <f t="shared" si="136"/>
        <v>Q2</v>
      </c>
      <c r="R1738" t="str">
        <f>IFERROR(VLOOKUP(TRIM(CLEAN(G1738)),Sheet14!$A$2:$B$19,2,FALSE),"Not Mapped")</f>
        <v>West</v>
      </c>
    </row>
    <row r="1739" spans="1:18">
      <c r="A1739" t="str">
        <f t="shared" si="134"/>
        <v>EOS1738</v>
      </c>
      <c r="B1739" s="36">
        <v>46165</v>
      </c>
      <c r="C1739" s="4" t="s">
        <v>267</v>
      </c>
      <c r="D1739" s="1" t="str">
        <f t="shared" si="133"/>
        <v>FB</v>
      </c>
      <c r="E1739" s="14" t="s">
        <v>2396</v>
      </c>
      <c r="F1739" s="14" t="s">
        <v>2397</v>
      </c>
      <c r="G1739" s="14" t="s">
        <v>223</v>
      </c>
      <c r="H1739" s="2"/>
      <c r="I1739" s="1">
        <v>308000</v>
      </c>
      <c r="J1739" s="45">
        <v>1071737</v>
      </c>
      <c r="K1739" s="1" t="str">
        <f>TRIM(Cleaned_CRM_Data!H1739)</f>
        <v/>
      </c>
      <c r="L1739" t="str">
        <f>IFERROR(VLOOKUP(K1739, Status_Mapping!A:B, 2,), "Not Found")</f>
        <v>Not Found</v>
      </c>
      <c r="N1739" s="29" t="str">
        <f>IF(M1739="","",M1739-B1739)</f>
        <v/>
      </c>
      <c r="O1739" s="1" t="str">
        <f t="shared" si="135"/>
        <v>Premium</v>
      </c>
      <c r="P1739" t="str">
        <f>TEXT(B1739, "mmmm")</f>
        <v>May</v>
      </c>
      <c r="Q1739" t="str">
        <f t="shared" si="136"/>
        <v>Q2</v>
      </c>
      <c r="R1739" t="str">
        <f>IFERROR(VLOOKUP(TRIM(CLEAN(G1739)),Sheet14!$A$2:$B$19,2,FALSE),"Not Mapped")</f>
        <v>West</v>
      </c>
    </row>
    <row r="1740" spans="1:18">
      <c r="A1740" t="str">
        <f t="shared" si="134"/>
        <v>EOS1739</v>
      </c>
      <c r="B1740" s="36">
        <v>46165</v>
      </c>
      <c r="C1740" s="4" t="s">
        <v>267</v>
      </c>
      <c r="D1740" s="1" t="str">
        <f t="shared" si="133"/>
        <v>FB</v>
      </c>
      <c r="E1740" s="14" t="s">
        <v>2398</v>
      </c>
      <c r="F1740" s="14" t="s">
        <v>661</v>
      </c>
      <c r="G1740" s="14" t="s">
        <v>223</v>
      </c>
      <c r="H1740" s="2"/>
      <c r="I1740" s="1">
        <v>130000</v>
      </c>
      <c r="J1740" s="45">
        <v>1071738</v>
      </c>
      <c r="K1740" s="1" t="str">
        <f>TRIM(Cleaned_CRM_Data!H1740)</f>
        <v/>
      </c>
      <c r="L1740" t="str">
        <f>IFERROR(VLOOKUP(K1740, Status_Mapping!A:B, 2,), "Not Found")</f>
        <v>Not Found</v>
      </c>
      <c r="N1740" s="29" t="str">
        <f>IF(M1740="","",M1740-B1740)</f>
        <v/>
      </c>
      <c r="O1740" s="1" t="str">
        <f t="shared" si="135"/>
        <v>Starter</v>
      </c>
      <c r="P1740" t="str">
        <f>TEXT(B1740, "mmmm")</f>
        <v>May</v>
      </c>
      <c r="Q1740" t="str">
        <f t="shared" si="136"/>
        <v>Q2</v>
      </c>
      <c r="R1740" t="str">
        <f>IFERROR(VLOOKUP(TRIM(CLEAN(G1740)),Sheet14!$A$2:$B$19,2,FALSE),"Not Mapped")</f>
        <v>West</v>
      </c>
    </row>
    <row r="1741" spans="1:18">
      <c r="A1741" t="str">
        <f t="shared" si="134"/>
        <v>EOS1740</v>
      </c>
      <c r="B1741" s="36">
        <v>46165</v>
      </c>
      <c r="C1741" s="4" t="s">
        <v>267</v>
      </c>
      <c r="D1741" s="1" t="str">
        <f t="shared" si="133"/>
        <v>FB</v>
      </c>
      <c r="E1741" s="14" t="s">
        <v>2399</v>
      </c>
      <c r="F1741" s="2" t="s">
        <v>875</v>
      </c>
      <c r="G1741" s="14" t="s">
        <v>223</v>
      </c>
      <c r="H1741" s="2"/>
      <c r="I1741" s="1">
        <v>108000</v>
      </c>
      <c r="J1741" s="45">
        <v>1071739</v>
      </c>
      <c r="K1741" s="1" t="str">
        <f>TRIM(Cleaned_CRM_Data!H1741)</f>
        <v/>
      </c>
      <c r="L1741" t="str">
        <f>IFERROR(VLOOKUP(K1741, Status_Mapping!A:B, 2,), "Not Found")</f>
        <v>Not Found</v>
      </c>
      <c r="N1741" s="29" t="str">
        <f>IF(M1741="","",M1741-B1741)</f>
        <v/>
      </c>
      <c r="O1741" s="1" t="str">
        <f t="shared" si="135"/>
        <v>Starter</v>
      </c>
      <c r="P1741" t="str">
        <f>TEXT(B1741, "mmmm")</f>
        <v>May</v>
      </c>
      <c r="Q1741" t="str">
        <f t="shared" si="136"/>
        <v>Q2</v>
      </c>
      <c r="R1741" t="str">
        <f>IFERROR(VLOOKUP(TRIM(CLEAN(G1741)),Sheet14!$A$2:$B$19,2,FALSE),"Not Mapped")</f>
        <v>West</v>
      </c>
    </row>
    <row r="1742" spans="1:18">
      <c r="A1742" t="str">
        <f t="shared" si="134"/>
        <v>EOS1741</v>
      </c>
      <c r="B1742" s="36">
        <v>46165</v>
      </c>
      <c r="C1742" s="4" t="s">
        <v>267</v>
      </c>
      <c r="D1742" s="1" t="str">
        <f t="shared" si="133"/>
        <v>FB</v>
      </c>
      <c r="E1742" s="14" t="s">
        <v>2400</v>
      </c>
      <c r="F1742" s="14" t="s">
        <v>1287</v>
      </c>
      <c r="G1742" s="14" t="s">
        <v>223</v>
      </c>
      <c r="H1742" s="2"/>
      <c r="I1742" s="1">
        <v>108000</v>
      </c>
      <c r="J1742" s="45">
        <v>1071740</v>
      </c>
      <c r="K1742" s="1" t="str">
        <f>TRIM(Cleaned_CRM_Data!H1742)</f>
        <v/>
      </c>
      <c r="L1742" t="str">
        <f>IFERROR(VLOOKUP(K1742, Status_Mapping!A:B, 2,), "Not Found")</f>
        <v>Not Found</v>
      </c>
      <c r="N1742" s="29" t="str">
        <f>IF(M1742="","",M1742-B1742)</f>
        <v/>
      </c>
      <c r="O1742" s="1" t="str">
        <f t="shared" si="135"/>
        <v>Starter</v>
      </c>
      <c r="P1742" t="str">
        <f>TEXT(B1742, "mmmm")</f>
        <v>May</v>
      </c>
      <c r="Q1742" t="str">
        <f t="shared" si="136"/>
        <v>Q2</v>
      </c>
      <c r="R1742" t="str">
        <f>IFERROR(VLOOKUP(TRIM(CLEAN(G1742)),Sheet14!$A$2:$B$19,2,FALSE),"Not Mapped")</f>
        <v>West</v>
      </c>
    </row>
    <row r="1743" spans="1:18">
      <c r="A1743" t="str">
        <f t="shared" si="134"/>
        <v>EOS1742</v>
      </c>
      <c r="B1743" s="36">
        <v>46165</v>
      </c>
      <c r="C1743" s="4" t="s">
        <v>267</v>
      </c>
      <c r="D1743" s="1" t="str">
        <f t="shared" si="133"/>
        <v>FB</v>
      </c>
      <c r="E1743" s="14" t="s">
        <v>2401</v>
      </c>
      <c r="F1743" s="14" t="s">
        <v>358</v>
      </c>
      <c r="G1743" s="14" t="s">
        <v>223</v>
      </c>
      <c r="H1743" s="2"/>
      <c r="I1743" s="1">
        <v>108000</v>
      </c>
      <c r="J1743" s="45">
        <v>1071741</v>
      </c>
      <c r="K1743" s="1" t="str">
        <f>TRIM(Cleaned_CRM_Data!H1743)</f>
        <v/>
      </c>
      <c r="L1743" t="str">
        <f>IFERROR(VLOOKUP(K1743, Status_Mapping!A:B, 2,), "Not Found")</f>
        <v>Not Found</v>
      </c>
      <c r="N1743" s="29" t="str">
        <f>IF(M1743="","",M1743-B1743)</f>
        <v/>
      </c>
      <c r="O1743" s="1" t="str">
        <f t="shared" si="135"/>
        <v>Starter</v>
      </c>
      <c r="P1743" t="str">
        <f>TEXT(B1743, "mmmm")</f>
        <v>May</v>
      </c>
      <c r="Q1743" t="str">
        <f t="shared" si="136"/>
        <v>Q2</v>
      </c>
      <c r="R1743" t="str">
        <f>IFERROR(VLOOKUP(TRIM(CLEAN(G1743)),Sheet14!$A$2:$B$19,2,FALSE),"Not Mapped")</f>
        <v>West</v>
      </c>
    </row>
    <row r="1744" spans="1:18">
      <c r="A1744" t="str">
        <f t="shared" si="134"/>
        <v>EOS1743</v>
      </c>
      <c r="B1744" s="36">
        <v>46165</v>
      </c>
      <c r="C1744" s="4" t="s">
        <v>267</v>
      </c>
      <c r="D1744" s="1" t="str">
        <f t="shared" si="133"/>
        <v>FB</v>
      </c>
      <c r="E1744" s="2" t="s">
        <v>2402</v>
      </c>
      <c r="F1744" s="14" t="s">
        <v>2403</v>
      </c>
      <c r="G1744" s="14" t="s">
        <v>215</v>
      </c>
      <c r="H1744" s="2"/>
      <c r="I1744" s="1">
        <v>108000</v>
      </c>
      <c r="J1744" s="45">
        <v>1071742</v>
      </c>
      <c r="K1744" s="1" t="str">
        <f>TRIM(Cleaned_CRM_Data!H1744)</f>
        <v/>
      </c>
      <c r="L1744" t="str">
        <f>IFERROR(VLOOKUP(K1744, Status_Mapping!A:B, 2,), "Not Found")</f>
        <v>Not Found</v>
      </c>
      <c r="N1744" s="29" t="str">
        <f>IF(M1744="","",M1744-B1744)</f>
        <v/>
      </c>
      <c r="O1744" s="1" t="str">
        <f t="shared" si="135"/>
        <v>Starter</v>
      </c>
      <c r="P1744" t="str">
        <f>TEXT(B1744, "mmmm")</f>
        <v>May</v>
      </c>
      <c r="Q1744" t="str">
        <f t="shared" si="136"/>
        <v>Q2</v>
      </c>
      <c r="R1744" t="str">
        <f>IFERROR(VLOOKUP(TRIM(CLEAN(G1744)),Sheet14!$A$2:$B$19,2,FALSE),"Not Mapped")</f>
        <v>East</v>
      </c>
    </row>
    <row r="1745" spans="1:18">
      <c r="A1745" t="str">
        <f t="shared" si="134"/>
        <v>EOS1744</v>
      </c>
      <c r="B1745" s="36">
        <v>46167</v>
      </c>
      <c r="C1745" s="4" t="s">
        <v>267</v>
      </c>
      <c r="D1745" s="1" t="str">
        <f t="shared" si="133"/>
        <v>FB</v>
      </c>
      <c r="E1745" s="14" t="s">
        <v>2404</v>
      </c>
      <c r="F1745" s="15" t="s">
        <v>2405</v>
      </c>
      <c r="G1745" s="2" t="s">
        <v>217</v>
      </c>
      <c r="H1745" s="2"/>
      <c r="I1745" s="1">
        <v>108000</v>
      </c>
      <c r="J1745" s="45">
        <v>1071743</v>
      </c>
      <c r="K1745" s="1" t="str">
        <f>TRIM(Cleaned_CRM_Data!H1745)</f>
        <v/>
      </c>
      <c r="L1745" t="str">
        <f>IFERROR(VLOOKUP(K1745, Status_Mapping!A:B, 2,), "Not Found")</f>
        <v>Not Found</v>
      </c>
      <c r="N1745" s="29" t="str">
        <f>IF(M1745="","",M1745-B1745)</f>
        <v/>
      </c>
      <c r="O1745" s="1" t="str">
        <f t="shared" si="135"/>
        <v>Starter</v>
      </c>
      <c r="P1745" t="str">
        <f>TEXT(B1745, "mmmm")</f>
        <v>May</v>
      </c>
      <c r="Q1745" t="str">
        <f t="shared" si="136"/>
        <v>Q2</v>
      </c>
      <c r="R1745" t="str">
        <f>IFERROR(VLOOKUP(TRIM(CLEAN(G1745)),Sheet14!$A$2:$B$19,2,FALSE),"Not Mapped")</f>
        <v>Central</v>
      </c>
    </row>
    <row r="1746" spans="1:18">
      <c r="A1746" t="str">
        <f t="shared" si="134"/>
        <v>EOS1745</v>
      </c>
      <c r="B1746" s="36">
        <v>46167</v>
      </c>
      <c r="C1746" s="4" t="s">
        <v>267</v>
      </c>
      <c r="D1746" s="1" t="str">
        <f t="shared" si="133"/>
        <v>FB</v>
      </c>
      <c r="E1746" s="15" t="s">
        <v>2406</v>
      </c>
      <c r="F1746" s="14" t="s">
        <v>2050</v>
      </c>
      <c r="G1746" s="2" t="s">
        <v>223</v>
      </c>
      <c r="H1746" s="2"/>
      <c r="I1746" s="1">
        <v>108000</v>
      </c>
      <c r="J1746" s="45">
        <v>1071744</v>
      </c>
      <c r="K1746" s="1" t="str">
        <f>TRIM(Cleaned_CRM_Data!H1746)</f>
        <v/>
      </c>
      <c r="L1746" t="str">
        <f>IFERROR(VLOOKUP(K1746, Status_Mapping!A:B, 2,), "Not Found")</f>
        <v>Not Found</v>
      </c>
      <c r="N1746" s="29" t="str">
        <f>IF(M1746="","",M1746-B1746)</f>
        <v/>
      </c>
      <c r="O1746" s="1" t="str">
        <f t="shared" si="135"/>
        <v>Starter</v>
      </c>
      <c r="P1746" t="str">
        <f>TEXT(B1746, "mmmm")</f>
        <v>May</v>
      </c>
      <c r="Q1746" t="str">
        <f t="shared" si="136"/>
        <v>Q2</v>
      </c>
      <c r="R1746" t="str">
        <f>IFERROR(VLOOKUP(TRIM(CLEAN(G1746)),Sheet14!$A$2:$B$19,2,FALSE),"Not Mapped")</f>
        <v>West</v>
      </c>
    </row>
    <row r="1747" spans="1:18">
      <c r="A1747" t="str">
        <f t="shared" si="134"/>
        <v>EOS1746</v>
      </c>
      <c r="B1747" s="36">
        <v>46167</v>
      </c>
      <c r="C1747" s="4" t="s">
        <v>267</v>
      </c>
      <c r="D1747" s="1" t="str">
        <f t="shared" si="133"/>
        <v>FB</v>
      </c>
      <c r="E1747" s="14" t="s">
        <v>2407</v>
      </c>
      <c r="F1747" s="14" t="s">
        <v>304</v>
      </c>
      <c r="G1747" s="2" t="s">
        <v>223</v>
      </c>
      <c r="H1747" s="2"/>
      <c r="I1747" s="1">
        <v>130000</v>
      </c>
      <c r="J1747" s="45">
        <v>1071745</v>
      </c>
      <c r="K1747" s="1" t="str">
        <f>TRIM(Cleaned_CRM_Data!H1747)</f>
        <v/>
      </c>
      <c r="L1747" t="str">
        <f>IFERROR(VLOOKUP(K1747, Status_Mapping!A:B, 2,), "Not Found")</f>
        <v>Not Found</v>
      </c>
      <c r="N1747" s="29" t="str">
        <f>IF(M1747="","",M1747-B1747)</f>
        <v/>
      </c>
      <c r="O1747" s="1" t="str">
        <f t="shared" si="135"/>
        <v>Starter</v>
      </c>
      <c r="P1747" t="str">
        <f>TEXT(B1747, "mmmm")</f>
        <v>May</v>
      </c>
      <c r="Q1747" t="str">
        <f t="shared" si="136"/>
        <v>Q2</v>
      </c>
      <c r="R1747" t="str">
        <f>IFERROR(VLOOKUP(TRIM(CLEAN(G1747)),Sheet14!$A$2:$B$19,2,FALSE),"Not Mapped")</f>
        <v>West</v>
      </c>
    </row>
    <row r="1748" spans="1:18">
      <c r="A1748" t="str">
        <f t="shared" si="134"/>
        <v>EOS1747</v>
      </c>
      <c r="B1748" s="36">
        <v>46167</v>
      </c>
      <c r="C1748" s="4" t="s">
        <v>267</v>
      </c>
      <c r="D1748" s="1" t="str">
        <f t="shared" si="133"/>
        <v>FB</v>
      </c>
      <c r="E1748" s="14" t="s">
        <v>2408</v>
      </c>
      <c r="F1748" s="14" t="s">
        <v>2409</v>
      </c>
      <c r="G1748" s="2" t="s">
        <v>223</v>
      </c>
      <c r="H1748" s="2"/>
      <c r="I1748" s="1">
        <v>108000</v>
      </c>
      <c r="J1748" s="45">
        <v>1071746</v>
      </c>
      <c r="K1748" s="1" t="str">
        <f>TRIM(Cleaned_CRM_Data!H1748)</f>
        <v/>
      </c>
      <c r="L1748" t="str">
        <f>IFERROR(VLOOKUP(K1748, Status_Mapping!A:B, 2,), "Not Found")</f>
        <v>Not Found</v>
      </c>
      <c r="N1748" s="29" t="str">
        <f>IF(M1748="","",M1748-B1748)</f>
        <v/>
      </c>
      <c r="O1748" s="1" t="str">
        <f t="shared" si="135"/>
        <v>Starter</v>
      </c>
      <c r="P1748" t="str">
        <f>TEXT(B1748, "mmmm")</f>
        <v>May</v>
      </c>
      <c r="Q1748" t="str">
        <f t="shared" si="136"/>
        <v>Q2</v>
      </c>
      <c r="R1748" t="str">
        <f>IFERROR(VLOOKUP(TRIM(CLEAN(G1748)),Sheet14!$A$2:$B$19,2,FALSE),"Not Mapped")</f>
        <v>West</v>
      </c>
    </row>
    <row r="1749" spans="1:18">
      <c r="A1749" t="str">
        <f t="shared" si="134"/>
        <v>EOS1748</v>
      </c>
      <c r="B1749" s="36">
        <v>46167</v>
      </c>
      <c r="C1749" s="4" t="s">
        <v>267</v>
      </c>
      <c r="D1749" s="1" t="str">
        <f t="shared" si="133"/>
        <v>FB</v>
      </c>
      <c r="E1749" s="14" t="s">
        <v>2410</v>
      </c>
      <c r="F1749" s="14" t="s">
        <v>2411</v>
      </c>
      <c r="G1749" s="2" t="s">
        <v>1893</v>
      </c>
      <c r="H1749" s="2"/>
      <c r="I1749" s="1">
        <v>130000</v>
      </c>
      <c r="J1749" s="45">
        <v>1071747</v>
      </c>
      <c r="K1749" s="1" t="str">
        <f>TRIM(Cleaned_CRM_Data!H1749)</f>
        <v/>
      </c>
      <c r="L1749" t="str">
        <f>IFERROR(VLOOKUP(K1749, Status_Mapping!A:B, 2,), "Not Found")</f>
        <v>Not Found</v>
      </c>
      <c r="N1749" s="29" t="str">
        <f>IF(M1749="","",M1749-B1749)</f>
        <v/>
      </c>
      <c r="O1749" s="1" t="str">
        <f t="shared" si="135"/>
        <v>Starter</v>
      </c>
      <c r="P1749" t="str">
        <f>TEXT(B1749, "mmmm")</f>
        <v>May</v>
      </c>
      <c r="Q1749" t="str">
        <f t="shared" si="136"/>
        <v>Q2</v>
      </c>
      <c r="R1749" t="str">
        <f>IFERROR(VLOOKUP(TRIM(CLEAN(G1749)),Sheet14!$A$2:$B$19,2,FALSE),"Not Mapped")</f>
        <v>North</v>
      </c>
    </row>
    <row r="1750" spans="1:18">
      <c r="A1750" t="str">
        <f t="shared" si="134"/>
        <v>EOS1749</v>
      </c>
      <c r="B1750" s="36">
        <v>46167</v>
      </c>
      <c r="C1750" s="4" t="s">
        <v>267</v>
      </c>
      <c r="D1750" s="1" t="str">
        <f t="shared" si="133"/>
        <v>FB</v>
      </c>
      <c r="E1750" s="14" t="s">
        <v>2412</v>
      </c>
      <c r="F1750" s="14" t="s">
        <v>609</v>
      </c>
      <c r="G1750" s="14" t="s">
        <v>610</v>
      </c>
      <c r="H1750" s="2"/>
      <c r="I1750" s="1">
        <v>177000</v>
      </c>
      <c r="J1750" s="45">
        <v>1071748</v>
      </c>
      <c r="K1750" s="1" t="str">
        <f>TRIM(Cleaned_CRM_Data!H1750)</f>
        <v/>
      </c>
      <c r="L1750" t="str">
        <f>IFERROR(VLOOKUP(K1750, Status_Mapping!A:B, 2,), "Not Found")</f>
        <v>Not Found</v>
      </c>
      <c r="N1750" s="29" t="str">
        <f>IF(M1750="","",M1750-B1750)</f>
        <v/>
      </c>
      <c r="O1750" s="1" t="str">
        <f t="shared" si="135"/>
        <v>Growth</v>
      </c>
      <c r="P1750" t="str">
        <f>TEXT(B1750, "mmmm")</f>
        <v>May</v>
      </c>
      <c r="Q1750" t="str">
        <f t="shared" si="136"/>
        <v>Q2</v>
      </c>
      <c r="R1750" t="str">
        <f>IFERROR(VLOOKUP(TRIM(CLEAN(G1750)),Sheet14!$A$2:$B$19,2,FALSE),"Not Mapped")</f>
        <v>East</v>
      </c>
    </row>
    <row r="1751" spans="1:18">
      <c r="A1751" t="str">
        <f t="shared" si="134"/>
        <v>EOS1750</v>
      </c>
      <c r="B1751" s="36">
        <v>46167</v>
      </c>
      <c r="C1751" s="4" t="s">
        <v>267</v>
      </c>
      <c r="D1751" s="1" t="str">
        <f t="shared" si="133"/>
        <v>FB</v>
      </c>
      <c r="E1751" s="14" t="s">
        <v>2413</v>
      </c>
      <c r="F1751" s="14" t="s">
        <v>2414</v>
      </c>
      <c r="G1751" s="14" t="s">
        <v>228</v>
      </c>
      <c r="H1751" s="2"/>
      <c r="I1751" s="1">
        <v>108000</v>
      </c>
      <c r="J1751" s="45">
        <v>1071749</v>
      </c>
      <c r="K1751" s="1" t="str">
        <f>TRIM(Cleaned_CRM_Data!H1751)</f>
        <v/>
      </c>
      <c r="L1751" t="str">
        <f>IFERROR(VLOOKUP(K1751, Status_Mapping!A:B, 2,), "Not Found")</f>
        <v>Not Found</v>
      </c>
      <c r="N1751" s="29" t="str">
        <f>IF(M1751="","",M1751-B1751)</f>
        <v/>
      </c>
      <c r="O1751" s="1" t="str">
        <f t="shared" si="135"/>
        <v>Starter</v>
      </c>
      <c r="P1751" t="str">
        <f>TEXT(B1751, "mmmm")</f>
        <v>May</v>
      </c>
      <c r="Q1751" t="str">
        <f t="shared" si="136"/>
        <v>Q2</v>
      </c>
      <c r="R1751" t="str">
        <f>IFERROR(VLOOKUP(TRIM(CLEAN(G1751)),Sheet14!$A$2:$B$19,2,FALSE),"Not Mapped")</f>
        <v>Central</v>
      </c>
    </row>
    <row r="1752" spans="1:18">
      <c r="A1752" t="str">
        <f t="shared" si="134"/>
        <v>EOS1751</v>
      </c>
      <c r="B1752" s="36">
        <v>46167</v>
      </c>
      <c r="C1752" s="4" t="s">
        <v>267</v>
      </c>
      <c r="D1752" s="1" t="str">
        <f t="shared" si="133"/>
        <v>FB</v>
      </c>
      <c r="E1752" s="14" t="s">
        <v>2415</v>
      </c>
      <c r="F1752" s="14" t="s">
        <v>2416</v>
      </c>
      <c r="G1752" s="14" t="s">
        <v>230</v>
      </c>
      <c r="H1752" s="2"/>
      <c r="I1752" s="1">
        <v>108000</v>
      </c>
      <c r="J1752" s="45">
        <v>1071750</v>
      </c>
      <c r="K1752" s="1" t="str">
        <f>TRIM(Cleaned_CRM_Data!H1752)</f>
        <v/>
      </c>
      <c r="L1752" t="str">
        <f>IFERROR(VLOOKUP(K1752, Status_Mapping!A:B, 2,), "Not Found")</f>
        <v>Not Found</v>
      </c>
      <c r="N1752" s="29" t="str">
        <f>IF(M1752="","",M1752-B1752)</f>
        <v/>
      </c>
      <c r="O1752" s="1" t="str">
        <f t="shared" si="135"/>
        <v>Starter</v>
      </c>
      <c r="P1752" t="str">
        <f>TEXT(B1752, "mmmm")</f>
        <v>May</v>
      </c>
      <c r="Q1752" t="str">
        <f t="shared" si="136"/>
        <v>Q2</v>
      </c>
      <c r="R1752" t="str">
        <f>IFERROR(VLOOKUP(TRIM(CLEAN(G1752)),Sheet14!$A$2:$B$19,2,FALSE),"Not Mapped")</f>
        <v>East</v>
      </c>
    </row>
    <row r="1753" spans="1:18">
      <c r="A1753" t="str">
        <f t="shared" si="134"/>
        <v>EOS1752</v>
      </c>
      <c r="B1753" s="36">
        <v>46167</v>
      </c>
      <c r="C1753" s="4" t="s">
        <v>267</v>
      </c>
      <c r="D1753" s="1" t="str">
        <f t="shared" si="133"/>
        <v>FB</v>
      </c>
      <c r="E1753" s="14" t="s">
        <v>2417</v>
      </c>
      <c r="F1753" s="14" t="s">
        <v>2418</v>
      </c>
      <c r="G1753" s="1" t="s">
        <v>235</v>
      </c>
      <c r="H1753" s="2"/>
      <c r="I1753" s="1">
        <v>108000</v>
      </c>
      <c r="J1753" s="45">
        <v>1071751</v>
      </c>
      <c r="K1753" s="1" t="str">
        <f>TRIM(Cleaned_CRM_Data!H1753)</f>
        <v/>
      </c>
      <c r="L1753" t="str">
        <f>IFERROR(VLOOKUP(K1753, Status_Mapping!A:B, 2,), "Not Found")</f>
        <v>Not Found</v>
      </c>
      <c r="N1753" s="29" t="str">
        <f>IF(M1753="","",M1753-B1753)</f>
        <v/>
      </c>
      <c r="O1753" s="1" t="str">
        <f t="shared" si="135"/>
        <v>Starter</v>
      </c>
      <c r="P1753" t="str">
        <f>TEXT(B1753, "mmmm")</f>
        <v>May</v>
      </c>
      <c r="Q1753" t="str">
        <f t="shared" si="136"/>
        <v>Q2</v>
      </c>
      <c r="R1753" t="str">
        <f>IFERROR(VLOOKUP(TRIM(CLEAN(G1753)),Sheet14!$A$2:$B$19,2,FALSE),"Not Mapped")</f>
        <v>West</v>
      </c>
    </row>
    <row r="1754" spans="1:18">
      <c r="A1754" t="str">
        <f t="shared" si="134"/>
        <v>EOS1753</v>
      </c>
      <c r="B1754" s="36">
        <v>46167</v>
      </c>
      <c r="C1754" s="4" t="s">
        <v>267</v>
      </c>
      <c r="D1754" s="1" t="str">
        <f t="shared" si="133"/>
        <v>FB</v>
      </c>
      <c r="E1754" s="14" t="s">
        <v>2419</v>
      </c>
      <c r="F1754" s="14" t="s">
        <v>2420</v>
      </c>
      <c r="G1754" s="1" t="s">
        <v>235</v>
      </c>
      <c r="H1754" s="2"/>
      <c r="I1754" s="1">
        <v>177000</v>
      </c>
      <c r="J1754" s="45">
        <v>1071752</v>
      </c>
      <c r="K1754" s="1" t="str">
        <f>TRIM(Cleaned_CRM_Data!H1754)</f>
        <v/>
      </c>
      <c r="L1754" t="str">
        <f>IFERROR(VLOOKUP(K1754, Status_Mapping!A:B, 2,), "Not Found")</f>
        <v>Not Found</v>
      </c>
      <c r="N1754" s="29" t="str">
        <f>IF(M1754="","",M1754-B1754)</f>
        <v/>
      </c>
      <c r="O1754" s="1" t="str">
        <f t="shared" si="135"/>
        <v>Growth</v>
      </c>
      <c r="P1754" t="str">
        <f>TEXT(B1754, "mmmm")</f>
        <v>May</v>
      </c>
      <c r="Q1754" t="str">
        <f t="shared" si="136"/>
        <v>Q2</v>
      </c>
      <c r="R1754" t="str">
        <f>IFERROR(VLOOKUP(TRIM(CLEAN(G1754)),Sheet14!$A$2:$B$19,2,FALSE),"Not Mapped")</f>
        <v>West</v>
      </c>
    </row>
    <row r="1755" spans="1:18">
      <c r="A1755" t="str">
        <f t="shared" si="134"/>
        <v>EOS1754</v>
      </c>
      <c r="B1755" s="36">
        <v>46167</v>
      </c>
      <c r="C1755" s="4" t="s">
        <v>267</v>
      </c>
      <c r="D1755" s="1" t="str">
        <f t="shared" si="133"/>
        <v>FB</v>
      </c>
      <c r="E1755" s="14" t="s">
        <v>2421</v>
      </c>
      <c r="F1755" s="2" t="s">
        <v>2422</v>
      </c>
      <c r="G1755" s="1" t="s">
        <v>235</v>
      </c>
      <c r="H1755" s="2"/>
      <c r="I1755" s="1">
        <v>130000</v>
      </c>
      <c r="J1755" s="45">
        <v>1071753</v>
      </c>
      <c r="K1755" s="1" t="str">
        <f>TRIM(Cleaned_CRM_Data!H1755)</f>
        <v/>
      </c>
      <c r="L1755" t="str">
        <f>IFERROR(VLOOKUP(K1755, Status_Mapping!A:B, 2,), "Not Found")</f>
        <v>Not Found</v>
      </c>
      <c r="N1755" s="29" t="str">
        <f>IF(M1755="","",M1755-B1755)</f>
        <v/>
      </c>
      <c r="O1755" s="1" t="str">
        <f t="shared" si="135"/>
        <v>Starter</v>
      </c>
      <c r="P1755" t="str">
        <f>TEXT(B1755, "mmmm")</f>
        <v>May</v>
      </c>
      <c r="Q1755" t="str">
        <f t="shared" si="136"/>
        <v>Q2</v>
      </c>
      <c r="R1755" t="str">
        <f>IFERROR(VLOOKUP(TRIM(CLEAN(G1755)),Sheet14!$A$2:$B$19,2,FALSE),"Not Mapped")</f>
        <v>West</v>
      </c>
    </row>
    <row r="1756" spans="1:18">
      <c r="A1756" t="str">
        <f t="shared" si="134"/>
        <v>EOS1755</v>
      </c>
      <c r="B1756" s="36">
        <v>46167</v>
      </c>
      <c r="C1756" s="4" t="s">
        <v>267</v>
      </c>
      <c r="D1756" s="1" t="str">
        <f t="shared" si="133"/>
        <v>FB</v>
      </c>
      <c r="E1756" s="2" t="s">
        <v>2423</v>
      </c>
      <c r="F1756" s="14" t="s">
        <v>2424</v>
      </c>
      <c r="G1756" s="2" t="s">
        <v>237</v>
      </c>
      <c r="H1756" s="2"/>
      <c r="I1756" s="1">
        <v>130000</v>
      </c>
      <c r="J1756" s="45">
        <v>1071754</v>
      </c>
      <c r="K1756" s="1" t="str">
        <f>TRIM(Cleaned_CRM_Data!H1756)</f>
        <v/>
      </c>
      <c r="L1756" t="str">
        <f>IFERROR(VLOOKUP(K1756, Status_Mapping!A:B, 2,), "Not Found")</f>
        <v>Not Found</v>
      </c>
      <c r="N1756" s="29" t="str">
        <f>IF(M1756="","",M1756-B1756)</f>
        <v/>
      </c>
      <c r="O1756" s="1" t="str">
        <f t="shared" si="135"/>
        <v>Starter</v>
      </c>
      <c r="P1756" t="str">
        <f>TEXT(B1756, "mmmm")</f>
        <v>May</v>
      </c>
      <c r="Q1756" t="str">
        <f t="shared" si="136"/>
        <v>Q2</v>
      </c>
      <c r="R1756" t="str">
        <f>IFERROR(VLOOKUP(TRIM(CLEAN(G1756)),Sheet14!$A$2:$B$19,2,FALSE),"Not Mapped")</f>
        <v>North</v>
      </c>
    </row>
    <row r="1757" spans="1:18">
      <c r="A1757" t="str">
        <f t="shared" si="134"/>
        <v>EOS1756</v>
      </c>
      <c r="B1757" s="36">
        <v>46167</v>
      </c>
      <c r="C1757" s="4" t="s">
        <v>267</v>
      </c>
      <c r="D1757" s="1" t="str">
        <f t="shared" si="133"/>
        <v>FB</v>
      </c>
      <c r="E1757" s="14" t="s">
        <v>2425</v>
      </c>
      <c r="F1757" s="14" t="s">
        <v>451</v>
      </c>
      <c r="G1757" s="2" t="s">
        <v>237</v>
      </c>
      <c r="H1757" s="2"/>
      <c r="I1757" s="1">
        <v>108000</v>
      </c>
      <c r="J1757" s="45">
        <v>1071755</v>
      </c>
      <c r="K1757" s="1" t="str">
        <f>TRIM(Cleaned_CRM_Data!H1757)</f>
        <v/>
      </c>
      <c r="L1757" t="str">
        <f>IFERROR(VLOOKUP(K1757, Status_Mapping!A:B, 2,), "Not Found")</f>
        <v>Not Found</v>
      </c>
      <c r="N1757" s="29" t="str">
        <f>IF(M1757="","",M1757-B1757)</f>
        <v/>
      </c>
      <c r="O1757" s="1" t="str">
        <f t="shared" si="135"/>
        <v>Starter</v>
      </c>
      <c r="P1757" t="str">
        <f>TEXT(B1757, "mmmm")</f>
        <v>May</v>
      </c>
      <c r="Q1757" t="str">
        <f t="shared" si="136"/>
        <v>Q2</v>
      </c>
      <c r="R1757" t="str">
        <f>IFERROR(VLOOKUP(TRIM(CLEAN(G1757)),Sheet14!$A$2:$B$19,2,FALSE),"Not Mapped")</f>
        <v>North</v>
      </c>
    </row>
    <row r="1758" spans="1:18">
      <c r="A1758" t="str">
        <f t="shared" si="134"/>
        <v>EOS1757</v>
      </c>
      <c r="B1758" s="36">
        <v>46167</v>
      </c>
      <c r="C1758" s="4" t="s">
        <v>267</v>
      </c>
      <c r="D1758" s="1" t="str">
        <f t="shared" si="133"/>
        <v>FB</v>
      </c>
      <c r="E1758" s="14" t="s">
        <v>2426</v>
      </c>
      <c r="F1758" s="14" t="s">
        <v>219</v>
      </c>
      <c r="G1758" s="14" t="s">
        <v>240</v>
      </c>
      <c r="H1758" s="2"/>
      <c r="I1758" s="1">
        <v>177000</v>
      </c>
      <c r="J1758" s="45">
        <v>1071756</v>
      </c>
      <c r="K1758" s="1" t="str">
        <f>TRIM(Cleaned_CRM_Data!H1758)</f>
        <v/>
      </c>
      <c r="L1758" t="str">
        <f>IFERROR(VLOOKUP(K1758, Status_Mapping!A:B, 2,), "Not Found")</f>
        <v>Not Found</v>
      </c>
      <c r="N1758" s="29" t="str">
        <f>IF(M1758="","",M1758-B1758)</f>
        <v/>
      </c>
      <c r="O1758" s="1" t="str">
        <f t="shared" si="135"/>
        <v>Growth</v>
      </c>
      <c r="P1758" t="str">
        <f>TEXT(B1758, "mmmm")</f>
        <v>May</v>
      </c>
      <c r="Q1758" t="str">
        <f t="shared" si="136"/>
        <v>Q2</v>
      </c>
      <c r="R1758" t="str">
        <f>IFERROR(VLOOKUP(TRIM(CLEAN(G1758)),Sheet14!$A$2:$B$19,2,FALSE),"Not Mapped")</f>
        <v>North</v>
      </c>
    </row>
    <row r="1759" spans="1:18">
      <c r="A1759" t="str">
        <f t="shared" si="134"/>
        <v>EOS1758</v>
      </c>
      <c r="B1759" s="36">
        <v>46167</v>
      </c>
      <c r="C1759" s="4" t="s">
        <v>267</v>
      </c>
      <c r="D1759" s="1" t="str">
        <f t="shared" si="133"/>
        <v>FB</v>
      </c>
      <c r="E1759" s="14" t="s">
        <v>2427</v>
      </c>
      <c r="F1759" s="2" t="s">
        <v>215</v>
      </c>
      <c r="G1759" s="2" t="s">
        <v>215</v>
      </c>
      <c r="H1759" s="2"/>
      <c r="I1759" s="1">
        <v>108000</v>
      </c>
      <c r="J1759" s="45">
        <v>1071757</v>
      </c>
      <c r="K1759" s="1" t="str">
        <f>TRIM(Cleaned_CRM_Data!H1759)</f>
        <v/>
      </c>
      <c r="L1759" t="str">
        <f>IFERROR(VLOOKUP(K1759, Status_Mapping!A:B, 2,), "Not Found")</f>
        <v>Not Found</v>
      </c>
      <c r="N1759" s="29" t="str">
        <f>IF(M1759="","",M1759-B1759)</f>
        <v/>
      </c>
      <c r="O1759" s="1" t="str">
        <f t="shared" si="135"/>
        <v>Starter</v>
      </c>
      <c r="P1759" t="str">
        <f>TEXT(B1759, "mmmm")</f>
        <v>May</v>
      </c>
      <c r="Q1759" t="str">
        <f t="shared" si="136"/>
        <v>Q2</v>
      </c>
      <c r="R1759" t="str">
        <f>IFERROR(VLOOKUP(TRIM(CLEAN(G1759)),Sheet14!$A$2:$B$19,2,FALSE),"Not Mapped")</f>
        <v>East</v>
      </c>
    </row>
    <row r="1760" spans="1:18">
      <c r="A1760" t="str">
        <f t="shared" si="134"/>
        <v>EOS1759</v>
      </c>
      <c r="B1760" s="36">
        <v>46167</v>
      </c>
      <c r="C1760" s="4" t="s">
        <v>267</v>
      </c>
      <c r="D1760" s="1" t="str">
        <f t="shared" si="133"/>
        <v>FB</v>
      </c>
      <c r="E1760" s="2" t="s">
        <v>2428</v>
      </c>
      <c r="F1760" s="2"/>
      <c r="G1760" s="2" t="s">
        <v>223</v>
      </c>
      <c r="H1760" s="2"/>
      <c r="I1760" s="1">
        <v>108000</v>
      </c>
      <c r="J1760" s="45">
        <v>1071758</v>
      </c>
      <c r="K1760" s="1" t="str">
        <f>TRIM(Cleaned_CRM_Data!H1760)</f>
        <v/>
      </c>
      <c r="L1760" t="str">
        <f>IFERROR(VLOOKUP(K1760, Status_Mapping!A:B, 2,), "Not Found")</f>
        <v>Not Found</v>
      </c>
      <c r="N1760" s="29" t="str">
        <f>IF(M1760="","",M1760-B1760)</f>
        <v/>
      </c>
      <c r="O1760" s="1" t="str">
        <f t="shared" si="135"/>
        <v>Starter</v>
      </c>
      <c r="P1760" t="str">
        <f>TEXT(B1760, "mmmm")</f>
        <v>May</v>
      </c>
      <c r="Q1760" t="str">
        <f t="shared" si="136"/>
        <v>Q2</v>
      </c>
      <c r="R1760" t="str">
        <f>IFERROR(VLOOKUP(TRIM(CLEAN(G1760)),Sheet14!$A$2:$B$19,2,FALSE),"Not Mapped")</f>
        <v>West</v>
      </c>
    </row>
    <row r="1761" spans="1:18">
      <c r="A1761" t="str">
        <f t="shared" si="134"/>
        <v>EOS1760</v>
      </c>
      <c r="B1761" s="36">
        <v>46167</v>
      </c>
      <c r="C1761" s="4" t="s">
        <v>267</v>
      </c>
      <c r="D1761" s="1" t="str">
        <f t="shared" si="133"/>
        <v>FB</v>
      </c>
      <c r="E1761" s="14" t="s">
        <v>2429</v>
      </c>
      <c r="F1761" s="2" t="s">
        <v>2430</v>
      </c>
      <c r="G1761" s="2" t="s">
        <v>610</v>
      </c>
      <c r="H1761" s="2"/>
      <c r="I1761" s="1">
        <v>130000</v>
      </c>
      <c r="J1761" s="45">
        <v>1071759</v>
      </c>
      <c r="K1761" s="1" t="str">
        <f>TRIM(Cleaned_CRM_Data!H1761)</f>
        <v/>
      </c>
      <c r="L1761" t="str">
        <f>IFERROR(VLOOKUP(K1761, Status_Mapping!A:B, 2,), "Not Found")</f>
        <v>Not Found</v>
      </c>
      <c r="N1761" s="29" t="str">
        <f>IF(M1761="","",M1761-B1761)</f>
        <v/>
      </c>
      <c r="O1761" s="1" t="str">
        <f t="shared" si="135"/>
        <v>Starter</v>
      </c>
      <c r="P1761" t="str">
        <f>TEXT(B1761, "mmmm")</f>
        <v>May</v>
      </c>
      <c r="Q1761" t="str">
        <f t="shared" si="136"/>
        <v>Q2</v>
      </c>
      <c r="R1761" t="str">
        <f>IFERROR(VLOOKUP(TRIM(CLEAN(G1761)),Sheet14!$A$2:$B$19,2,FALSE),"Not Mapped")</f>
        <v>East</v>
      </c>
    </row>
    <row r="1762" spans="1:18">
      <c r="A1762" t="str">
        <f t="shared" si="134"/>
        <v>EOS1761</v>
      </c>
      <c r="B1762" s="36">
        <v>46167</v>
      </c>
      <c r="C1762" s="4" t="s">
        <v>267</v>
      </c>
      <c r="D1762" s="1" t="str">
        <f t="shared" si="133"/>
        <v>FB</v>
      </c>
      <c r="E1762" s="14" t="s">
        <v>2431</v>
      </c>
      <c r="F1762" s="14" t="s">
        <v>607</v>
      </c>
      <c r="G1762" s="1" t="s">
        <v>235</v>
      </c>
      <c r="H1762" s="2"/>
      <c r="I1762" s="1">
        <v>108000</v>
      </c>
      <c r="J1762" s="45">
        <v>1071760</v>
      </c>
      <c r="K1762" s="1" t="str">
        <f>TRIM(Cleaned_CRM_Data!H1762)</f>
        <v/>
      </c>
      <c r="L1762" t="str">
        <f>IFERROR(VLOOKUP(K1762, Status_Mapping!A:B, 2,), "Not Found")</f>
        <v>Not Found</v>
      </c>
      <c r="N1762" s="29" t="str">
        <f>IF(M1762="","",M1762-B1762)</f>
        <v/>
      </c>
      <c r="O1762" s="1" t="str">
        <f t="shared" si="135"/>
        <v>Starter</v>
      </c>
      <c r="P1762" t="str">
        <f>TEXT(B1762, "mmmm")</f>
        <v>May</v>
      </c>
      <c r="Q1762" t="str">
        <f t="shared" si="136"/>
        <v>Q2</v>
      </c>
      <c r="R1762" t="str">
        <f>IFERROR(VLOOKUP(TRIM(CLEAN(G1762)),Sheet14!$A$2:$B$19,2,FALSE),"Not Mapped")</f>
        <v>West</v>
      </c>
    </row>
    <row r="1763" spans="1:18">
      <c r="A1763" t="str">
        <f t="shared" si="134"/>
        <v>EOS1762</v>
      </c>
      <c r="B1763" s="36">
        <v>46167</v>
      </c>
      <c r="C1763" s="4" t="s">
        <v>267</v>
      </c>
      <c r="D1763" s="1" t="str">
        <f t="shared" si="133"/>
        <v>FB</v>
      </c>
      <c r="E1763" s="2" t="s">
        <v>2432</v>
      </c>
      <c r="F1763" s="14" t="s">
        <v>1262</v>
      </c>
      <c r="G1763" s="14" t="s">
        <v>223</v>
      </c>
      <c r="H1763" s="2"/>
      <c r="I1763" s="1">
        <v>130000</v>
      </c>
      <c r="J1763" s="45">
        <v>1071761</v>
      </c>
      <c r="K1763" s="1" t="str">
        <f>TRIM(Cleaned_CRM_Data!H1763)</f>
        <v/>
      </c>
      <c r="L1763" t="str">
        <f>IFERROR(VLOOKUP(K1763, Status_Mapping!A:B, 2,), "Not Found")</f>
        <v>Not Found</v>
      </c>
      <c r="N1763" s="29" t="str">
        <f>IF(M1763="","",M1763-B1763)</f>
        <v/>
      </c>
      <c r="O1763" s="1" t="str">
        <f t="shared" si="135"/>
        <v>Starter</v>
      </c>
      <c r="P1763" t="str">
        <f>TEXT(B1763, "mmmm")</f>
        <v>May</v>
      </c>
      <c r="Q1763" t="str">
        <f t="shared" si="136"/>
        <v>Q2</v>
      </c>
      <c r="R1763" t="str">
        <f>IFERROR(VLOOKUP(TRIM(CLEAN(G1763)),Sheet14!$A$2:$B$19,2,FALSE),"Not Mapped")</f>
        <v>West</v>
      </c>
    </row>
    <row r="1764" spans="1:18">
      <c r="A1764" t="str">
        <f t="shared" si="134"/>
        <v>EOS1763</v>
      </c>
      <c r="B1764" s="36">
        <v>46170</v>
      </c>
      <c r="C1764" s="4" t="s">
        <v>267</v>
      </c>
      <c r="D1764" s="1" t="str">
        <f t="shared" si="133"/>
        <v>FB</v>
      </c>
      <c r="E1764" s="14" t="s">
        <v>2433</v>
      </c>
      <c r="F1764" s="14" t="s">
        <v>275</v>
      </c>
      <c r="G1764" s="14" t="s">
        <v>223</v>
      </c>
      <c r="H1764" s="2"/>
      <c r="I1764" s="1">
        <v>130000</v>
      </c>
      <c r="J1764" s="45">
        <v>1071762</v>
      </c>
      <c r="K1764" s="1" t="str">
        <f>TRIM(Cleaned_CRM_Data!H1764)</f>
        <v/>
      </c>
      <c r="L1764" t="str">
        <f>IFERROR(VLOOKUP(K1764, Status_Mapping!A:B, 2,), "Not Found")</f>
        <v>Not Found</v>
      </c>
      <c r="N1764" s="29" t="str">
        <f>IF(M1764="","",M1764-B1764)</f>
        <v/>
      </c>
      <c r="O1764" s="1" t="str">
        <f t="shared" si="135"/>
        <v>Starter</v>
      </c>
      <c r="P1764" t="str">
        <f>TEXT(B1764, "mmmm")</f>
        <v>May</v>
      </c>
      <c r="Q1764" t="str">
        <f t="shared" si="136"/>
        <v>Q2</v>
      </c>
      <c r="R1764" t="str">
        <f>IFERROR(VLOOKUP(TRIM(CLEAN(G1764)),Sheet14!$A$2:$B$19,2,FALSE),"Not Mapped")</f>
        <v>West</v>
      </c>
    </row>
    <row r="1765" spans="1:18">
      <c r="A1765" t="str">
        <f t="shared" si="134"/>
        <v>EOS1764</v>
      </c>
      <c r="B1765" s="36">
        <v>46171</v>
      </c>
      <c r="C1765" s="4" t="s">
        <v>267</v>
      </c>
      <c r="D1765" s="1" t="str">
        <f t="shared" si="133"/>
        <v>FB</v>
      </c>
      <c r="E1765" s="14" t="s">
        <v>2434</v>
      </c>
      <c r="F1765" s="17" t="s">
        <v>2435</v>
      </c>
      <c r="G1765" s="14" t="s">
        <v>223</v>
      </c>
      <c r="H1765" s="2"/>
      <c r="I1765" s="1">
        <v>108000</v>
      </c>
      <c r="J1765" s="45">
        <v>1071763</v>
      </c>
      <c r="K1765" s="1" t="str">
        <f>TRIM(Cleaned_CRM_Data!H1765)</f>
        <v/>
      </c>
      <c r="L1765" t="str">
        <f>IFERROR(VLOOKUP(K1765, Status_Mapping!A:B, 2,), "Not Found")</f>
        <v>Not Found</v>
      </c>
      <c r="N1765" s="29" t="str">
        <f>IF(M1765="","",M1765-B1765)</f>
        <v/>
      </c>
      <c r="O1765" s="1" t="str">
        <f t="shared" si="135"/>
        <v>Starter</v>
      </c>
      <c r="P1765" t="str">
        <f>TEXT(B1765, "mmmm")</f>
        <v>May</v>
      </c>
      <c r="Q1765" t="str">
        <f t="shared" si="136"/>
        <v>Q2</v>
      </c>
      <c r="R1765" t="str">
        <f>IFERROR(VLOOKUP(TRIM(CLEAN(G1765)),Sheet14!$A$2:$B$19,2,FALSE),"Not Mapped")</f>
        <v>West</v>
      </c>
    </row>
    <row r="1766" spans="1:18">
      <c r="A1766" t="str">
        <f t="shared" si="134"/>
        <v>EOS1765</v>
      </c>
      <c r="B1766" s="36">
        <v>46171</v>
      </c>
      <c r="C1766" s="4" t="s">
        <v>267</v>
      </c>
      <c r="D1766" s="1" t="str">
        <f t="shared" si="133"/>
        <v>FB</v>
      </c>
      <c r="E1766" s="14" t="s">
        <v>2436</v>
      </c>
      <c r="F1766" s="14" t="s">
        <v>422</v>
      </c>
      <c r="G1766" s="14" t="s">
        <v>223</v>
      </c>
      <c r="H1766" s="2"/>
      <c r="I1766" s="1">
        <v>130000</v>
      </c>
      <c r="J1766" s="45">
        <v>1071764</v>
      </c>
      <c r="K1766" s="1" t="str">
        <f>TRIM(Cleaned_CRM_Data!H1766)</f>
        <v/>
      </c>
      <c r="L1766" t="str">
        <f>IFERROR(VLOOKUP(K1766, Status_Mapping!A:B, 2,), "Not Found")</f>
        <v>Not Found</v>
      </c>
      <c r="N1766" s="29" t="str">
        <f>IF(M1766="","",M1766-B1766)</f>
        <v/>
      </c>
      <c r="O1766" s="1" t="str">
        <f t="shared" si="135"/>
        <v>Starter</v>
      </c>
      <c r="P1766" t="str">
        <f>TEXT(B1766, "mmmm")</f>
        <v>May</v>
      </c>
      <c r="Q1766" t="str">
        <f t="shared" si="136"/>
        <v>Q2</v>
      </c>
      <c r="R1766" t="str">
        <f>IFERROR(VLOOKUP(TRIM(CLEAN(G1766)),Sheet14!$A$2:$B$19,2,FALSE),"Not Mapped")</f>
        <v>West</v>
      </c>
    </row>
    <row r="1767" spans="1:18">
      <c r="A1767" t="str">
        <f t="shared" si="134"/>
        <v>EOS1766</v>
      </c>
      <c r="B1767" s="36">
        <v>46171</v>
      </c>
      <c r="C1767" s="4" t="s">
        <v>267</v>
      </c>
      <c r="D1767" s="1" t="str">
        <f t="shared" ref="D1767:D1773" si="137">TRIM(CLEAN(SUBSTITUTE(C1767,CHAR(160),"")))</f>
        <v>FB</v>
      </c>
      <c r="E1767" s="14" t="s">
        <v>2437</v>
      </c>
      <c r="F1767" s="14" t="s">
        <v>2438</v>
      </c>
      <c r="G1767" s="2" t="s">
        <v>216</v>
      </c>
      <c r="H1767" s="2"/>
      <c r="I1767" s="1">
        <v>130000</v>
      </c>
      <c r="J1767" s="45">
        <v>1071765</v>
      </c>
      <c r="K1767" s="1" t="str">
        <f>TRIM(Cleaned_CRM_Data!H1767)</f>
        <v/>
      </c>
      <c r="L1767" t="str">
        <f>IFERROR(VLOOKUP(K1767, Status_Mapping!A:B, 2,), "Not Found")</f>
        <v>Not Found</v>
      </c>
      <c r="N1767" s="29" t="str">
        <f>IF(M1767="","",M1767-B1767)</f>
        <v/>
      </c>
      <c r="O1767" s="1" t="str">
        <f t="shared" si="135"/>
        <v>Starter</v>
      </c>
      <c r="P1767" t="str">
        <f>TEXT(B1767, "mmmm")</f>
        <v>May</v>
      </c>
      <c r="Q1767" t="str">
        <f t="shared" si="136"/>
        <v>Q2</v>
      </c>
      <c r="R1767" t="str">
        <f>IFERROR(VLOOKUP(TRIM(CLEAN(G1767)),Sheet14!$A$2:$B$19,2,FALSE),"Not Mapped")</f>
        <v>East</v>
      </c>
    </row>
    <row r="1768" spans="1:18">
      <c r="A1768" t="str">
        <f t="shared" si="134"/>
        <v>EOS1767</v>
      </c>
      <c r="B1768" s="36">
        <v>46171</v>
      </c>
      <c r="C1768" s="4" t="s">
        <v>267</v>
      </c>
      <c r="D1768" s="1" t="str">
        <f t="shared" si="137"/>
        <v>FB</v>
      </c>
      <c r="E1768" s="14" t="s">
        <v>2439</v>
      </c>
      <c r="F1768" s="14" t="s">
        <v>2440</v>
      </c>
      <c r="G1768" s="14" t="s">
        <v>223</v>
      </c>
      <c r="H1768" s="2"/>
      <c r="I1768" s="1">
        <v>108000</v>
      </c>
      <c r="J1768" s="45">
        <v>1071766</v>
      </c>
      <c r="K1768" s="1" t="str">
        <f>TRIM(Cleaned_CRM_Data!H1768)</f>
        <v/>
      </c>
      <c r="L1768" t="str">
        <f>IFERROR(VLOOKUP(K1768, Status_Mapping!A:B, 2,), "Not Found")</f>
        <v>Not Found</v>
      </c>
      <c r="N1768" s="29" t="str">
        <f>IF(M1768="","",M1768-B1768)</f>
        <v/>
      </c>
      <c r="O1768" s="1" t="str">
        <f t="shared" si="135"/>
        <v>Starter</v>
      </c>
      <c r="P1768" t="str">
        <f>TEXT(B1768, "mmmm")</f>
        <v>May</v>
      </c>
      <c r="Q1768" t="str">
        <f t="shared" si="136"/>
        <v>Q2</v>
      </c>
      <c r="R1768" t="str">
        <f>IFERROR(VLOOKUP(TRIM(CLEAN(G1768)),Sheet14!$A$2:$B$19,2,FALSE),"Not Mapped")</f>
        <v>West</v>
      </c>
    </row>
    <row r="1769" spans="1:18">
      <c r="A1769" t="str">
        <f t="shared" si="134"/>
        <v>EOS1768</v>
      </c>
      <c r="B1769" s="36">
        <v>46171</v>
      </c>
      <c r="C1769" s="4" t="s">
        <v>267</v>
      </c>
      <c r="D1769" s="1" t="str">
        <f t="shared" si="137"/>
        <v>FB</v>
      </c>
      <c r="E1769" s="14" t="s">
        <v>2441</v>
      </c>
      <c r="F1769" s="14" t="s">
        <v>2244</v>
      </c>
      <c r="G1769" s="14" t="s">
        <v>223</v>
      </c>
      <c r="H1769" s="2"/>
      <c r="I1769" s="1">
        <v>177000</v>
      </c>
      <c r="J1769" s="45">
        <v>1071767</v>
      </c>
      <c r="K1769" s="1" t="str">
        <f>TRIM(Cleaned_CRM_Data!H1769)</f>
        <v/>
      </c>
      <c r="L1769" t="str">
        <f>IFERROR(VLOOKUP(K1769, Status_Mapping!A:B, 2,), "Not Found")</f>
        <v>Not Found</v>
      </c>
      <c r="N1769" s="29" t="str">
        <f>IF(M1769="","",M1769-B1769)</f>
        <v/>
      </c>
      <c r="O1769" s="1" t="str">
        <f t="shared" si="135"/>
        <v>Growth</v>
      </c>
      <c r="P1769" t="str">
        <f>TEXT(B1769, "mmmm")</f>
        <v>May</v>
      </c>
      <c r="Q1769" t="str">
        <f t="shared" si="136"/>
        <v>Q2</v>
      </c>
      <c r="R1769" t="str">
        <f>IFERROR(VLOOKUP(TRIM(CLEAN(G1769)),Sheet14!$A$2:$B$19,2,FALSE),"Not Mapped")</f>
        <v>West</v>
      </c>
    </row>
    <row r="1770" spans="1:18">
      <c r="A1770" t="str">
        <f t="shared" si="134"/>
        <v>EOS1769</v>
      </c>
      <c r="B1770" s="36">
        <v>46171</v>
      </c>
      <c r="C1770" s="4" t="s">
        <v>267</v>
      </c>
      <c r="D1770" s="1" t="str">
        <f t="shared" si="137"/>
        <v>FB</v>
      </c>
      <c r="E1770" s="14" t="s">
        <v>2442</v>
      </c>
      <c r="F1770" s="4"/>
      <c r="G1770" s="4"/>
      <c r="H1770" s="4"/>
      <c r="I1770" s="1">
        <v>108000</v>
      </c>
      <c r="J1770" s="45">
        <v>1071768</v>
      </c>
      <c r="K1770" s="1" t="str">
        <f>TRIM(Cleaned_CRM_Data!H1770)</f>
        <v/>
      </c>
      <c r="L1770" t="str">
        <f>IFERROR(VLOOKUP(K1770, Status_Mapping!A:B, 2,), "Not Found")</f>
        <v>Not Found</v>
      </c>
      <c r="N1770" s="29" t="str">
        <f>IF(M1770="","",M1770-B1770)</f>
        <v/>
      </c>
      <c r="O1770" s="1" t="str">
        <f t="shared" si="135"/>
        <v>Starter</v>
      </c>
      <c r="P1770" t="str">
        <f>TEXT(B1770, "mmmm")</f>
        <v>May</v>
      </c>
      <c r="Q1770" t="str">
        <f t="shared" si="136"/>
        <v>Q2</v>
      </c>
      <c r="R1770" t="str">
        <f>IFERROR(VLOOKUP(TRIM(CLEAN(G1770)),Sheet14!$A$2:$B$19,2,FALSE),"Not Mapped")</f>
        <v>Not Mapped</v>
      </c>
    </row>
    <row r="1771" spans="1:18">
      <c r="A1771" t="str">
        <f t="shared" si="134"/>
        <v>EOS1770</v>
      </c>
      <c r="B1771" s="36">
        <v>46176</v>
      </c>
      <c r="C1771" s="2" t="s">
        <v>267</v>
      </c>
      <c r="D1771" s="1" t="str">
        <f t="shared" si="137"/>
        <v>FB</v>
      </c>
      <c r="E1771" s="14" t="s">
        <v>2443</v>
      </c>
      <c r="F1771" s="2"/>
      <c r="G1771" s="14" t="s">
        <v>236</v>
      </c>
      <c r="H1771" s="2"/>
      <c r="I1771" s="1">
        <v>130000</v>
      </c>
      <c r="J1771" s="45">
        <v>1071769</v>
      </c>
      <c r="K1771" s="1" t="str">
        <f>TRIM(Cleaned_CRM_Data!H1771)</f>
        <v/>
      </c>
      <c r="L1771" t="str">
        <f>IFERROR(VLOOKUP(K1771, Status_Mapping!A:B, 2,), "Not Found")</f>
        <v>Not Found</v>
      </c>
      <c r="N1771" s="29" t="str">
        <f>IF(M1771="","",M1771-B1771)</f>
        <v/>
      </c>
      <c r="O1771" s="1" t="str">
        <f t="shared" si="135"/>
        <v>Starter</v>
      </c>
      <c r="P1771" t="str">
        <f>TEXT(B1771, "mmmm")</f>
        <v>June</v>
      </c>
      <c r="Q1771" t="str">
        <f t="shared" si="136"/>
        <v>Q2</v>
      </c>
      <c r="R1771" t="str">
        <f>IFERROR(VLOOKUP(TRIM(CLEAN(G1771)),Sheet14!$A$2:$B$19,2,FALSE),"Not Mapped")</f>
        <v>North</v>
      </c>
    </row>
    <row r="1772" spans="1:18">
      <c r="A1772" t="str">
        <f t="shared" si="134"/>
        <v>EOS1771</v>
      </c>
      <c r="B1772" s="36">
        <v>46176</v>
      </c>
      <c r="C1772" s="2" t="s">
        <v>267</v>
      </c>
      <c r="D1772" s="1" t="str">
        <f t="shared" si="137"/>
        <v>FB</v>
      </c>
      <c r="E1772" s="14" t="s">
        <v>2444</v>
      </c>
      <c r="F1772" s="2"/>
      <c r="G1772" s="14" t="s">
        <v>236</v>
      </c>
      <c r="H1772" s="2"/>
      <c r="I1772" s="1">
        <v>108000</v>
      </c>
      <c r="J1772" s="45">
        <v>1071770</v>
      </c>
      <c r="K1772" s="1" t="str">
        <f>TRIM(Cleaned_CRM_Data!H1772)</f>
        <v/>
      </c>
      <c r="L1772" t="str">
        <f>IFERROR(VLOOKUP(K1772, Status_Mapping!A:B, 2,), "Not Found")</f>
        <v>Not Found</v>
      </c>
      <c r="N1772" s="29" t="str">
        <f>IF(M1772="","",M1772-B1772)</f>
        <v/>
      </c>
      <c r="O1772" s="1" t="str">
        <f t="shared" si="135"/>
        <v>Starter</v>
      </c>
      <c r="P1772" t="str">
        <f>TEXT(B1772, "mmmm")</f>
        <v>June</v>
      </c>
      <c r="Q1772" t="str">
        <f t="shared" si="136"/>
        <v>Q2</v>
      </c>
      <c r="R1772" t="str">
        <f>IFERROR(VLOOKUP(TRIM(CLEAN(G1772)),Sheet14!$A$2:$B$19,2,FALSE),"Not Mapped")</f>
        <v>North</v>
      </c>
    </row>
    <row r="1773" spans="1:18">
      <c r="A1773" t="str">
        <f t="shared" si="134"/>
        <v>EOS1772</v>
      </c>
      <c r="B1773" s="36">
        <v>46176</v>
      </c>
      <c r="C1773" s="2" t="s">
        <v>267</v>
      </c>
      <c r="D1773" s="1" t="str">
        <f t="shared" si="137"/>
        <v>FB</v>
      </c>
      <c r="E1773" s="14" t="s">
        <v>2445</v>
      </c>
      <c r="F1773" s="2"/>
      <c r="G1773" s="14" t="s">
        <v>223</v>
      </c>
      <c r="H1773" s="2"/>
      <c r="I1773" s="1">
        <v>130000</v>
      </c>
      <c r="J1773" s="45">
        <v>1071771</v>
      </c>
      <c r="K1773" s="1" t="str">
        <f>TRIM(Cleaned_CRM_Data!H1773)</f>
        <v/>
      </c>
      <c r="L1773" t="str">
        <f>IFERROR(VLOOKUP(K1773, Status_Mapping!A:B, 2,), "Not Found")</f>
        <v>Not Found</v>
      </c>
      <c r="N1773" s="29" t="str">
        <f>IF(M1773="","",M1773-B1773)</f>
        <v/>
      </c>
      <c r="O1773" s="1" t="str">
        <f t="shared" si="135"/>
        <v>Starter</v>
      </c>
      <c r="P1773" t="str">
        <f>TEXT(B1773, "mmmm")</f>
        <v>June</v>
      </c>
      <c r="Q1773" t="str">
        <f t="shared" si="136"/>
        <v>Q2</v>
      </c>
      <c r="R1773" t="str">
        <f>IFERROR(VLOOKUP(TRIM(CLEAN(G1773)),Sheet14!$A$2:$B$19,2,FALSE),"Not Mapped")</f>
        <v>West</v>
      </c>
    </row>
    <row r="1774" spans="1:18">
      <c r="A1774" t="str">
        <f t="shared" si="134"/>
        <v>EOS1773</v>
      </c>
      <c r="B1774" s="43">
        <v>46084</v>
      </c>
      <c r="C1774" s="19" t="s">
        <v>1943</v>
      </c>
      <c r="D1774" s="19"/>
      <c r="E1774" s="18" t="s">
        <v>2446</v>
      </c>
      <c r="F1774" s="20" t="s">
        <v>1336</v>
      </c>
      <c r="G1774" s="18" t="s">
        <v>223</v>
      </c>
      <c r="I1774" s="1">
        <v>508000</v>
      </c>
      <c r="J1774" s="45">
        <v>1071772</v>
      </c>
      <c r="K1774" s="1" t="s">
        <v>42</v>
      </c>
      <c r="L1774" t="str">
        <f>IFERROR(VLOOKUP(K1774, Status_Mapping!A:B, 2,), "Not Found")</f>
        <v>Converted</v>
      </c>
      <c r="M1774" s="32">
        <v>46102</v>
      </c>
      <c r="N1774" s="29">
        <f>IF(M1774="","",M1774-B1774)</f>
        <v>18</v>
      </c>
      <c r="O1774" s="1" t="str">
        <f t="shared" si="135"/>
        <v>Premium</v>
      </c>
      <c r="P1774" t="str">
        <f>TEXT(B1774, "mmmm")</f>
        <v>March</v>
      </c>
      <c r="Q1774" t="str">
        <f t="shared" si="136"/>
        <v>Q1</v>
      </c>
      <c r="R1774" t="str">
        <f>IFERROR(VLOOKUP(TRIM(CLEAN(G1774)),Sheet14!$A$2:$B$19,2,FALSE),"Not Mapped")</f>
        <v>West</v>
      </c>
    </row>
    <row r="1775" spans="1:18">
      <c r="A1775" t="str">
        <f t="shared" si="134"/>
        <v>EOS1774</v>
      </c>
      <c r="B1775" s="43">
        <v>46106</v>
      </c>
      <c r="C1775" s="19" t="s">
        <v>267</v>
      </c>
      <c r="D1775" s="1" t="str">
        <f>TRIM(CLEAN(SUBSTITUTE(C1775,CHAR(160),"")))</f>
        <v>FB</v>
      </c>
      <c r="E1775" s="18" t="s">
        <v>2447</v>
      </c>
      <c r="F1775" s="20" t="s">
        <v>2448</v>
      </c>
      <c r="G1775" s="18" t="s">
        <v>228</v>
      </c>
      <c r="I1775" s="1">
        <v>177000</v>
      </c>
      <c r="J1775" s="45">
        <v>1071773</v>
      </c>
      <c r="K1775" s="1" t="s">
        <v>42</v>
      </c>
      <c r="L1775" t="str">
        <f>IFERROR(VLOOKUP(K1775, Status_Mapping!A:B, 2,), "Not Found")</f>
        <v>Converted</v>
      </c>
      <c r="M1775" s="32">
        <v>46113</v>
      </c>
      <c r="N1775" s="29">
        <f>IF(M1775="","",M1775-B1775)</f>
        <v>7</v>
      </c>
      <c r="O1775" s="1" t="str">
        <f t="shared" si="135"/>
        <v>Growth</v>
      </c>
      <c r="P1775" t="str">
        <f>TEXT(B1775, "mmmm")</f>
        <v>March</v>
      </c>
      <c r="Q1775" t="str">
        <f t="shared" si="136"/>
        <v>Q1</v>
      </c>
      <c r="R1775" t="str">
        <f>IFERROR(VLOOKUP(TRIM(CLEAN(G1775)),Sheet14!$A$2:$B$19,2,FALSE),"Not Mapped")</f>
        <v>Central</v>
      </c>
    </row>
    <row r="1776" spans="1:18">
      <c r="A1776" t="str">
        <f t="shared" si="134"/>
        <v>EOS1775</v>
      </c>
      <c r="B1776" s="43">
        <v>46116</v>
      </c>
      <c r="C1776" s="19" t="s">
        <v>1943</v>
      </c>
      <c r="D1776" s="19"/>
      <c r="E1776" s="18" t="s">
        <v>2449</v>
      </c>
      <c r="F1776" s="20" t="s">
        <v>412</v>
      </c>
      <c r="G1776" s="18" t="s">
        <v>223</v>
      </c>
      <c r="I1776" s="1">
        <v>108000</v>
      </c>
      <c r="J1776" s="45">
        <v>1071774</v>
      </c>
      <c r="K1776" s="1" t="s">
        <v>42</v>
      </c>
      <c r="L1776" t="str">
        <f>IFERROR(VLOOKUP(K1776, Status_Mapping!A:B, 2,), "Not Found")</f>
        <v>Converted</v>
      </c>
      <c r="M1776" s="32">
        <v>46136</v>
      </c>
      <c r="N1776" s="29">
        <f>IF(M1776="","",M1776-B1776)</f>
        <v>20</v>
      </c>
      <c r="O1776" s="1" t="str">
        <f t="shared" si="135"/>
        <v>Starter</v>
      </c>
      <c r="P1776" t="str">
        <f>TEXT(B1776, "mmmm")</f>
        <v>April</v>
      </c>
      <c r="Q1776" t="str">
        <f t="shared" si="136"/>
        <v>Q2</v>
      </c>
      <c r="R1776" t="str">
        <f>IFERROR(VLOOKUP(TRIM(CLEAN(G1776)),Sheet14!$A$2:$B$19,2,FALSE),"Not Mapped")</f>
        <v>West</v>
      </c>
    </row>
    <row r="1777" spans="1:18">
      <c r="A1777" t="str">
        <f t="shared" si="134"/>
        <v>EOS1776</v>
      </c>
      <c r="B1777" s="43">
        <v>46134</v>
      </c>
      <c r="C1777" s="19" t="s">
        <v>2450</v>
      </c>
      <c r="D1777" s="19"/>
      <c r="E1777" s="18" t="s">
        <v>2451</v>
      </c>
      <c r="F1777" s="20" t="s">
        <v>300</v>
      </c>
      <c r="G1777" s="18" t="s">
        <v>223</v>
      </c>
      <c r="I1777" s="1">
        <v>308000</v>
      </c>
      <c r="J1777" s="45">
        <v>1071775</v>
      </c>
      <c r="K1777" s="1" t="s">
        <v>42</v>
      </c>
      <c r="L1777" t="str">
        <f>IFERROR(VLOOKUP(K1777, Status_Mapping!A:B, 2,), "Not Found")</f>
        <v>Converted</v>
      </c>
      <c r="M1777" s="32">
        <v>46138</v>
      </c>
      <c r="N1777" s="29">
        <f>IF(M1777="","",M1777-B1777)</f>
        <v>4</v>
      </c>
      <c r="O1777" s="1" t="str">
        <f t="shared" si="135"/>
        <v>Premium</v>
      </c>
      <c r="P1777" t="str">
        <f>TEXT(B1777, "mmmm")</f>
        <v>April</v>
      </c>
      <c r="Q1777" t="str">
        <f t="shared" si="136"/>
        <v>Q2</v>
      </c>
      <c r="R1777" t="str">
        <f>IFERROR(VLOOKUP(TRIM(CLEAN(G1777)),Sheet14!$A$2:$B$19,2,FALSE),"Not Mapped")</f>
        <v>West</v>
      </c>
    </row>
    <row r="1778" spans="1:18">
      <c r="A1778" t="str">
        <f t="shared" si="134"/>
        <v>EOS1777</v>
      </c>
      <c r="B1778" s="43">
        <v>46167</v>
      </c>
      <c r="C1778" s="19" t="s">
        <v>2450</v>
      </c>
      <c r="D1778" s="19"/>
      <c r="E1778" s="18" t="s">
        <v>2452</v>
      </c>
      <c r="F1778" s="20" t="s">
        <v>2453</v>
      </c>
      <c r="G1778" s="18" t="s">
        <v>232</v>
      </c>
      <c r="I1778" s="1">
        <v>108000</v>
      </c>
      <c r="J1778" s="45">
        <v>1071776</v>
      </c>
      <c r="K1778" s="1" t="s">
        <v>42</v>
      </c>
      <c r="L1778" t="str">
        <f>IFERROR(VLOOKUP(K1778, Status_Mapping!A:B, 2,), "Not Found")</f>
        <v>Converted</v>
      </c>
      <c r="M1778" s="32">
        <v>46176</v>
      </c>
      <c r="N1778" s="29">
        <f>IF(M1778="","",M1778-B1778)</f>
        <v>9</v>
      </c>
      <c r="O1778" s="1" t="str">
        <f t="shared" si="135"/>
        <v>Starter</v>
      </c>
      <c r="P1778" t="str">
        <f>TEXT(B1778, "mmmm")</f>
        <v>May</v>
      </c>
      <c r="Q1778" t="str">
        <f t="shared" si="136"/>
        <v>Q2</v>
      </c>
      <c r="R1778" t="str">
        <f>IFERROR(VLOOKUP(TRIM(CLEAN(G1778)),Sheet14!$A$2:$B$19,2,FALSE),"Not Mapped")</f>
        <v>East</v>
      </c>
    </row>
    <row r="1779" spans="1:18">
      <c r="A1779" t="str">
        <f t="shared" si="134"/>
        <v>EOS1778</v>
      </c>
      <c r="B1779" s="44">
        <v>46118</v>
      </c>
      <c r="C1779" s="21" t="s">
        <v>2269</v>
      </c>
      <c r="D1779" s="21"/>
      <c r="E1779" s="22" t="s">
        <v>2454</v>
      </c>
      <c r="F1779" s="20" t="s">
        <v>275</v>
      </c>
      <c r="G1779" s="22" t="s">
        <v>223</v>
      </c>
      <c r="I1779" s="1">
        <v>130000</v>
      </c>
      <c r="J1779" s="45">
        <v>1071777</v>
      </c>
      <c r="K1779" s="1" t="s">
        <v>42</v>
      </c>
      <c r="L1779" t="str">
        <f>IFERROR(VLOOKUP(K1779, Status_Mapping!A:B, 2,), "Not Found")</f>
        <v>Converted</v>
      </c>
      <c r="M1779" s="32">
        <v>46179</v>
      </c>
      <c r="N1779" s="29">
        <f>IF(M1779="","",M1779-B1779)</f>
        <v>61</v>
      </c>
      <c r="O1779" s="1" t="str">
        <f t="shared" si="135"/>
        <v>Starter</v>
      </c>
      <c r="P1779" t="str">
        <f>TEXT(B1779, "mmmm")</f>
        <v>April</v>
      </c>
      <c r="Q1779" t="str">
        <f t="shared" si="136"/>
        <v>Q2</v>
      </c>
      <c r="R1779" t="str">
        <f>IFERROR(VLOOKUP(TRIM(CLEAN(G1779)),Sheet14!$A$2:$B$19,2,FALSE),"Not Mapped")</f>
        <v>West</v>
      </c>
    </row>
    <row r="1780" spans="1:18">
      <c r="N1780" s="29" t="str">
        <f>IF(M1780="","",M1780-B1780)</f>
        <v/>
      </c>
      <c r="O1780" s="1"/>
    </row>
    <row r="1784" spans="1:18">
      <c r="R1784" t="b">
        <f>G754=Sheet14!A5</f>
        <v>0</v>
      </c>
    </row>
    <row r="1785" spans="1:18">
      <c r="Q1785">
        <f>LEN(G754)</f>
        <v>5</v>
      </c>
    </row>
    <row r="1786" spans="1:18">
      <c r="Q1786">
        <f>LEN(Sheet14!A4)</f>
        <v>5</v>
      </c>
    </row>
  </sheetData>
  <autoFilter ref="A1:R1780" xr:uid="{7FEC5994-ACA0-406E-93F1-DAA7E6315AB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2AE9-733A-40AA-A5EC-B67A3FA0E8D3}">
  <dimension ref="A1:B7"/>
  <sheetViews>
    <sheetView workbookViewId="0">
      <selection activeCell="B5" sqref="B5"/>
    </sheetView>
  </sheetViews>
  <sheetFormatPr defaultRowHeight="15"/>
  <cols>
    <col min="1" max="1" width="17.85546875" bestFit="1" customWidth="1"/>
    <col min="2" max="2" width="15.42578125" customWidth="1"/>
  </cols>
  <sheetData>
    <row r="1" spans="1:2">
      <c r="A1" t="s">
        <v>2455</v>
      </c>
      <c r="B1">
        <f>'Month Wise analysis'!B17</f>
        <v>1778</v>
      </c>
    </row>
    <row r="2" spans="1:2">
      <c r="A2" t="s">
        <v>2456</v>
      </c>
      <c r="B2">
        <f>Sheet4!B4</f>
        <v>45</v>
      </c>
    </row>
    <row r="3" spans="1:2">
      <c r="A3" t="s">
        <v>2457</v>
      </c>
      <c r="B3" s="47">
        <f>B2/B1</f>
        <v>2.5309336332958381E-2</v>
      </c>
    </row>
    <row r="4" spans="1:2">
      <c r="A4" t="s">
        <v>2458</v>
      </c>
      <c r="B4" s="48">
        <f>Sheet4!C4</f>
        <v>6198000</v>
      </c>
    </row>
    <row r="5" spans="1:2">
      <c r="A5" t="s">
        <v>2459</v>
      </c>
      <c r="B5">
        <f>Sheet4!C5</f>
        <v>69576000</v>
      </c>
    </row>
    <row r="6" spans="1:2">
      <c r="A6" t="s">
        <v>2460</v>
      </c>
      <c r="B6">
        <f>Sheet4!C7</f>
        <v>119264000</v>
      </c>
    </row>
    <row r="7" spans="1:2">
      <c r="A7" t="s">
        <v>2461</v>
      </c>
      <c r="B7">
        <f>'Sales Cycle Analysis'!B7</f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E217-DAB7-422F-B4F1-2F7269270243}">
  <dimension ref="A1:B31"/>
  <sheetViews>
    <sheetView workbookViewId="0">
      <selection activeCell="B3" sqref="B3"/>
    </sheetView>
  </sheetViews>
  <sheetFormatPr defaultRowHeight="15"/>
  <cols>
    <col min="1" max="1" width="19.7109375" bestFit="1" customWidth="1"/>
    <col min="2" max="2" width="25.140625" bestFit="1" customWidth="1"/>
    <col min="3" max="3" width="4.7109375" bestFit="1" customWidth="1"/>
    <col min="4" max="4" width="6.140625" bestFit="1" customWidth="1"/>
    <col min="5" max="5" width="12.28515625" bestFit="1" customWidth="1"/>
    <col min="6" max="6" width="11.42578125" bestFit="1" customWidth="1"/>
  </cols>
  <sheetData>
    <row r="1" spans="1:2">
      <c r="A1" s="23" t="s">
        <v>260</v>
      </c>
      <c r="B1" t="s">
        <v>2462</v>
      </c>
    </row>
    <row r="3" spans="1:2">
      <c r="A3" s="23" t="s">
        <v>263</v>
      </c>
      <c r="B3" t="s">
        <v>2463</v>
      </c>
    </row>
    <row r="4" spans="1:2">
      <c r="A4" t="s">
        <v>2464</v>
      </c>
      <c r="B4" s="48">
        <v>6.5</v>
      </c>
    </row>
    <row r="5" spans="1:2">
      <c r="A5" t="s">
        <v>2465</v>
      </c>
      <c r="B5" s="48">
        <v>11</v>
      </c>
    </row>
    <row r="6" spans="1:2">
      <c r="A6" t="s">
        <v>2466</v>
      </c>
      <c r="B6" s="52">
        <v>14.307692307692308</v>
      </c>
    </row>
    <row r="7" spans="1:2">
      <c r="A7" t="s">
        <v>211</v>
      </c>
      <c r="B7" s="48">
        <v>13</v>
      </c>
    </row>
    <row r="11" spans="1:2">
      <c r="A11" s="23" t="s">
        <v>260</v>
      </c>
      <c r="B11" t="s">
        <v>2462</v>
      </c>
    </row>
    <row r="13" spans="1:2">
      <c r="A13" s="23" t="s">
        <v>266</v>
      </c>
      <c r="B13" t="s">
        <v>2463</v>
      </c>
    </row>
    <row r="14" spans="1:2">
      <c r="A14" t="s">
        <v>218</v>
      </c>
      <c r="B14" s="48">
        <v>7</v>
      </c>
    </row>
    <row r="15" spans="1:2">
      <c r="A15" t="s">
        <v>214</v>
      </c>
      <c r="B15" s="48">
        <v>9</v>
      </c>
    </row>
    <row r="16" spans="1:2">
      <c r="A16" t="s">
        <v>220</v>
      </c>
      <c r="B16" s="48">
        <v>10</v>
      </c>
    </row>
    <row r="17" spans="1:2">
      <c r="A17" t="s">
        <v>222</v>
      </c>
      <c r="B17" s="52">
        <v>13.928571428571429</v>
      </c>
    </row>
    <row r="18" spans="1:2">
      <c r="A18" t="s">
        <v>211</v>
      </c>
      <c r="B18" s="48">
        <v>13</v>
      </c>
    </row>
    <row r="24" spans="1:2">
      <c r="A24" s="23" t="s">
        <v>260</v>
      </c>
      <c r="B24" t="s">
        <v>2462</v>
      </c>
    </row>
    <row r="26" spans="1:2">
      <c r="A26" s="23" t="s">
        <v>266</v>
      </c>
      <c r="B26" t="s">
        <v>2467</v>
      </c>
    </row>
    <row r="27" spans="1:2">
      <c r="A27" t="s">
        <v>218</v>
      </c>
      <c r="B27" s="48">
        <v>354000</v>
      </c>
    </row>
    <row r="28" spans="1:2">
      <c r="A28" t="s">
        <v>214</v>
      </c>
      <c r="B28" s="48">
        <v>108000</v>
      </c>
    </row>
    <row r="29" spans="1:2">
      <c r="A29" t="s">
        <v>220</v>
      </c>
      <c r="B29" s="48">
        <v>390000</v>
      </c>
    </row>
    <row r="30" spans="1:2">
      <c r="A30" t="s">
        <v>222</v>
      </c>
      <c r="B30" s="48">
        <v>5346000</v>
      </c>
    </row>
    <row r="31" spans="1:2">
      <c r="A31" t="s">
        <v>211</v>
      </c>
      <c r="B31" s="48">
        <v>6198000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3DD9-F22E-4A36-9AAB-A244A5F51573}">
  <dimension ref="A3:C9"/>
  <sheetViews>
    <sheetView workbookViewId="0">
      <selection activeCell="H1" sqref="H1:H1048576"/>
    </sheetView>
  </sheetViews>
  <sheetFormatPr defaultRowHeight="15"/>
  <cols>
    <col min="1" max="1" width="18.140625" bestFit="1" customWidth="1"/>
    <col min="2" max="2" width="15.5703125" bestFit="1" customWidth="1"/>
    <col min="3" max="3" width="31.5703125" bestFit="1" customWidth="1"/>
  </cols>
  <sheetData>
    <row r="3" spans="1:3">
      <c r="A3" s="23" t="s">
        <v>260</v>
      </c>
      <c r="B3" t="s">
        <v>2468</v>
      </c>
      <c r="C3" t="s">
        <v>2469</v>
      </c>
    </row>
    <row r="4" spans="1:3">
      <c r="A4" t="s">
        <v>2462</v>
      </c>
      <c r="B4" s="48">
        <v>45</v>
      </c>
      <c r="C4" s="48">
        <v>6198000</v>
      </c>
    </row>
    <row r="5" spans="1:3">
      <c r="A5" t="s">
        <v>68</v>
      </c>
      <c r="B5" s="48">
        <v>541</v>
      </c>
      <c r="C5" s="48">
        <v>69576000</v>
      </c>
    </row>
    <row r="6" spans="1:3">
      <c r="A6" t="s">
        <v>2470</v>
      </c>
      <c r="B6" s="48">
        <v>268</v>
      </c>
      <c r="C6" s="48">
        <v>34561000</v>
      </c>
    </row>
    <row r="7" spans="1:3">
      <c r="A7" t="s">
        <v>149</v>
      </c>
      <c r="B7" s="48">
        <v>924</v>
      </c>
      <c r="C7" s="48">
        <v>119264000</v>
      </c>
    </row>
    <row r="8" spans="1:3">
      <c r="A8" t="s">
        <v>210</v>
      </c>
      <c r="B8" s="48"/>
      <c r="C8" s="48"/>
    </row>
    <row r="9" spans="1:3">
      <c r="A9" t="s">
        <v>211</v>
      </c>
      <c r="B9" s="48">
        <v>1778</v>
      </c>
      <c r="C9" s="48">
        <v>229599000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E124-1786-4B93-998C-538735998254}">
  <dimension ref="A1:H26"/>
  <sheetViews>
    <sheetView workbookViewId="0">
      <selection activeCell="E3" sqref="E3"/>
    </sheetView>
  </sheetViews>
  <sheetFormatPr defaultRowHeight="15"/>
  <cols>
    <col min="1" max="1" width="14.7109375" bestFit="1" customWidth="1"/>
    <col min="2" max="2" width="11.42578125" bestFit="1" customWidth="1"/>
    <col min="5" max="5" width="14.7109375" bestFit="1" customWidth="1"/>
    <col min="6" max="6" width="15.7109375" bestFit="1" customWidth="1"/>
    <col min="7" max="7" width="31.5703125" bestFit="1" customWidth="1"/>
    <col min="8" max="8" width="19.28515625" bestFit="1" customWidth="1"/>
  </cols>
  <sheetData>
    <row r="1" spans="1:8">
      <c r="E1" s="23" t="s">
        <v>260</v>
      </c>
      <c r="F1" t="s">
        <v>2462</v>
      </c>
    </row>
    <row r="3" spans="1:8">
      <c r="A3" s="23" t="s">
        <v>264</v>
      </c>
      <c r="B3" t="s">
        <v>2471</v>
      </c>
      <c r="E3" s="23" t="s">
        <v>264</v>
      </c>
      <c r="F3" t="s">
        <v>2456</v>
      </c>
      <c r="H3" s="49"/>
    </row>
    <row r="4" spans="1:8">
      <c r="A4" t="s">
        <v>2472</v>
      </c>
      <c r="B4" s="48">
        <v>150</v>
      </c>
      <c r="E4" t="s">
        <v>2473</v>
      </c>
      <c r="F4" s="48">
        <v>3</v>
      </c>
    </row>
    <row r="5" spans="1:8">
      <c r="A5" t="s">
        <v>2474</v>
      </c>
      <c r="B5" s="48">
        <v>123</v>
      </c>
      <c r="E5" t="s">
        <v>2475</v>
      </c>
      <c r="F5" s="48">
        <v>3</v>
      </c>
    </row>
    <row r="6" spans="1:8">
      <c r="A6" t="s">
        <v>2473</v>
      </c>
      <c r="B6" s="48">
        <v>60</v>
      </c>
      <c r="E6" t="s">
        <v>2476</v>
      </c>
      <c r="F6" s="48">
        <v>1</v>
      </c>
    </row>
    <row r="7" spans="1:8">
      <c r="A7" t="s">
        <v>2475</v>
      </c>
      <c r="B7" s="48">
        <v>135</v>
      </c>
      <c r="E7" t="s">
        <v>2477</v>
      </c>
      <c r="F7" s="48">
        <v>13</v>
      </c>
    </row>
    <row r="8" spans="1:8">
      <c r="A8" t="s">
        <v>2476</v>
      </c>
      <c r="B8" s="48">
        <v>134</v>
      </c>
      <c r="E8" t="s">
        <v>2478</v>
      </c>
      <c r="F8" s="48">
        <v>8</v>
      </c>
    </row>
    <row r="9" spans="1:8">
      <c r="A9" t="s">
        <v>2477</v>
      </c>
      <c r="B9" s="48">
        <v>199</v>
      </c>
      <c r="E9" t="s">
        <v>2479</v>
      </c>
      <c r="F9" s="48">
        <v>3</v>
      </c>
    </row>
    <row r="10" spans="1:8">
      <c r="A10" t="s">
        <v>2478</v>
      </c>
      <c r="B10" s="48">
        <v>284</v>
      </c>
      <c r="E10" t="s">
        <v>2480</v>
      </c>
      <c r="F10" s="48">
        <v>4</v>
      </c>
    </row>
    <row r="11" spans="1:8">
      <c r="A11" t="s">
        <v>2479</v>
      </c>
      <c r="B11" s="48">
        <v>194</v>
      </c>
      <c r="E11" t="s">
        <v>2481</v>
      </c>
      <c r="F11" s="48">
        <v>9</v>
      </c>
    </row>
    <row r="12" spans="1:8">
      <c r="A12" t="s">
        <v>2480</v>
      </c>
      <c r="B12" s="48">
        <v>177</v>
      </c>
      <c r="E12" t="s">
        <v>2482</v>
      </c>
      <c r="F12" s="48">
        <v>1</v>
      </c>
    </row>
    <row r="13" spans="1:8">
      <c r="A13" t="s">
        <v>2481</v>
      </c>
      <c r="B13" s="48">
        <v>116</v>
      </c>
      <c r="E13" t="s">
        <v>211</v>
      </c>
      <c r="F13" s="48">
        <v>45</v>
      </c>
    </row>
    <row r="14" spans="1:8">
      <c r="A14" t="s">
        <v>2482</v>
      </c>
      <c r="B14" s="48">
        <v>73</v>
      </c>
      <c r="G14" s="49" t="s">
        <v>2483</v>
      </c>
    </row>
    <row r="15" spans="1:8">
      <c r="A15" t="s">
        <v>2484</v>
      </c>
      <c r="B15" s="48">
        <v>133</v>
      </c>
      <c r="E15" t="s">
        <v>2472</v>
      </c>
      <c r="F15">
        <v>0</v>
      </c>
      <c r="G15" s="51">
        <v>0</v>
      </c>
    </row>
    <row r="16" spans="1:8">
      <c r="A16" t="s">
        <v>210</v>
      </c>
      <c r="B16" s="48"/>
      <c r="E16" t="s">
        <v>2474</v>
      </c>
      <c r="F16">
        <v>0</v>
      </c>
      <c r="G16" s="51">
        <v>0</v>
      </c>
    </row>
    <row r="17" spans="1:7">
      <c r="A17" t="s">
        <v>211</v>
      </c>
      <c r="B17" s="48">
        <v>1778</v>
      </c>
      <c r="E17" t="s">
        <v>2473</v>
      </c>
      <c r="F17" s="48">
        <v>3</v>
      </c>
      <c r="G17" s="47">
        <f>F17/B6</f>
        <v>0.05</v>
      </c>
    </row>
    <row r="18" spans="1:7">
      <c r="E18" t="s">
        <v>2475</v>
      </c>
      <c r="F18" s="48">
        <v>3</v>
      </c>
      <c r="G18" s="47">
        <f>F18/B7</f>
        <v>2.2222222222222223E-2</v>
      </c>
    </row>
    <row r="19" spans="1:7">
      <c r="E19" t="s">
        <v>2476</v>
      </c>
      <c r="F19" s="48">
        <v>1</v>
      </c>
      <c r="G19" s="47">
        <f>F19/B8</f>
        <v>7.462686567164179E-3</v>
      </c>
    </row>
    <row r="20" spans="1:7">
      <c r="E20" t="s">
        <v>2477</v>
      </c>
      <c r="F20" s="48">
        <v>12</v>
      </c>
      <c r="G20" s="47">
        <f>F20/B9</f>
        <v>6.030150753768844E-2</v>
      </c>
    </row>
    <row r="21" spans="1:7">
      <c r="E21" t="s">
        <v>2478</v>
      </c>
      <c r="F21" s="48">
        <v>8</v>
      </c>
      <c r="G21" s="47">
        <f>F21/B10</f>
        <v>2.8169014084507043E-2</v>
      </c>
    </row>
    <row r="22" spans="1:7">
      <c r="E22" t="s">
        <v>2479</v>
      </c>
      <c r="F22" s="48">
        <v>3</v>
      </c>
      <c r="G22" s="47">
        <f>F22/B11</f>
        <v>1.5463917525773196E-2</v>
      </c>
    </row>
    <row r="23" spans="1:7">
      <c r="E23" t="s">
        <v>2480</v>
      </c>
      <c r="F23" s="48">
        <v>2</v>
      </c>
      <c r="G23" s="47">
        <f>F23/B12</f>
        <v>1.1299435028248588E-2</v>
      </c>
    </row>
    <row r="24" spans="1:7">
      <c r="E24" t="s">
        <v>2481</v>
      </c>
      <c r="F24" s="48">
        <v>0</v>
      </c>
      <c r="G24" s="47">
        <v>0</v>
      </c>
    </row>
    <row r="25" spans="1:7">
      <c r="E25" t="s">
        <v>2482</v>
      </c>
      <c r="F25">
        <v>1</v>
      </c>
      <c r="G25" s="47">
        <f>F25/B14</f>
        <v>1.3698630136986301E-2</v>
      </c>
    </row>
    <row r="26" spans="1:7">
      <c r="E26" t="s">
        <v>2484</v>
      </c>
      <c r="F26">
        <v>0</v>
      </c>
      <c r="G26" s="4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F433-AC56-455D-AE38-7A6024D87C95}">
  <dimension ref="A1:B13"/>
  <sheetViews>
    <sheetView workbookViewId="0">
      <selection activeCell="A3" sqref="A3"/>
    </sheetView>
  </sheetViews>
  <sheetFormatPr defaultRowHeight="15"/>
  <cols>
    <col min="1" max="1" width="14.7109375" bestFit="1" customWidth="1"/>
    <col min="2" max="2" width="15.5703125" bestFit="1" customWidth="1"/>
  </cols>
  <sheetData>
    <row r="1" spans="1:2">
      <c r="A1" s="23" t="s">
        <v>260</v>
      </c>
      <c r="B1" t="s">
        <v>2462</v>
      </c>
    </row>
    <row r="3" spans="1:2">
      <c r="A3" s="23" t="s">
        <v>264</v>
      </c>
      <c r="B3" t="s">
        <v>2468</v>
      </c>
    </row>
    <row r="4" spans="1:2">
      <c r="A4" t="s">
        <v>2473</v>
      </c>
      <c r="B4" s="48">
        <v>3</v>
      </c>
    </row>
    <row r="5" spans="1:2">
      <c r="A5" t="s">
        <v>2475</v>
      </c>
      <c r="B5" s="48">
        <v>3</v>
      </c>
    </row>
    <row r="6" spans="1:2">
      <c r="A6" t="s">
        <v>2476</v>
      </c>
      <c r="B6" s="48">
        <v>1</v>
      </c>
    </row>
    <row r="7" spans="1:2">
      <c r="A7" t="s">
        <v>2477</v>
      </c>
      <c r="B7" s="48">
        <v>13</v>
      </c>
    </row>
    <row r="8" spans="1:2">
      <c r="A8" t="s">
        <v>2478</v>
      </c>
      <c r="B8" s="48">
        <v>8</v>
      </c>
    </row>
    <row r="9" spans="1:2">
      <c r="A9" t="s">
        <v>2479</v>
      </c>
      <c r="B9" s="48">
        <v>3</v>
      </c>
    </row>
    <row r="10" spans="1:2">
      <c r="A10" t="s">
        <v>2480</v>
      </c>
      <c r="B10" s="48">
        <v>4</v>
      </c>
    </row>
    <row r="11" spans="1:2">
      <c r="A11" t="s">
        <v>2481</v>
      </c>
      <c r="B11" s="48">
        <v>9</v>
      </c>
    </row>
    <row r="12" spans="1:2">
      <c r="A12" t="s">
        <v>2482</v>
      </c>
      <c r="B12" s="48">
        <v>1</v>
      </c>
    </row>
    <row r="13" spans="1:2">
      <c r="A13" t="s">
        <v>211</v>
      </c>
      <c r="B13" s="48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2361-DA48-462E-8B98-5EC0D891DECF}">
  <dimension ref="A3:B9"/>
  <sheetViews>
    <sheetView workbookViewId="0">
      <selection activeCell="A3" sqref="A3"/>
    </sheetView>
  </sheetViews>
  <sheetFormatPr defaultRowHeight="15"/>
  <cols>
    <col min="1" max="1" width="18.140625" bestFit="1" customWidth="1"/>
    <col min="2" max="2" width="31.5703125" bestFit="1" customWidth="1"/>
  </cols>
  <sheetData>
    <row r="3" spans="1:2">
      <c r="A3" s="23" t="s">
        <v>260</v>
      </c>
      <c r="B3" t="s">
        <v>2469</v>
      </c>
    </row>
    <row r="4" spans="1:2">
      <c r="A4" t="s">
        <v>2462</v>
      </c>
      <c r="B4" s="48">
        <v>6198000</v>
      </c>
    </row>
    <row r="5" spans="1:2">
      <c r="A5" t="s">
        <v>68</v>
      </c>
      <c r="B5" s="48">
        <v>69576000</v>
      </c>
    </row>
    <row r="6" spans="1:2">
      <c r="A6" t="s">
        <v>2470</v>
      </c>
      <c r="B6" s="48">
        <v>34561000</v>
      </c>
    </row>
    <row r="7" spans="1:2">
      <c r="A7" t="s">
        <v>149</v>
      </c>
      <c r="B7" s="48">
        <v>119264000</v>
      </c>
    </row>
    <row r="8" spans="1:2">
      <c r="A8" t="s">
        <v>210</v>
      </c>
      <c r="B8" s="48"/>
    </row>
    <row r="9" spans="1:2">
      <c r="A9" t="s">
        <v>211</v>
      </c>
      <c r="B9" s="48">
        <v>229599000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89BA-8437-4189-91B3-F536E1610841}">
  <dimension ref="A1:D17"/>
  <sheetViews>
    <sheetView workbookViewId="0">
      <selection activeCell="B3" sqref="B3"/>
    </sheetView>
  </sheetViews>
  <sheetFormatPr defaultRowHeight="15"/>
  <cols>
    <col min="1" max="1" width="19.7109375" bestFit="1" customWidth="1"/>
    <col min="2" max="3" width="31.5703125" bestFit="1" customWidth="1"/>
    <col min="4" max="4" width="23.140625" bestFit="1" customWidth="1"/>
  </cols>
  <sheetData>
    <row r="1" spans="1:4">
      <c r="A1" s="23" t="s">
        <v>260</v>
      </c>
      <c r="B1" t="s">
        <v>2462</v>
      </c>
    </row>
    <row r="3" spans="1:4">
      <c r="A3" s="23" t="s">
        <v>263</v>
      </c>
      <c r="B3" t="s">
        <v>2469</v>
      </c>
    </row>
    <row r="4" spans="1:4">
      <c r="A4" t="s">
        <v>2464</v>
      </c>
      <c r="B4" s="48">
        <v>708000</v>
      </c>
    </row>
    <row r="5" spans="1:4">
      <c r="A5" t="s">
        <v>2465</v>
      </c>
      <c r="B5" s="48">
        <v>816000</v>
      </c>
    </row>
    <row r="6" spans="1:4">
      <c r="A6" t="s">
        <v>2466</v>
      </c>
      <c r="B6" s="48">
        <v>4674000</v>
      </c>
    </row>
    <row r="7" spans="1:4">
      <c r="A7" t="s">
        <v>211</v>
      </c>
      <c r="B7" s="48">
        <v>6198000</v>
      </c>
    </row>
    <row r="11" spans="1:4">
      <c r="A11" s="23" t="s">
        <v>260</v>
      </c>
      <c r="B11" t="s">
        <v>2462</v>
      </c>
    </row>
    <row r="13" spans="1:4">
      <c r="A13" s="23" t="s">
        <v>263</v>
      </c>
      <c r="B13" t="s">
        <v>2455</v>
      </c>
      <c r="C13" t="s">
        <v>2469</v>
      </c>
      <c r="D13" s="49" t="s">
        <v>2457</v>
      </c>
    </row>
    <row r="14" spans="1:4">
      <c r="A14" t="s">
        <v>2464</v>
      </c>
      <c r="B14" s="48">
        <v>4</v>
      </c>
      <c r="C14" s="48">
        <v>708000</v>
      </c>
      <c r="D14" s="47">
        <f>B14/B4</f>
        <v>5.6497175141242937E-6</v>
      </c>
    </row>
    <row r="15" spans="1:4">
      <c r="A15" t="s">
        <v>2465</v>
      </c>
      <c r="B15" s="48">
        <v>2</v>
      </c>
      <c r="C15" s="48">
        <v>816000</v>
      </c>
      <c r="D15" s="47">
        <f>B15/B5</f>
        <v>2.4509803921568628E-6</v>
      </c>
    </row>
    <row r="16" spans="1:4">
      <c r="A16" t="s">
        <v>2466</v>
      </c>
      <c r="B16" s="48">
        <v>39</v>
      </c>
      <c r="C16" s="48">
        <v>4674000</v>
      </c>
      <c r="D16" s="47">
        <f>B16/B6</f>
        <v>8.3440308087291404E-6</v>
      </c>
    </row>
    <row r="17" spans="1:3">
      <c r="A17" t="s">
        <v>211</v>
      </c>
      <c r="B17" s="48">
        <v>45</v>
      </c>
      <c r="C17" s="48">
        <v>6198000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C5C2-36EF-4011-ACD3-3471D2CEB2A9}">
  <dimension ref="A1:E26"/>
  <sheetViews>
    <sheetView workbookViewId="0">
      <selection activeCell="E14" sqref="E14"/>
    </sheetView>
  </sheetViews>
  <sheetFormatPr defaultRowHeight="15"/>
  <cols>
    <col min="1" max="1" width="14.5703125" bestFit="1" customWidth="1"/>
    <col min="2" max="2" width="13.140625" bestFit="1" customWidth="1"/>
    <col min="3" max="3" width="16.7109375" bestFit="1" customWidth="1"/>
    <col min="4" max="4" width="32.85546875" bestFit="1" customWidth="1"/>
    <col min="5" max="5" width="19.42578125" bestFit="1" customWidth="1"/>
  </cols>
  <sheetData>
    <row r="1" spans="1:5">
      <c r="A1" s="23" t="s">
        <v>260</v>
      </c>
      <c r="B1" t="s">
        <v>2485</v>
      </c>
    </row>
    <row r="3" spans="1:5">
      <c r="A3" s="23" t="s">
        <v>266</v>
      </c>
      <c r="B3" t="s">
        <v>2486</v>
      </c>
      <c r="C3" t="s">
        <v>2487</v>
      </c>
    </row>
    <row r="4" spans="1:5">
      <c r="A4" t="s">
        <v>218</v>
      </c>
      <c r="B4" s="48">
        <v>30</v>
      </c>
      <c r="C4" s="48">
        <v>30</v>
      </c>
    </row>
    <row r="5" spans="1:5">
      <c r="A5" t="s">
        <v>214</v>
      </c>
      <c r="B5" s="48">
        <v>49</v>
      </c>
      <c r="C5" s="48">
        <v>49</v>
      </c>
    </row>
    <row r="6" spans="1:5">
      <c r="A6" t="s">
        <v>220</v>
      </c>
      <c r="B6" s="48">
        <v>112</v>
      </c>
      <c r="C6" s="48">
        <v>112</v>
      </c>
    </row>
    <row r="7" spans="1:5">
      <c r="A7" t="s">
        <v>2488</v>
      </c>
      <c r="B7" s="48">
        <v>18</v>
      </c>
      <c r="C7" s="48">
        <v>18</v>
      </c>
    </row>
    <row r="8" spans="1:5">
      <c r="A8" t="s">
        <v>222</v>
      </c>
      <c r="B8" s="48">
        <v>1569</v>
      </c>
      <c r="C8" s="48">
        <v>1569</v>
      </c>
    </row>
    <row r="9" spans="1:5">
      <c r="A9" t="s">
        <v>210</v>
      </c>
      <c r="B9" s="48"/>
      <c r="C9" s="48"/>
    </row>
    <row r="10" spans="1:5">
      <c r="A10" t="s">
        <v>211</v>
      </c>
      <c r="B10" s="48">
        <v>1778</v>
      </c>
      <c r="C10" s="48">
        <v>1778</v>
      </c>
    </row>
    <row r="11" spans="1:5">
      <c r="A11" s="23" t="s">
        <v>260</v>
      </c>
      <c r="B11" t="s">
        <v>2462</v>
      </c>
    </row>
    <row r="13" spans="1:5">
      <c r="A13" s="23" t="s">
        <v>266</v>
      </c>
      <c r="B13" t="s">
        <v>2486</v>
      </c>
      <c r="C13" t="s">
        <v>2489</v>
      </c>
      <c r="D13" s="49" t="s">
        <v>2490</v>
      </c>
      <c r="E13" s="49" t="s">
        <v>2491</v>
      </c>
    </row>
    <row r="14" spans="1:5">
      <c r="A14" t="s">
        <v>218</v>
      </c>
      <c r="B14" s="48">
        <v>2</v>
      </c>
      <c r="C14" s="48">
        <v>354000</v>
      </c>
      <c r="D14" s="47">
        <f>B14/B18</f>
        <v>4.4444444444444446E-2</v>
      </c>
      <c r="E14" s="47">
        <f>B14/B4</f>
        <v>6.6666666666666666E-2</v>
      </c>
    </row>
    <row r="15" spans="1:5">
      <c r="A15" t="s">
        <v>214</v>
      </c>
      <c r="B15" s="48">
        <v>1</v>
      </c>
      <c r="C15" s="48">
        <v>108000</v>
      </c>
      <c r="D15" s="47">
        <f>B15/B18</f>
        <v>2.2222222222222223E-2</v>
      </c>
      <c r="E15" s="47">
        <f>B15/B5</f>
        <v>2.0408163265306121E-2</v>
      </c>
    </row>
    <row r="16" spans="1:5">
      <c r="A16" t="s">
        <v>220</v>
      </c>
      <c r="B16" s="48">
        <v>3</v>
      </c>
      <c r="C16" s="48">
        <v>390000</v>
      </c>
      <c r="D16" s="47">
        <f>B16/B18</f>
        <v>6.6666666666666666E-2</v>
      </c>
      <c r="E16" s="47">
        <f>B16/B6</f>
        <v>2.6785714285714284E-2</v>
      </c>
    </row>
    <row r="17" spans="1:5">
      <c r="A17" t="s">
        <v>222</v>
      </c>
      <c r="B17" s="48">
        <v>39</v>
      </c>
      <c r="C17" s="48">
        <v>5346000</v>
      </c>
      <c r="D17" s="47">
        <f>B17/B18</f>
        <v>0.8666666666666667</v>
      </c>
      <c r="E17" s="47">
        <f>B17/B8</f>
        <v>2.4856596558317401E-2</v>
      </c>
    </row>
    <row r="18" spans="1:5">
      <c r="A18" t="s">
        <v>211</v>
      </c>
      <c r="B18" s="48">
        <v>45</v>
      </c>
      <c r="C18" s="48">
        <v>6198000</v>
      </c>
    </row>
    <row r="23" spans="1:5">
      <c r="A23" s="48">
        <v>2</v>
      </c>
    </row>
    <row r="24" spans="1:5">
      <c r="A24" s="48">
        <v>1</v>
      </c>
    </row>
    <row r="25" spans="1:5">
      <c r="A25" s="48">
        <v>3</v>
      </c>
    </row>
    <row r="26" spans="1:5">
      <c r="A26" s="48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7B4D-2FF7-45CA-B45D-008180BA454A}">
  <dimension ref="C2:E12"/>
  <sheetViews>
    <sheetView workbookViewId="0">
      <selection activeCell="E13" sqref="E13"/>
    </sheetView>
  </sheetViews>
  <sheetFormatPr defaultRowHeight="15"/>
  <cols>
    <col min="3" max="3" width="15.42578125" bestFit="1" customWidth="1"/>
    <col min="5" max="5" width="42.5703125" customWidth="1"/>
  </cols>
  <sheetData>
    <row r="2" spans="3:5">
      <c r="C2" t="s">
        <v>2455</v>
      </c>
      <c r="E2" t="s">
        <v>2492</v>
      </c>
    </row>
    <row r="3" spans="3:5">
      <c r="C3">
        <f>COUNTA(Cleaned_CRM_Data!A2:A1779)</f>
        <v>1778</v>
      </c>
      <c r="E3" s="47">
        <f>C6/C3</f>
        <v>2.5309336332958381E-2</v>
      </c>
    </row>
    <row r="5" spans="3:5">
      <c r="C5" t="s">
        <v>2456</v>
      </c>
      <c r="E5" t="s">
        <v>2493</v>
      </c>
    </row>
    <row r="6" spans="3:5">
      <c r="C6">
        <f>COUNTIF(Cleaned_CRM_Data!L:L,"Converted")</f>
        <v>45</v>
      </c>
      <c r="E6">
        <f>SUMIF(Cleaned_CRM_Data!L:L,"Converted",Cleaned_CRM_Data!I:I)</f>
        <v>6198000</v>
      </c>
    </row>
    <row r="8" spans="3:5">
      <c r="E8" t="s">
        <v>246</v>
      </c>
    </row>
    <row r="9" spans="3:5">
      <c r="E9">
        <f>SUMIF(Cleaned_CRM_Data!L:L, "Follow up",Cleaned_CRM_Data!I:I)</f>
        <v>69576000</v>
      </c>
    </row>
    <row r="11" spans="3:5">
      <c r="E11" t="s">
        <v>2494</v>
      </c>
    </row>
    <row r="12" spans="3:5">
      <c r="C12" t="s">
        <v>2495</v>
      </c>
      <c r="E12">
        <f>SUMIF(Cleaned_CRM_Data!L:L, "Rejected", Cleaned_CRM_Data!I:I)</f>
        <v>119264000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56D8-31A4-4E9A-853C-981A7A34EFCE}">
  <dimension ref="A1:E10"/>
  <sheetViews>
    <sheetView workbookViewId="0">
      <selection activeCell="E10" sqref="E10"/>
    </sheetView>
  </sheetViews>
  <sheetFormatPr defaultRowHeight="15"/>
  <cols>
    <col min="1" max="1" width="9.140625" customWidth="1"/>
    <col min="2" max="2" width="15.42578125" customWidth="1"/>
  </cols>
  <sheetData>
    <row r="1" spans="1:5" ht="30">
      <c r="A1" s="26" t="s">
        <v>2496</v>
      </c>
      <c r="B1" s="26" t="s">
        <v>2497</v>
      </c>
    </row>
    <row r="2" spans="1:5">
      <c r="A2" s="27" t="s">
        <v>40</v>
      </c>
      <c r="B2" s="27" t="s">
        <v>2462</v>
      </c>
    </row>
    <row r="3" spans="1:5" ht="30">
      <c r="A3" s="27" t="s">
        <v>42</v>
      </c>
      <c r="B3" s="27" t="s">
        <v>2462</v>
      </c>
    </row>
    <row r="4" spans="1:5" ht="30">
      <c r="A4" s="27" t="s">
        <v>2498</v>
      </c>
      <c r="B4" s="27" t="s">
        <v>68</v>
      </c>
    </row>
    <row r="5" spans="1:5">
      <c r="A5" s="27" t="s">
        <v>172</v>
      </c>
      <c r="B5" s="27" t="s">
        <v>68</v>
      </c>
    </row>
    <row r="6" spans="1:5">
      <c r="A6" s="27" t="s">
        <v>149</v>
      </c>
      <c r="B6" s="27" t="s">
        <v>149</v>
      </c>
    </row>
    <row r="10" spans="1:5">
      <c r="E10">
        <f>F754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2026-06-04T06:52:31Z</dcterms:created>
  <dcterms:modified xsi:type="dcterms:W3CDTF">2026-07-14T11:05:39Z</dcterms:modified>
  <cp:category/>
  <cp:contentStatus/>
</cp:coreProperties>
</file>